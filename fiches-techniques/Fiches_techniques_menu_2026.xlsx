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257.xml" ContentType="application/vnd.openxmlformats-officedocument.spreadsheetml.worksheet+xml"/>
  <Override PartName="/xl/worksheets/sheet74.xml" ContentType="application/vnd.openxmlformats-officedocument.spreadsheetml.worksheet+xml"/>
  <Override PartName="/xl/worksheets/_rels/sheet3.xml.rels" ContentType="application/vnd.openxmlformats-package.relationships+xml"/>
  <Override PartName="/xl/worksheets/_rels/sheet1.xml.rels" ContentType="application/vnd.openxmlformats-package.relationships+xml"/>
  <Override PartName="/xl/worksheets/_rels/sheet4.xml.rels" ContentType="application/vnd.openxmlformats-package.relationships+xml"/>
  <Override PartName="/xl/worksheets/_rels/sheet5.xml.rels" ContentType="application/vnd.openxmlformats-package.relationships+xml"/>
  <Override PartName="/xl/worksheets/sheet256.xml" ContentType="application/vnd.openxmlformats-officedocument.spreadsheetml.worksheet+xml"/>
  <Override PartName="/xl/worksheets/sheet73.xml" ContentType="application/vnd.openxmlformats-officedocument.spreadsheetml.worksheet+xml"/>
  <Override PartName="/xl/worksheets/sheet255.xml" ContentType="application/vnd.openxmlformats-officedocument.spreadsheetml.worksheet+xml"/>
  <Override PartName="/xl/worksheets/sheet72.xml" ContentType="application/vnd.openxmlformats-officedocument.spreadsheetml.worksheet+xml"/>
  <Override PartName="/xl/worksheets/sheet254.xml" ContentType="application/vnd.openxmlformats-officedocument.spreadsheetml.worksheet+xml"/>
  <Override PartName="/xl/worksheets/sheet71.xml" ContentType="application/vnd.openxmlformats-officedocument.spreadsheetml.worksheet+xml"/>
  <Override PartName="/xl/worksheets/sheet253.xml" ContentType="application/vnd.openxmlformats-officedocument.spreadsheetml.worksheet+xml"/>
  <Override PartName="/xl/worksheets/sheet70.xml" ContentType="application/vnd.openxmlformats-officedocument.spreadsheetml.worksheet+xml"/>
  <Override PartName="/xl/worksheets/sheet252.xml" ContentType="application/vnd.openxmlformats-officedocument.spreadsheetml.worksheet+xml"/>
  <Override PartName="/xl/worksheets/sheet251.xml" ContentType="application/vnd.openxmlformats-officedocument.spreadsheetml.worksheet+xml"/>
  <Override PartName="/xl/worksheets/sheet250.xml" ContentType="application/vnd.openxmlformats-officedocument.spreadsheetml.worksheet+xml"/>
  <Override PartName="/xl/worksheets/sheet249.xml" ContentType="application/vnd.openxmlformats-officedocument.spreadsheetml.worksheet+xml"/>
  <Override PartName="/xl/worksheets/sheet66.xml" ContentType="application/vnd.openxmlformats-officedocument.spreadsheetml.worksheet+xml"/>
  <Override PartName="/xl/worksheets/sheet248.xml" ContentType="application/vnd.openxmlformats-officedocument.spreadsheetml.worksheet+xml"/>
  <Override PartName="/xl/worksheets/sheet65.xml" ContentType="application/vnd.openxmlformats-officedocument.spreadsheetml.worksheet+xml"/>
  <Override PartName="/xl/worksheets/sheet247.xml" ContentType="application/vnd.openxmlformats-officedocument.spreadsheetml.worksheet+xml"/>
  <Override PartName="/xl/worksheets/sheet64.xml" ContentType="application/vnd.openxmlformats-officedocument.spreadsheetml.worksheet+xml"/>
  <Override PartName="/xl/worksheets/sheet246.xml" ContentType="application/vnd.openxmlformats-officedocument.spreadsheetml.worksheet+xml"/>
  <Override PartName="/xl/worksheets/sheet63.xml" ContentType="application/vnd.openxmlformats-officedocument.spreadsheetml.worksheet+xml"/>
  <Override PartName="/xl/worksheets/sheet245.xml" ContentType="application/vnd.openxmlformats-officedocument.spreadsheetml.worksheet+xml"/>
  <Override PartName="/xl/worksheets/sheet62.xml" ContentType="application/vnd.openxmlformats-officedocument.spreadsheetml.worksheet+xml"/>
  <Override PartName="/xl/worksheets/sheet244.xml" ContentType="application/vnd.openxmlformats-officedocument.spreadsheetml.worksheet+xml"/>
  <Override PartName="/xl/worksheets/sheet61.xml" ContentType="application/vnd.openxmlformats-officedocument.spreadsheetml.worksheet+xml"/>
  <Override PartName="/xl/worksheets/sheet243.xml" ContentType="application/vnd.openxmlformats-officedocument.spreadsheetml.worksheet+xml"/>
  <Override PartName="/xl/worksheets/sheet60.xml" ContentType="application/vnd.openxmlformats-officedocument.spreadsheetml.worksheet+xml"/>
  <Override PartName="/xl/worksheets/sheet242.xml" ContentType="application/vnd.openxmlformats-officedocument.spreadsheetml.worksheet+xml"/>
  <Override PartName="/xl/worksheets/sheet125.xml" ContentType="application/vnd.openxmlformats-officedocument.spreadsheetml.worksheet+xml"/>
  <Override PartName="/xl/worksheets/sheet124.xml" ContentType="application/vnd.openxmlformats-officedocument.spreadsheetml.worksheet+xml"/>
  <Override PartName="/xl/worksheets/sheet126.xml" ContentType="application/vnd.openxmlformats-officedocument.spreadsheetml.worksheet+xml"/>
  <Override PartName="/xl/worksheets/sheet194.xml" ContentType="application/vnd.openxmlformats-officedocument.spreadsheetml.worksheet+xml"/>
  <Override PartName="/xl/worksheets/sheet123.xml" ContentType="application/vnd.openxmlformats-officedocument.spreadsheetml.worksheet+xml"/>
  <Override PartName="/xl/worksheets/sheet283.xml" ContentType="application/vnd.openxmlformats-officedocument.spreadsheetml.worksheet+xml"/>
  <Override PartName="/xl/worksheets/sheet118.xml" ContentType="application/vnd.openxmlformats-officedocument.spreadsheetml.worksheet+xml"/>
  <Override PartName="/xl/worksheets/sheet186.xml" ContentType="application/vnd.openxmlformats-officedocument.spreadsheetml.worksheet+xml"/>
  <Override PartName="/xl/worksheets/sheet115.xml" ContentType="application/vnd.openxmlformats-officedocument.spreadsheetml.worksheet+xml"/>
  <Override PartName="/xl/worksheets/sheet280.xml" ContentType="application/vnd.openxmlformats-officedocument.spreadsheetml.worksheet+xml"/>
  <Override PartName="/xl/worksheets/sheet282.xml" ContentType="application/vnd.openxmlformats-officedocument.spreadsheetml.worksheet+xml"/>
  <Override PartName="/xl/worksheets/sheet117.xml" ContentType="application/vnd.openxmlformats-officedocument.spreadsheetml.worksheet+xml"/>
  <Override PartName="/xl/worksheets/sheet185.xml" ContentType="application/vnd.openxmlformats-officedocument.spreadsheetml.worksheet+xml"/>
  <Override PartName="/xl/worksheets/sheet114.xml" ContentType="application/vnd.openxmlformats-officedocument.spreadsheetml.worksheet+xml"/>
  <Override PartName="/xl/worksheets/sheet281.xml" ContentType="application/vnd.openxmlformats-officedocument.spreadsheetml.worksheet+xml"/>
  <Override PartName="/xl/worksheets/sheet116.xml" ContentType="application/vnd.openxmlformats-officedocument.spreadsheetml.worksheet+xml"/>
  <Override PartName="/xl/worksheets/sheet184.xml" ContentType="application/vnd.openxmlformats-officedocument.spreadsheetml.worksheet+xml"/>
  <Override PartName="/xl/worksheets/sheet113.xml" ContentType="application/vnd.openxmlformats-officedocument.spreadsheetml.worksheet+xml"/>
  <Override PartName="/xl/worksheets/sheet177.xml" ContentType="application/vnd.openxmlformats-officedocument.spreadsheetml.worksheet+xml"/>
  <Override PartName="/xl/worksheets/sheet109.xml" ContentType="application/vnd.openxmlformats-officedocument.spreadsheetml.worksheet+xml"/>
  <Override PartName="/xl/worksheets/sheet91.xml" ContentType="application/vnd.openxmlformats-officedocument.spreadsheetml.worksheet+xml"/>
  <Override PartName="/xl/worksheets/sheet274.xml" ContentType="application/vnd.openxmlformats-officedocument.spreadsheetml.worksheet+xml"/>
  <Override PartName="/xl/worksheets/sheet23.xml" ContentType="application/vnd.openxmlformats-officedocument.spreadsheetml.worksheet+xml"/>
  <Override PartName="/xl/worksheets/sheet206.xml" ContentType="application/vnd.openxmlformats-officedocument.spreadsheetml.worksheet+xml"/>
  <Override PartName="/xl/worksheets/sheet193.xml" ContentType="application/vnd.openxmlformats-officedocument.spreadsheetml.worksheet+xml"/>
  <Override PartName="/xl/worksheets/sheet39.xml" ContentType="application/vnd.openxmlformats-officedocument.spreadsheetml.worksheet+xml"/>
  <Override PartName="/xl/worksheets/sheet176.xml" ContentType="application/vnd.openxmlformats-officedocument.spreadsheetml.worksheet+xml"/>
  <Override PartName="/xl/worksheets/sheet108.xml" ContentType="application/vnd.openxmlformats-officedocument.spreadsheetml.worksheet+xml"/>
  <Override PartName="/xl/worksheets/sheet90.xml" ContentType="application/vnd.openxmlformats-officedocument.spreadsheetml.worksheet+xml"/>
  <Override PartName="/xl/worksheets/sheet273.xml" ContentType="application/vnd.openxmlformats-officedocument.spreadsheetml.worksheet+xml"/>
  <Override PartName="/xl/worksheets/sheet22.xml" ContentType="application/vnd.openxmlformats-officedocument.spreadsheetml.worksheet+xml"/>
  <Override PartName="/xl/worksheets/sheet205.xml" ContentType="application/vnd.openxmlformats-officedocument.spreadsheetml.worksheet+xml"/>
  <Override PartName="/xl/worksheets/sheet192.xml" ContentType="application/vnd.openxmlformats-officedocument.spreadsheetml.worksheet+xml"/>
  <Override PartName="/xl/worksheets/sheet38.xml" ContentType="application/vnd.openxmlformats-officedocument.spreadsheetml.worksheet+xml"/>
  <Override PartName="/xl/worksheets/sheet175.xml" ContentType="application/vnd.openxmlformats-officedocument.spreadsheetml.worksheet+xml"/>
  <Override PartName="/xl/worksheets/sheet191.xml" ContentType="application/vnd.openxmlformats-officedocument.spreadsheetml.worksheet+xml"/>
  <Override PartName="/xl/worksheets/sheet37.xml" ContentType="application/vnd.openxmlformats-officedocument.spreadsheetml.worksheet+xml"/>
  <Override PartName="/xl/worksheets/sheet174.xml" ContentType="application/vnd.openxmlformats-officedocument.spreadsheetml.worksheet+xml"/>
  <Override PartName="/xl/worksheets/sheet104.xml" ContentType="application/vnd.openxmlformats-officedocument.spreadsheetml.worksheet+xml"/>
  <Override PartName="/xl/worksheets/sheet48.xml" ContentType="application/vnd.openxmlformats-officedocument.spreadsheetml.worksheet+xml"/>
  <Override PartName="/xl/worksheets/sheet11.xml" ContentType="application/vnd.openxmlformats-officedocument.spreadsheetml.worksheet+xml"/>
  <Override PartName="/xl/worksheets/sheet187.xml" ContentType="application/vnd.openxmlformats-officedocument.spreadsheetml.worksheet+xml"/>
  <Override PartName="/xl/worksheets/sheet47.xml" ContentType="application/vnd.openxmlformats-officedocument.spreadsheetml.worksheet+xml"/>
  <Override PartName="/xl/worksheets/sheet119.xml" ContentType="application/vnd.openxmlformats-officedocument.spreadsheetml.worksheet+xml"/>
  <Override PartName="/xl/worksheets/sheet284.xml" ContentType="application/vnd.openxmlformats-officedocument.spreadsheetml.worksheet+xml"/>
  <Override PartName="/xl/worksheets/sheet10.xml" ContentType="application/vnd.openxmlformats-officedocument.spreadsheetml.worksheet+xml"/>
  <Override PartName="/xl/worksheets/sheet103.xml" ContentType="application/vnd.openxmlformats-officedocument.spreadsheetml.worksheet+xml"/>
  <Override PartName="/xl/worksheets/sheet160.xml" ContentType="application/vnd.openxmlformats-officedocument.spreadsheetml.worksheet+xml"/>
  <Override PartName="/xl/worksheets/sheet102.xml" ContentType="application/vnd.openxmlformats-officedocument.spreadsheetml.worksheet+xml"/>
  <Override PartName="/xl/worksheets/sheet49.xml" ContentType="application/vnd.openxmlformats-officedocument.spreadsheetml.worksheet+xml"/>
  <Override PartName="/xl/worksheets/sheet12.xml" ContentType="application/vnd.openxmlformats-officedocument.spreadsheetml.worksheet+xml"/>
  <Override PartName="/xl/worksheets/sheet79.xml" ContentType="application/vnd.openxmlformats-officedocument.spreadsheetml.worksheet+xml"/>
  <Override PartName="/xl/worksheets/sheet171.xml" ContentType="application/vnd.openxmlformats-officedocument.spreadsheetml.worksheet+xml"/>
  <Override PartName="/xl/worksheets/sheet17.xml" ContentType="application/vnd.openxmlformats-officedocument.spreadsheetml.worksheet+xml"/>
  <Override PartName="/xl/worksheets/sheet77.xml" ContentType="application/vnd.openxmlformats-officedocument.spreadsheetml.worksheet+xml"/>
  <Override PartName="/xl/worksheets/sheet3.xml" ContentType="application/vnd.openxmlformats-officedocument.spreadsheetml.worksheet+xml"/>
  <Override PartName="/xl/worksheets/sheet69.xml" ContentType="application/vnd.openxmlformats-officedocument.spreadsheetml.worksheet+xml"/>
  <Override PartName="/xl/worksheets/sheet172.xml" ContentType="application/vnd.openxmlformats-officedocument.spreadsheetml.worksheet+xml"/>
  <Override PartName="/xl/worksheets/sheet18.xml" ContentType="application/vnd.openxmlformats-officedocument.spreadsheetml.worksheet+xml"/>
  <Override PartName="/xl/worksheets/sheet285.xml" ContentType="application/vnd.openxmlformats-officedocument.spreadsheetml.worksheet+xml"/>
  <Override PartName="/xl/worksheets/sheet107.xml" ContentType="application/vnd.openxmlformats-officedocument.spreadsheetml.worksheet+xml"/>
  <Override PartName="/xl/worksheets/sheet272.xml" ContentType="application/vnd.openxmlformats-officedocument.spreadsheetml.worksheet+xml"/>
  <Override PartName="/xl/worksheets/sheet99.xml" ContentType="application/vnd.openxmlformats-officedocument.spreadsheetml.worksheet+xml"/>
  <Override PartName="/xl/worksheets/sheet78.xml" ContentType="application/vnd.openxmlformats-officedocument.spreadsheetml.worksheet+xml"/>
  <Override PartName="/xl/worksheets/sheet122.xml" ContentType="application/vnd.openxmlformats-officedocument.spreadsheetml.worksheet+xml"/>
  <Override PartName="/xl/worksheets/sheet86.xml" ContentType="application/vnd.openxmlformats-officedocument.spreadsheetml.worksheet+xml"/>
  <Override PartName="/xl/worksheets/sheet269.xml" ContentType="application/vnd.openxmlformats-officedocument.spreadsheetml.worksheet+xml"/>
  <Override PartName="/xl/worksheets/sheet278.xml" ContentType="application/vnd.openxmlformats-officedocument.spreadsheetml.worksheet+xml"/>
  <Override PartName="/xl/worksheets/sheet95.xml" ContentType="application/vnd.openxmlformats-officedocument.spreadsheetml.worksheet+xml"/>
  <Override PartName="/xl/worksheets/sheet181.xml" ContentType="application/vnd.openxmlformats-officedocument.spreadsheetml.worksheet+xml"/>
  <Override PartName="/xl/worksheets/sheet27.xml" ContentType="application/vnd.openxmlformats-officedocument.spreadsheetml.worksheet+xml"/>
  <Override PartName="/xl/worksheets/sheet182.xml" ContentType="application/vnd.openxmlformats-officedocument.spreadsheetml.worksheet+xml"/>
  <Override PartName="/xl/worksheets/sheet28.xml" ContentType="application/vnd.openxmlformats-officedocument.spreadsheetml.worksheet+xml"/>
  <Override PartName="/xl/worksheets/sheet261.xml" ContentType="application/vnd.openxmlformats-officedocument.spreadsheetml.worksheet+xml"/>
  <Override PartName="/xl/worksheets/sheet88.xml" ContentType="application/vnd.openxmlformats-officedocument.spreadsheetml.worksheet+xml"/>
  <Override PartName="/xl/worksheets/sheet96.xml" ContentType="application/vnd.openxmlformats-officedocument.spreadsheetml.worksheet+xml"/>
  <Override PartName="/xl/worksheets/sheet279.xml" ContentType="application/vnd.openxmlformats-officedocument.spreadsheetml.worksheet+xml"/>
  <Override PartName="/xl/worksheets/sheet112.xml" ContentType="application/vnd.openxmlformats-officedocument.spreadsheetml.worksheet+xml"/>
  <Override PartName="/xl/worksheets/sheet89.xml" ContentType="application/vnd.openxmlformats-officedocument.spreadsheetml.worksheet+xml"/>
  <Override PartName="/xl/worksheets/sheet262.xml" ContentType="application/vnd.openxmlformats-officedocument.spreadsheetml.worksheet+xml"/>
  <Override PartName="/xl/worksheets/sheet100.xml" ContentType="application/vnd.openxmlformats-officedocument.spreadsheetml.worksheet+xml"/>
  <Override PartName="/xl/worksheets/sheet87.xml" ContentType="application/vnd.openxmlformats-officedocument.spreadsheetml.worksheet+xml"/>
  <Override PartName="/xl/worksheets/sheet173.xml" ContentType="application/vnd.openxmlformats-officedocument.spreadsheetml.worksheet+xml"/>
  <Override PartName="/xl/worksheets/sheet19.xml" ContentType="application/vnd.openxmlformats-officedocument.spreadsheetml.worksheet+xml"/>
  <Override PartName="/xl/worksheets/sheet260.xml" ContentType="application/vnd.openxmlformats-officedocument.spreadsheetml.worksheet+xml"/>
  <Override PartName="/xl/worksheets/sheet106.xml" ContentType="application/vnd.openxmlformats-officedocument.spreadsheetml.worksheet+xml"/>
  <Override PartName="/xl/worksheets/sheet271.xml" ContentType="application/vnd.openxmlformats-officedocument.spreadsheetml.worksheet+xml"/>
  <Override PartName="/xl/worksheets/sheet98.xml" ContentType="application/vnd.openxmlformats-officedocument.spreadsheetml.worksheet+xml"/>
  <Override PartName="/xl/worksheets/sheet2.xml" ContentType="application/vnd.openxmlformats-officedocument.spreadsheetml.worksheet+xml"/>
  <Override PartName="/xl/worksheets/sheet259.xml" ContentType="application/vnd.openxmlformats-officedocument.spreadsheetml.worksheet+xml"/>
  <Override PartName="/xl/worksheets/sheet76.xml" ContentType="application/vnd.openxmlformats-officedocument.spreadsheetml.worksheet+xml"/>
  <Override PartName="/xl/worksheets/sheet85.xml" ContentType="application/vnd.openxmlformats-officedocument.spreadsheetml.worksheet+xml"/>
  <Override PartName="/xl/worksheets/sheet268.xml" ContentType="application/vnd.openxmlformats-officedocument.spreadsheetml.worksheet+xml"/>
  <Override PartName="/xl/worksheets/sheet121.xml" ContentType="application/vnd.openxmlformats-officedocument.spreadsheetml.worksheet+xml"/>
  <Override PartName="/xl/worksheets/sheet170.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110.xml" ContentType="application/vnd.openxmlformats-officedocument.spreadsheetml.worksheet+xml"/>
  <Override PartName="/xl/worksheets/sheet105.xml" ContentType="application/vnd.openxmlformats-officedocument.spreadsheetml.worksheet+xml"/>
  <Override PartName="/xl/worksheets/sheet270.xml" ContentType="application/vnd.openxmlformats-officedocument.spreadsheetml.worksheet+xml"/>
  <Override PartName="/xl/worksheets/sheet202.xml" ContentType="application/vnd.openxmlformats-officedocument.spreadsheetml.worksheet+xml"/>
  <Override PartName="/xl/worksheets/sheet97.xml" ContentType="application/vnd.openxmlformats-officedocument.spreadsheetml.worksheet+xml"/>
  <Override PartName="/xl/worksheets/sheet183.xml" ContentType="application/vnd.openxmlformats-officedocument.spreadsheetml.worksheet+xml"/>
  <Override PartName="/xl/worksheets/sheet29.xml" ContentType="application/vnd.openxmlformats-officedocument.spreadsheetml.worksheet+xml"/>
  <Override PartName="/xl/worksheets/sheet1.xml" ContentType="application/vnd.openxmlformats-officedocument.spreadsheetml.worksheet+xml"/>
  <Override PartName="/xl/worksheets/sheet101.xml" ContentType="application/vnd.openxmlformats-officedocument.spreadsheetml.worksheet+xml"/>
  <Override PartName="/xl/worksheets/sheet80.xml" ContentType="application/vnd.openxmlformats-officedocument.spreadsheetml.worksheet+xml"/>
  <Override PartName="/xl/worksheets/sheet263.xml" ContentType="application/vnd.openxmlformats-officedocument.spreadsheetml.worksheet+xml"/>
  <Override PartName="/xl/worksheets/sheet111.xml" ContentType="application/vnd.openxmlformats-officedocument.spreadsheetml.worksheet+xml"/>
  <Override PartName="/xl/worksheets/sheet75.xml" ContentType="application/vnd.openxmlformats-officedocument.spreadsheetml.worksheet+xml"/>
  <Override PartName="/xl/worksheets/sheet258.xml" ContentType="application/vnd.openxmlformats-officedocument.spreadsheetml.worksheet+xml"/>
  <Override PartName="/xl/worksheets/sheet59.xml" ContentType="application/vnd.openxmlformats-officedocument.spreadsheetml.worksheet+xml"/>
  <Override PartName="/xl/worksheets/sheet68.xml" ContentType="application/vnd.openxmlformats-officedocument.spreadsheetml.worksheet+xml"/>
  <Override PartName="/xl/worksheets/sheet120.xml" ContentType="application/vnd.openxmlformats-officedocument.spreadsheetml.worksheet+xml"/>
  <Override PartName="/xl/worksheets/sheet84.xml" ContentType="application/vnd.openxmlformats-officedocument.spreadsheetml.worksheet+xml"/>
  <Override PartName="/xl/worksheets/sheet267.xml" ContentType="application/vnd.openxmlformats-officedocument.spreadsheetml.worksheet+xml"/>
  <Override PartName="/xl/worksheets/sheet67.xml" ContentType="application/vnd.openxmlformats-officedocument.spreadsheetml.worksheet+xml"/>
  <Override PartName="/xl/worksheets/sheet83.xml" ContentType="application/vnd.openxmlformats-officedocument.spreadsheetml.worksheet+xml"/>
  <Override PartName="/xl/worksheets/sheet266.xml" ContentType="application/vnd.openxmlformats-officedocument.spreadsheetml.worksheet+xml"/>
  <Override PartName="/xl/worksheets/sheet277.xml" ContentType="application/vnd.openxmlformats-officedocument.spreadsheetml.worksheet+xml"/>
  <Override PartName="/xl/worksheets/sheet94.xml" ContentType="application/vnd.openxmlformats-officedocument.spreadsheetml.worksheet+xml"/>
  <Override PartName="/xl/worksheets/sheet209.xml" ContentType="application/vnd.openxmlformats-officedocument.spreadsheetml.worksheet+xml"/>
  <Override PartName="/xl/worksheets/sheet180.xml" ContentType="application/vnd.openxmlformats-officedocument.spreadsheetml.worksheet+xml"/>
  <Override PartName="/xl/worksheets/sheet26.xml" ContentType="application/vnd.openxmlformats-officedocument.spreadsheetml.worksheet+xml"/>
  <Override PartName="/xl/worksheets/sheet276.xml" ContentType="application/vnd.openxmlformats-officedocument.spreadsheetml.worksheet+xml"/>
  <Override PartName="/xl/worksheets/sheet93.xml" ContentType="application/vnd.openxmlformats-officedocument.spreadsheetml.worksheet+xml"/>
  <Override PartName="/xl/worksheets/sheet208.xml" ContentType="application/vnd.openxmlformats-officedocument.spreadsheetml.worksheet+xml"/>
  <Override PartName="/xl/worksheets/sheet25.xml" ContentType="application/vnd.openxmlformats-officedocument.spreadsheetml.worksheet+xml"/>
  <Override PartName="/xl/worksheets/sheet14.xml" ContentType="application/vnd.openxmlformats-officedocument.spreadsheetml.worksheet+xml"/>
  <Override PartName="/xl/worksheets/sheet275.xml" ContentType="application/vnd.openxmlformats-officedocument.spreadsheetml.worksheet+xml"/>
  <Override PartName="/xl/worksheets/sheet92.xml" ContentType="application/vnd.openxmlformats-officedocument.spreadsheetml.worksheet+xml"/>
  <Override PartName="/xl/worksheets/sheet207.xml" ContentType="application/vnd.openxmlformats-officedocument.spreadsheetml.worksheet+xml"/>
  <Override PartName="/xl/worksheets/sheet24.xml" ContentType="application/vnd.openxmlformats-officedocument.spreadsheetml.worksheet+xml"/>
  <Override PartName="/xl/worksheets/sheet13.xml" ContentType="application/vnd.openxmlformats-officedocument.spreadsheetml.worksheet+xml"/>
  <Override PartName="/xl/worksheets/sheet58.xml" ContentType="application/vnd.openxmlformats-officedocument.spreadsheetml.worksheet+xml"/>
  <Override PartName="/xl/worksheets/sheet57.xml" ContentType="application/vnd.openxmlformats-officedocument.spreadsheetml.worksheet+xml"/>
  <Override PartName="/xl/worksheets/sheet82.xml" ContentType="application/vnd.openxmlformats-officedocument.spreadsheetml.worksheet+xml"/>
  <Override PartName="/xl/worksheets/sheet265.xml" ContentType="application/vnd.openxmlformats-officedocument.spreadsheetml.worksheet+xml"/>
  <Override PartName="/xl/worksheets/sheet81.xml" ContentType="application/vnd.openxmlformats-officedocument.spreadsheetml.worksheet+xml"/>
  <Override PartName="/xl/worksheets/sheet264.xml" ContentType="application/vnd.openxmlformats-officedocument.spreadsheetml.worksheet+xml"/>
  <Override PartName="/xl/worksheets/sheet127.xml" ContentType="application/vnd.openxmlformats-officedocument.spreadsheetml.worksheet+xml"/>
  <Override PartName="/xl/worksheets/sheet195.xml" ContentType="application/vnd.openxmlformats-officedocument.spreadsheetml.worksheet+xml"/>
  <Override PartName="/xl/worksheets/sheet128.xml" ContentType="application/vnd.openxmlformats-officedocument.spreadsheetml.worksheet+xml"/>
  <Override PartName="/xl/worksheets/sheet196.xml" ContentType="application/vnd.openxmlformats-officedocument.spreadsheetml.worksheet+xml"/>
  <Override PartName="/xl/worksheets/sheet129.xml" ContentType="application/vnd.openxmlformats-officedocument.spreadsheetml.worksheet+xml"/>
  <Override PartName="/xl/worksheets/sheet197.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8.xml" ContentType="application/vnd.openxmlformats-officedocument.spreadsheetml.worksheet+xml"/>
  <Override PartName="/xl/worksheets/sheet200.xml" ContentType="application/vnd.openxmlformats-officedocument.spreadsheetml.worksheet+xml"/>
  <Override PartName="/xl/worksheets/sheet199.xml" ContentType="application/vnd.openxmlformats-officedocument.spreadsheetml.worksheet+xml"/>
  <Override PartName="/xl/worksheets/sheet201.xml" ContentType="application/vnd.openxmlformats-officedocument.spreadsheetml.worksheet+xml"/>
  <Override PartName="/xl/worksheets/sheet203.xml" ContentType="application/vnd.openxmlformats-officedocument.spreadsheetml.worksheet+xml"/>
  <Override PartName="/xl/worksheets/sheet20.xml" ContentType="application/vnd.openxmlformats-officedocument.spreadsheetml.worksheet+xml"/>
  <Override PartName="/xl/worksheets/sheet204.xml" ContentType="application/vnd.openxmlformats-officedocument.spreadsheetml.worksheet+xml"/>
  <Override PartName="/xl/worksheets/sheet21.xml" ContentType="application/vnd.openxmlformats-officedocument.spreadsheetml.worksheet+xml"/>
  <Override PartName="/xl/worksheets/sheet4.xml" ContentType="application/vnd.openxmlformats-officedocument.spreadsheetml.worksheet+xml"/>
  <Override PartName="/xl/worksheets/sheet210.xml" ContentType="application/vnd.openxmlformats-officedocument.spreadsheetml.worksheet+xml"/>
  <Override PartName="/xl/worksheets/sheet5.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6.xml" ContentType="application/vnd.openxmlformats-officedocument.spreadsheetml.worksheet+xml"/>
  <Override PartName="/xl/worksheets/sheet213.xml" ContentType="application/vnd.openxmlformats-officedocument.spreadsheetml.worksheet+xml"/>
  <Override PartName="/xl/worksheets/sheet7.xml" ContentType="application/vnd.openxmlformats-officedocument.spreadsheetml.worksheet+xml"/>
  <Override PartName="/xl/worksheets/sheet30.xml" ContentType="application/vnd.openxmlformats-officedocument.spreadsheetml.worksheet+xml"/>
  <Override PartName="/xl/worksheets/sheet214.xml" ContentType="application/vnd.openxmlformats-officedocument.spreadsheetml.worksheet+xml"/>
  <Override PartName="/xl/worksheets/sheet8.xml" ContentType="application/vnd.openxmlformats-officedocument.spreadsheetml.worksheet+xml"/>
  <Override PartName="/xl/worksheets/sheet31.xml" ContentType="application/vnd.openxmlformats-officedocument.spreadsheetml.worksheet+xml"/>
  <Override PartName="/xl/worksheets/sheet215.xml" ContentType="application/vnd.openxmlformats-officedocument.spreadsheetml.worksheet+xml"/>
  <Override PartName="/xl/worksheets/sheet9.xml" ContentType="application/vnd.openxmlformats-officedocument.spreadsheetml.worksheet+xml"/>
  <Override PartName="/xl/worksheets/sheet32.xml" ContentType="application/vnd.openxmlformats-officedocument.spreadsheetml.worksheet+xml"/>
  <Override PartName="/xl/worksheets/sheet216.xml" ContentType="application/vnd.openxmlformats-officedocument.spreadsheetml.worksheet+xml"/>
  <Override PartName="/xl/worksheets/sheet33.xml" ContentType="application/vnd.openxmlformats-officedocument.spreadsheetml.worksheet+xml"/>
  <Override PartName="/xl/worksheets/sheet217.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218.xml" ContentType="application/vnd.openxmlformats-officedocument.spreadsheetml.worksheet+xml"/>
  <Override PartName="/xl/worksheets/sheet190.xml" ContentType="application/vnd.openxmlformats-officedocument.spreadsheetml.worksheet+xml"/>
  <Override PartName="/xl/worksheets/sheet36.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40.xml" ContentType="application/vnd.openxmlformats-officedocument.spreadsheetml.worksheet+xml"/>
  <Override PartName="/xl/worksheets/sheet223.xml" ContentType="application/vnd.openxmlformats-officedocument.spreadsheetml.worksheet+xml"/>
  <Override PartName="/xl/worksheets/sheet41.xml" ContentType="application/vnd.openxmlformats-officedocument.spreadsheetml.worksheet+xml"/>
  <Override PartName="/xl/worksheets/sheet224.xml" ContentType="application/vnd.openxmlformats-officedocument.spreadsheetml.worksheet+xml"/>
  <Override PartName="/xl/worksheets/sheet42.xml" ContentType="application/vnd.openxmlformats-officedocument.spreadsheetml.worksheet+xml"/>
  <Override PartName="/xl/worksheets/sheet225.xml" ContentType="application/vnd.openxmlformats-officedocument.spreadsheetml.worksheet+xml"/>
  <Override PartName="/xl/worksheets/sheet43.xml" ContentType="application/vnd.openxmlformats-officedocument.spreadsheetml.worksheet+xml"/>
  <Override PartName="/xl/worksheets/sheet226.xml" ContentType="application/vnd.openxmlformats-officedocument.spreadsheetml.worksheet+xml"/>
  <Override PartName="/xl/worksheets/sheet44.xml" ContentType="application/vnd.openxmlformats-officedocument.spreadsheetml.worksheet+xml"/>
  <Override PartName="/xl/worksheets/sheet227.xml" ContentType="application/vnd.openxmlformats-officedocument.spreadsheetml.worksheet+xml"/>
  <Override PartName="/xl/worksheets/sheet45.xml" ContentType="application/vnd.openxmlformats-officedocument.spreadsheetml.worksheet+xml"/>
  <Override PartName="/xl/worksheets/sheet228.xml" ContentType="application/vnd.openxmlformats-officedocument.spreadsheetml.worksheet+xml"/>
  <Override PartName="/xl/worksheets/sheet46.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50.xml" ContentType="application/vnd.openxmlformats-officedocument.spreadsheetml.worksheet+xml"/>
  <Override PartName="/xl/worksheets/sheet233.xml" ContentType="application/vnd.openxmlformats-officedocument.spreadsheetml.worksheet+xml"/>
  <Override PartName="/xl/worksheets/sheet51.xml" ContentType="application/vnd.openxmlformats-officedocument.spreadsheetml.worksheet+xml"/>
  <Override PartName="/xl/worksheets/sheet234.xml" ContentType="application/vnd.openxmlformats-officedocument.spreadsheetml.worksheet+xml"/>
  <Override PartName="/xl/worksheets/sheet52.xml" ContentType="application/vnd.openxmlformats-officedocument.spreadsheetml.worksheet+xml"/>
  <Override PartName="/xl/worksheets/sheet235.xml" ContentType="application/vnd.openxmlformats-officedocument.spreadsheetml.worksheet+xml"/>
  <Override PartName="/xl/worksheets/sheet53.xml" ContentType="application/vnd.openxmlformats-officedocument.spreadsheetml.worksheet+xml"/>
  <Override PartName="/xl/worksheets/sheet236.xml" ContentType="application/vnd.openxmlformats-officedocument.spreadsheetml.worksheet+xml"/>
  <Override PartName="/xl/worksheets/sheet54.xml" ContentType="application/vnd.openxmlformats-officedocument.spreadsheetml.worksheet+xml"/>
  <Override PartName="/xl/worksheets/sheet237.xml" ContentType="application/vnd.openxmlformats-officedocument.spreadsheetml.worksheet+xml"/>
  <Override PartName="/xl/worksheets/sheet55.xml" ContentType="application/vnd.openxmlformats-officedocument.spreadsheetml.worksheet+xml"/>
  <Override PartName="/xl/worksheets/sheet238.xml" ContentType="application/vnd.openxmlformats-officedocument.spreadsheetml.worksheet+xml"/>
  <Override PartName="/xl/worksheets/sheet56.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ommaire" sheetId="1" state="visible" r:id="rId3"/>
    <sheet name="Paramètres" sheetId="2" state="visible" r:id="rId4"/>
    <sheet name="Cadencier" sheetId="3" state="visible" r:id="rId5"/>
    <sheet name="Correspondance" sheetId="4" state="visible" r:id="rId6"/>
    <sheet name="Menu → fiches" sheetId="5" state="visible" r:id="rId7"/>
    <sheet name="T° cuisson de nuit" sheetId="6" state="visible" r:id="rId8"/>
    <sheet name="E-Salade verte" sheetId="7" state="visible" r:id="rId9"/>
    <sheet name="E-Potage de légumes" sheetId="8" state="visible" r:id="rId10"/>
    <sheet name="E-Potage de féculents" sheetId="9" state="visible" r:id="rId11"/>
    <sheet name="E-Taboulé" sheetId="10" state="visible" r:id="rId12"/>
    <sheet name="E-Feuilleté" sheetId="11" state="visible" r:id="rId13"/>
    <sheet name="E-Salade d'endives" sheetId="12" state="visible" r:id="rId14"/>
    <sheet name="E-Salade d'endives aux noix" sheetId="13" state="visible" r:id="rId15"/>
    <sheet name="E-Endives au bleu et aux noix" sheetId="14" state="visible" r:id="rId16"/>
    <sheet name="E-Salade de riz" sheetId="15" state="visible" r:id="rId17"/>
    <sheet name="E-Betteraves vinaigrette" sheetId="16" state="visible" r:id="rId18"/>
    <sheet name="E-Salade de betteraves et maïs" sheetId="17" state="visible" r:id="rId19"/>
    <sheet name="E-Salade mexicaine" sheetId="18" state="visible" r:id="rId20"/>
    <sheet name="E-Melon" sheetId="19" state="visible" r:id="rId21"/>
    <sheet name="E-Pastèque" sheetId="20" state="visible" r:id="rId22"/>
    <sheet name="E-Pamplemousse" sheetId="21" state="visible" r:id="rId23"/>
    <sheet name="E-Poireaux vinaigrette" sheetId="22" state="visible" r:id="rId24"/>
    <sheet name="E-Avocat vinaigrette ou mayonna" sheetId="23" state="visible" r:id="rId25"/>
    <sheet name="E-Salade de lentilles" sheetId="24" state="visible" r:id="rId26"/>
    <sheet name="E-Terrine de légumes" sheetId="25" state="visible" r:id="rId27"/>
    <sheet name="E-Salade de pois chiches" sheetId="26" state="visible" r:id="rId28"/>
    <sheet name="E-Macédoine mayonnaise" sheetId="27" state="visible" r:id="rId29"/>
    <sheet name="E-Salade de mâche" sheetId="28" state="visible" r:id="rId30"/>
    <sheet name="E-Mâche et tartine de chèvre ch" sheetId="29" state="visible" r:id="rId31"/>
    <sheet name="E-Carottes râpées" sheetId="30" state="visible" r:id="rId32"/>
    <sheet name="E-Pizza" sheetId="31" state="visible" r:id="rId33"/>
    <sheet name="E-Rosette" sheetId="32" state="visible" r:id="rId34"/>
    <sheet name="E-Saucisse sèche" sheetId="33" state="visible" r:id="rId35"/>
    <sheet name="E-Coleslaw" sheetId="34" state="visible" r:id="rId36"/>
    <sheet name="E-Salade de chou chinois" sheetId="35" state="visible" r:id="rId37"/>
    <sheet name="E-Salade de tomates" sheetId="36" state="visible" r:id="rId38"/>
    <sheet name="E-Tomates mozzarella" sheetId="37" state="visible" r:id="rId39"/>
    <sheet name="E-Tomate antiboise" sheetId="38" state="visible" r:id="rId40"/>
    <sheet name="E-Tomate à la russe" sheetId="39" state="visible" r:id="rId41"/>
    <sheet name="E-Salade de pâtes" sheetId="40" state="visible" r:id="rId42"/>
    <sheet name="E-Salade de pâtes, poulet et pe" sheetId="41" state="visible" r:id="rId43"/>
    <sheet name="E-Asperges vinaigrette" sheetId="42" state="visible" r:id="rId44"/>
    <sheet name="E-Pâté aux olives" sheetId="43" state="visible" r:id="rId45"/>
    <sheet name="E-Jambon cru" sheetId="44" state="visible" r:id="rId46"/>
    <sheet name="E-Pâté de campagne" sheetId="45" state="visible" r:id="rId47"/>
    <sheet name="E-Salade de chou-fleur" sheetId="46" state="visible" r:id="rId48"/>
    <sheet name="E-Salade de haricots verts" sheetId="47" state="visible" r:id="rId49"/>
    <sheet name="E-Salade de haricots beurre" sheetId="48" state="visible" r:id="rId50"/>
    <sheet name="E-Salade de haricots rouges" sheetId="49" state="visible" r:id="rId51"/>
    <sheet name="E-Salade de pommes de terre" sheetId="50" state="visible" r:id="rId52"/>
    <sheet name="E-Salade piémontaise" sheetId="51" state="visible" r:id="rId53"/>
    <sheet name="E-Salade de perles" sheetId="52" state="visible" r:id="rId54"/>
    <sheet name="E-Salade ebly" sheetId="53" state="visible" r:id="rId55"/>
    <sheet name="E-Salade gourmande de céréales" sheetId="54" state="visible" r:id="rId56"/>
    <sheet name="E-Mousse de canard" sheetId="55" state="visible" r:id="rId57"/>
    <sheet name="E-Rillettes de canard" sheetId="56" state="visible" r:id="rId58"/>
    <sheet name="E-Toast de foie gras" sheetId="57" state="visible" r:id="rId59"/>
    <sheet name="E-Céleri rémoulade" sheetId="58" state="visible" r:id="rId60"/>
    <sheet name="E-Coquille Saint-Jacques" sheetId="59" state="visible" r:id="rId61"/>
    <sheet name="E-Feuilleté de Saint-Jacques" sheetId="60" state="visible" r:id="rId62"/>
    <sheet name="E-Assiette de charcuterie" sheetId="61" state="visible" r:id="rId63"/>
    <sheet name="E-Pâté en croûte" sheetId="62" state="visible" r:id="rId64"/>
    <sheet name="E-Crêpe salée jambon fromage" sheetId="63" state="visible" r:id="rId65"/>
    <sheet name="E-Râpé de courgettes" sheetId="64" state="visible" r:id="rId66"/>
    <sheet name="E-Sardines" sheetId="65" state="visible" r:id="rId67"/>
    <sheet name="E-Maquereaux à la moutarde" sheetId="66" state="visible" r:id="rId68"/>
    <sheet name="E-Tarte à la tomate et au chèvr" sheetId="67" state="visible" r:id="rId69"/>
    <sheet name="E-Tarte méditerranéenne" sheetId="68" state="visible" r:id="rId70"/>
    <sheet name="E-Tarte à l'oignon" sheetId="69" state="visible" r:id="rId71"/>
    <sheet name="E-Tarte au fromage" sheetId="70" state="visible" r:id="rId72"/>
    <sheet name="E-Quiche lorraine" sheetId="71" state="visible" r:id="rId73"/>
    <sheet name="E-Quiche au thon" sheetId="72" state="visible" r:id="rId74"/>
    <sheet name="E-Salade César" sheetId="73" state="visible" r:id="rId75"/>
    <sheet name="E-Surimi" sheetId="74" state="visible" r:id="rId76"/>
    <sheet name="E-Nems" sheetId="75" state="visible" r:id="rId77"/>
    <sheet name="E-Chou rouge râpé aux pommes" sheetId="76" state="visible" r:id="rId78"/>
    <sheet name="E-Croque-monsieur" sheetId="77" state="visible" r:id="rId79"/>
    <sheet name="E-Terrine de poisson" sheetId="78" state="visible" r:id="rId80"/>
    <sheet name="E-Tartare de saumon" sheetId="79" state="visible" r:id="rId81"/>
    <sheet name="E-Velouté de cèpes et châtaigne" sheetId="80" state="visible" r:id="rId82"/>
    <sheet name="E-Velouté aux pointes d'asperge" sheetId="81" state="visible" r:id="rId83"/>
    <sheet name="E-Velouté de potimarron" sheetId="82" state="visible" r:id="rId84"/>
    <sheet name="E-Soupe de poisson" sheetId="83" state="visible" r:id="rId85"/>
    <sheet name="E-Salade périgourdine" sheetId="84" state="visible" r:id="rId86"/>
    <sheet name="E-Salade verte aux croûtons et" sheetId="85" state="visible" r:id="rId87"/>
    <sheet name="E-Œuf mayonnaise" sheetId="86" state="visible" r:id="rId88"/>
    <sheet name="E-Salade d'artichauts" sheetId="87" state="visible" r:id="rId89"/>
    <sheet name="E-Champignons à la grecque" sheetId="88" state="visible" r:id="rId90"/>
    <sheet name="E-Salade crétoise à la feta" sheetId="89" state="visible" r:id="rId91"/>
    <sheet name="P-Rôti de veau" sheetId="90" state="visible" r:id="rId92"/>
    <sheet name="P-Cordon bleu" sheetId="91" state="visible" r:id="rId93"/>
    <sheet name="P-Jambon blanc" sheetId="92" state="visible" r:id="rId94"/>
    <sheet name="P-Jambon à la russe" sheetId="93" state="visible" r:id="rId95"/>
    <sheet name="P-Jambon braisé" sheetId="94" state="visible" r:id="rId96"/>
    <sheet name="P-Ficelle picarde (jambon picar" sheetId="95" state="visible" r:id="rId97"/>
    <sheet name="P-Poisson pané" sheetId="96" state="visible" r:id="rId98"/>
    <sheet name="P-Escalope de veau" sheetId="97" state="visible" r:id="rId99"/>
    <sheet name="P-Escalope viennoise" sheetId="98" state="visible" r:id="rId100"/>
    <sheet name="P-Paupiette de volaille" sheetId="99" state="visible" r:id="rId101"/>
    <sheet name="P-Paupiette de veau sauce tomat" sheetId="100" state="visible" r:id="rId102"/>
    <sheet name="P-Pavé de poisson sauce beurre" sheetId="101" state="visible" r:id="rId103"/>
    <sheet name="P-Pavé de saumon" sheetId="102" state="visible" r:id="rId104"/>
    <sheet name="P-Rôti de porc" sheetId="103" state="visible" r:id="rId105"/>
    <sheet name="P-Rôti de porc froid" sheetId="104" state="visible" r:id="rId106"/>
    <sheet name="P-Escalope de porc" sheetId="105" state="visible" r:id="rId107"/>
    <sheet name="P-Saucisse de Toulouse" sheetId="106" state="visible" r:id="rId108"/>
    <sheet name="P-Saucisse de volaille" sheetId="107" state="visible" r:id="rId109"/>
    <sheet name="P-Chipolatas" sheetId="108" state="visible" r:id="rId110"/>
    <sheet name="P-Merguez" sheetId="109" state="visible" r:id="rId111"/>
    <sheet name="P-Hachis parmentier" sheetId="110" state="visible" r:id="rId112"/>
    <sheet name="P-Parmentier de canard" sheetId="111" state="visible" r:id="rId113"/>
    <sheet name="P-Parmentier de poisson" sheetId="112" state="visible" r:id="rId114"/>
    <sheet name="P-Dos de cabillaud" sheetId="113" state="visible" r:id="rId115"/>
    <sheet name="P-Dos de colin meunière" sheetId="114" state="visible" r:id="rId116"/>
    <sheet name="P-Dos de colin bordelaise" sheetId="115" state="visible" r:id="rId117"/>
    <sheet name="P-Dos de loup ou filet de dorad" sheetId="116" state="visible" r:id="rId118"/>
    <sheet name="P-Rôti de bœuf" sheetId="117" state="visible" r:id="rId119"/>
    <sheet name="P-Rosbif froid" sheetId="118" state="visible" r:id="rId120"/>
    <sheet name="P-Sauté de veau" sheetId="119" state="visible" r:id="rId121"/>
    <sheet name="P-Sauté de lapin" sheetId="120" state="visible" r:id="rId122"/>
    <sheet name="P-Cuisse de lapin à la moutarde" sheetId="121" state="visible" r:id="rId123"/>
    <sheet name="P-Tête de veau sauce gribiche" sheetId="122" state="visible" r:id="rId124"/>
    <sheet name="P-Raviolis" sheetId="123" state="visible" r:id="rId125"/>
    <sheet name="P-Cannellonis" sheetId="124" state="visible" r:id="rId126"/>
    <sheet name="P-Steak de bœuf" sheetId="125" state="visible" r:id="rId127"/>
    <sheet name="P-Steak haché" sheetId="126" state="visible" r:id="rId128"/>
    <sheet name="P-Moussaka" sheetId="127" state="visible" r:id="rId129"/>
    <sheet name="P-Poulet basquaise" sheetId="128" state="visible" r:id="rId130"/>
    <sheet name="P-Lasagnes au bœuf" sheetId="129" state="visible" r:id="rId131"/>
    <sheet name="P-Lasagnes saumon épinards" sheetId="130" state="visible" r:id="rId132"/>
    <sheet name="P-Pot-au-feu" sheetId="131" state="visible" r:id="rId133"/>
    <sheet name="P-Pâtes bolognaise" sheetId="132" state="visible" r:id="rId134"/>
    <sheet name="P-Pâtes carbonara" sheetId="133" state="visible" r:id="rId135"/>
    <sheet name="P-Pâtes au chorizo" sheetId="134" state="visible" r:id="rId136"/>
    <sheet name="P-Gratin de pâtes au jambon" sheetId="135" state="visible" r:id="rId137"/>
    <sheet name="P-Suprême de volaille" sheetId="136" state="visible" r:id="rId138"/>
    <sheet name="P-Langue de bœuf sauce piquante" sheetId="137" state="visible" r:id="rId139"/>
    <sheet name="P-Choucroute garnie" sheetId="138" state="visible" r:id="rId140"/>
    <sheet name="P-Mortadelle" sheetId="139" state="visible" r:id="rId141"/>
    <sheet name="P-Gratin de poisson" sheetId="140" state="visible" r:id="rId142"/>
    <sheet name="P-Nuggets de poulet" sheetId="141" state="visible" r:id="rId143"/>
    <sheet name="P-Donuts de poulet" sheetId="142" state="visible" r:id="rId144"/>
    <sheet name="P-Omelette" sheetId="143" state="visible" r:id="rId145"/>
    <sheet name="P-Omelette piperade" sheetId="144" state="visible" r:id="rId146"/>
    <sheet name="P-Endives au jambon" sheetId="145" state="visible" r:id="rId147"/>
    <sheet name="P-Blanquette de veau" sheetId="146" state="visible" r:id="rId148"/>
    <sheet name="P-Blanquette de dinde" sheetId="147" state="visible" r:id="rId149"/>
    <sheet name="P-Blanquette de poisson" sheetId="148" state="visible" r:id="rId150"/>
    <sheet name="P-Tartiflette" sheetId="149" state="visible" r:id="rId151"/>
    <sheet name="P-Croziflette" sheetId="150" state="visible" r:id="rId152"/>
    <sheet name="P-Œufs durs sauce béchamel" sheetId="151" state="visible" r:id="rId153"/>
    <sheet name="P-Œufs à la florentine" sheetId="152" state="visible" r:id="rId154"/>
    <sheet name="P-Chili con carne" sheetId="153" state="visible" r:id="rId155"/>
    <sheet name="P-Flammekueche" sheetId="154" state="visible" r:id="rId156"/>
    <sheet name="P-Rôti de dinde" sheetId="155" state="visible" r:id="rId157"/>
    <sheet name="P-Tripoux" sheetId="156" state="visible" r:id="rId158"/>
    <sheet name="P-Tripes à la mode de Caen" sheetId="157" state="visible" r:id="rId159"/>
    <sheet name="P-Boulettes de bœuf sauce tomat" sheetId="158" state="visible" r:id="rId160"/>
    <sheet name="P-Cuisse de poulet rôtie" sheetId="159" state="visible" r:id="rId161"/>
    <sheet name="P-Cuisse de pintade" sheetId="160" state="visible" r:id="rId162"/>
    <sheet name="P-Hamburger" sheetId="161" state="visible" r:id="rId163"/>
    <sheet name="P-Kebab" sheetId="162" state="visible" r:id="rId164"/>
    <sheet name="P-Andouillette" sheetId="163" state="visible" r:id="rId165"/>
    <sheet name="P-Quenelles de volaille sauce" sheetId="164" state="visible" r:id="rId166"/>
    <sheet name="P-Godiveau" sheetId="165" state="visible" r:id="rId167"/>
    <sheet name="P-Bouchée à la reine" sheetId="166" state="visible" r:id="rId168"/>
    <sheet name="P-Filet mignon de porc au cidre" sheetId="167" state="visible" r:id="rId169"/>
    <sheet name="P-Escalope de dinde" sheetId="168" state="visible" r:id="rId170"/>
    <sheet name="P-Chou farci" sheetId="169" state="visible" r:id="rId171"/>
    <sheet name="P-Navarin d'agneau" sheetId="170" state="visible" r:id="rId172"/>
    <sheet name="P-Sauté d'agneau" sheetId="171" state="visible" r:id="rId173"/>
    <sheet name="P-Gigot d'agneau" sheetId="172" state="visible" r:id="rId174"/>
    <sheet name="P-Souris d'agneau" sheetId="173" state="visible" r:id="rId175"/>
    <sheet name="P-Aiguillettes de poulet aux cè" sheetId="174" state="visible" r:id="rId176"/>
    <sheet name="P-Cassoulet" sheetId="175" state="visible" r:id="rId177"/>
    <sheet name="P-Sauté de volaille" sheetId="176" state="visible" r:id="rId178"/>
    <sheet name="P-Jambonnette de volaille" sheetId="177" state="visible" r:id="rId179"/>
    <sheet name="P-Calamars à la provençale" sheetId="178" state="visible" r:id="rId180"/>
    <sheet name="P-Moules marinières" sheetId="179" state="visible" r:id="rId181"/>
    <sheet name="P-Courgettes farcies" sheetId="180" state="visible" r:id="rId182"/>
    <sheet name="P-Tomates farcies" sheetId="181" state="visible" r:id="rId183"/>
    <sheet name="P-Aubergines farcies" sheetId="182" state="visible" r:id="rId184"/>
    <sheet name="P-Pommes de terre farcies" sheetId="183" state="visible" r:id="rId185"/>
    <sheet name="P-Boudin noir aux pommes" sheetId="184" state="visible" r:id="rId186"/>
    <sheet name="P-Boudin blanc sauce morilles" sheetId="185" state="visible" r:id="rId187"/>
    <sheet name="P-Daube de bœuf" sheetId="186" state="visible" r:id="rId188"/>
    <sheet name="P-Bœuf bourguignon" sheetId="187" state="visible" r:id="rId189"/>
    <sheet name="P-Carbonnade flamande" sheetId="188" state="visible" r:id="rId190"/>
    <sheet name="P-Petit salé aux lentilles" sheetId="189" state="visible" r:id="rId191"/>
    <sheet name="P-Brandade de morue" sheetId="190" state="visible" r:id="rId192"/>
    <sheet name="P-Paëlla" sheetId="191" state="visible" r:id="rId193"/>
    <sheet name="P-Crêpe aux champignons" sheetId="192" state="visible" r:id="rId194"/>
    <sheet name="P-Saucisson brioché" sheetId="193" state="visible" r:id="rId195"/>
    <sheet name="P-Couscous" sheetId="194" state="visible" r:id="rId196"/>
    <sheet name="P-Rougail saucisse" sheetId="195" state="visible" r:id="rId197"/>
    <sheet name="P-Magret de canard" sheetId="196" state="visible" r:id="rId198"/>
    <sheet name="P-Sauté de porc" sheetId="197" state="visible" r:id="rId199"/>
    <sheet name="P-Sauté de porc au curry doux" sheetId="198" state="visible" r:id="rId200"/>
    <sheet name="P-Sauté de porc aux pruneaux" sheetId="199" state="visible" r:id="rId201"/>
    <sheet name="P-Porc au caramel" sheetId="200" state="visible" r:id="rId202"/>
    <sheet name="P-Gardianne de taureau" sheetId="201" state="visible" r:id="rId203"/>
    <sheet name="P-Brochette de volaille" sheetId="202" state="visible" r:id="rId204"/>
    <sheet name="P-Brochette de bœuf" sheetId="203" state="visible" r:id="rId205"/>
    <sheet name="P-Aubergines à la parmesane" sheetId="204" state="visible" r:id="rId206"/>
    <sheet name="P-Bœuf aux oignons" sheetId="205" state="visible" r:id="rId207"/>
    <sheet name="P-Sot-l'y-laisse de dinde à la" sheetId="206" state="visible" r:id="rId208"/>
    <sheet name="P-Croustade d'escargots" sheetId="207" state="visible" r:id="rId209"/>
    <sheet name="P-Gratin de courgettes à la via" sheetId="208" state="visible" r:id="rId210"/>
    <sheet name="P-Tourte aux champignons" sheetId="209" state="visible" r:id="rId211"/>
    <sheet name="P-Feuilleté franc-comtois" sheetId="210" state="visible" r:id="rId212"/>
    <sheet name="P-Riz cantonais" sheetId="211" state="visible" r:id="rId213"/>
    <sheet name="G-Riz pilaf" sheetId="212" state="visible" r:id="rId214"/>
    <sheet name="G-Riz à la tomate" sheetId="213" state="visible" r:id="rId215"/>
    <sheet name="G-Semoule" sheetId="214" state="visible" r:id="rId216"/>
    <sheet name="G-Haricots verts" sheetId="215" state="visible" r:id="rId217"/>
    <sheet name="G-Salsifis" sheetId="216" state="visible" r:id="rId218"/>
    <sheet name="G-Petits pois" sheetId="217" state="visible" r:id="rId219"/>
    <sheet name="G-Petits pois carottes" sheetId="218" state="visible" r:id="rId220"/>
    <sheet name="G-Carottes Vichy" sheetId="219" state="visible" r:id="rId221"/>
    <sheet name="G-Carottes à la crème" sheetId="220" state="visible" r:id="rId222"/>
    <sheet name="G-Haricots beurre" sheetId="221" state="visible" r:id="rId223"/>
    <sheet name="G-Haricots plats" sheetId="222" state="visible" r:id="rId224"/>
    <sheet name="G-Gratin dauphinois" sheetId="223" state="visible" r:id="rId225"/>
    <sheet name="G-Pâtes au beurre" sheetId="224" state="visible" r:id="rId226"/>
    <sheet name="G-Pâtes au pesto" sheetId="225" state="visible" r:id="rId227"/>
    <sheet name="G-Nouilles chinoises" sheetId="226" state="visible" r:id="rId228"/>
    <sheet name="G-Gnocchis" sheetId="227" state="visible" r:id="rId229"/>
    <sheet name="G-Perles" sheetId="228" state="visible" r:id="rId230"/>
    <sheet name="G-Brocolis" sheetId="229" state="visible" r:id="rId231"/>
    <sheet name="G-Purée de brocolis" sheetId="230" state="visible" r:id="rId232"/>
    <sheet name="G-Chou romanesco" sheetId="231" state="visible" r:id="rId233"/>
    <sheet name="G-Lentilles" sheetId="232" state="visible" r:id="rId234"/>
    <sheet name="G-Haricots blancs" sheetId="233" state="visible" r:id="rId235"/>
    <sheet name="G-Flageolets" sheetId="234" state="visible" r:id="rId236"/>
    <sheet name="G-Pommes dauphine" sheetId="235" state="visible" r:id="rId237"/>
    <sheet name="G-Pommes duchesse" sheetId="236" state="visible" r:id="rId238"/>
    <sheet name="G-Frites" sheetId="237" state="visible" r:id="rId239"/>
    <sheet name="G-Frites de patate douce" sheetId="238" state="visible" r:id="rId240"/>
    <sheet name="G-Rösti" sheetId="239" state="visible" r:id="rId241"/>
    <sheet name="G-Râpé de pommes de terre" sheetId="240" state="visible" r:id="rId242"/>
    <sheet name="G-Pommes de terre rissolées" sheetId="241" state="visible" r:id="rId243"/>
    <sheet name="G-Pommes de terre vapeur" sheetId="242" state="visible" r:id="rId244"/>
    <sheet name="G-Pommes de terre boulangère" sheetId="243" state="visible" r:id="rId245"/>
    <sheet name="G-Purée de pommes de terre" sheetId="244" state="visible" r:id="rId246"/>
    <sheet name="G-Purée de châtaignes et pommes" sheetId="245" state="visible" r:id="rId247"/>
    <sheet name="G-Purée de potiron" sheetId="246" state="visible" r:id="rId248"/>
    <sheet name="G-Purée de patate douce" sheetId="247" state="visible" r:id="rId249"/>
    <sheet name="G-Choux de Bruxelles" sheetId="248" state="visible" r:id="rId250"/>
    <sheet name="G-Fondue de poireaux" sheetId="249" state="visible" r:id="rId251"/>
    <sheet name="G-Épinards à la crème" sheetId="250" state="visible" r:id="rId252"/>
    <sheet name="G-Côtes de blettes" sheetId="251" state="visible" r:id="rId253"/>
    <sheet name="G-Tomates provençales" sheetId="252" state="visible" r:id="rId254"/>
    <sheet name="G-Chou-fleur persillé" sheetId="253" state="visible" r:id="rId255"/>
    <sheet name="G-Gratin de chou-fleur" sheetId="254" state="visible" r:id="rId256"/>
    <sheet name="G-Aligot" sheetId="255" state="visible" r:id="rId257"/>
    <sheet name="G-Truffade au cantal" sheetId="256" state="visible" r:id="rId258"/>
    <sheet name="G-Poêlée de légumes" sheetId="257" state="visible" r:id="rId259"/>
    <sheet name="G-Poêlée campagnarde" sheetId="258" state="visible" r:id="rId260"/>
    <sheet name="G-Poêlée de champignons" sheetId="259" state="visible" r:id="rId261"/>
    <sheet name="G-Jardinière de légumes" sheetId="260" state="visible" r:id="rId262"/>
    <sheet name="G-Macédoine de légumes au beurr" sheetId="261" state="visible" r:id="rId263"/>
    <sheet name="G-Gratin de potimarron" sheetId="262" state="visible" r:id="rId264"/>
    <sheet name="G-Flan de légumes" sheetId="263" state="visible" r:id="rId265"/>
    <sheet name="G-Ratatouille" sheetId="264" state="visible" r:id="rId266"/>
    <sheet name="G-Pommes caramélisées" sheetId="265" state="visible" r:id="rId267"/>
    <sheet name="G-Courgettes sautées" sheetId="266" state="visible" r:id="rId268"/>
    <sheet name="G-Gratin de courgettes" sheetId="267" state="visible" r:id="rId269"/>
    <sheet name="G-Légumes de pot-au-feu" sheetId="268" state="visible" r:id="rId270"/>
    <sheet name="G-Risotto" sheetId="269" state="visible" r:id="rId271"/>
    <sheet name="G-Crumble de légumes" sheetId="270" state="visible" r:id="rId272"/>
    <sheet name="D-Compote de fruits (fruit cuit" sheetId="271" state="visible" r:id="rId273"/>
    <sheet name="D-Salade de fruits frais" sheetId="272" state="visible" r:id="rId274"/>
    <sheet name="D-Crêpes sucrées" sheetId="273" state="visible" r:id="rId275"/>
    <sheet name="D-Bûche de Noël" sheetId="274" state="visible" r:id="rId276"/>
    <sheet name="D-Entremets croustillant chocol" sheetId="275" state="visible" r:id="rId277"/>
    <sheet name="D-Entremets vanille fruits roug" sheetId="276" state="visible" r:id="rId278"/>
    <sheet name="D-Entremets chocolat caramel" sheetId="277" state="visible" r:id="rId279"/>
    <sheet name="D-Cheesecake à la mangue" sheetId="278" state="visible" r:id="rId280"/>
    <sheet name="D-Religieuse" sheetId="279" state="visible" r:id="rId281"/>
    <sheet name="D-Tarte aux framboises" sheetId="280" state="visible" r:id="rId282"/>
    <sheet name="X-Joue de boeuf" sheetId="281" state="visible" r:id="rId283"/>
    <sheet name="X-Haricots rouges" sheetId="282" state="visible" r:id="rId284"/>
    <sheet name="X-Chili-viande à part" sheetId="283" state="visible" r:id="rId285"/>
    <sheet name="X-COCO-Catalans" sheetId="284" state="visible" r:id="rId286"/>
    <sheet name="X-Pois Chiches" sheetId="285" state="visible" r:id="rId287"/>
  </sheets>
  <definedNames>
    <definedName function="false" hidden="true" localSheetId="2" name="_xlnm._FilterDatabase" vbProcedure="false">Cadencier!$A$4:$L$441</definedName>
    <definedName function="false" hidden="true" localSheetId="3" name="_xlnm._FilterDatabase" vbProcedure="false">Correspondance!$A$2:$D$753</definedName>
    <definedName function="false" hidden="false" localSheetId="273" name="_xlnm.Print_Area" vbProcedure="false">'D-Bûche de Noël'!$A$1:$G$24</definedName>
    <definedName function="false" hidden="false" localSheetId="277" name="_xlnm.Print_Area" vbProcedure="false">'D-Cheesecake à la mangue'!$A$1:$G$24</definedName>
    <definedName function="false" hidden="false" localSheetId="270" name="_xlnm.Print_Area" vbProcedure="false">'D-Compote de fruits (fruit cuit'!$A$1:$G$24</definedName>
    <definedName function="false" hidden="false" localSheetId="272" name="_xlnm.Print_Area" vbProcedure="false">'D-Crêpes sucrées'!$A$1:$G$24</definedName>
    <definedName function="false" hidden="false" localSheetId="276" name="_xlnm.Print_Area" vbProcedure="false">'D-Entremets chocolat caramel'!$A$1:$G$24</definedName>
    <definedName function="false" hidden="false" localSheetId="274" name="_xlnm.Print_Area" vbProcedure="false">'D-Entremets croustillant chocol'!$A$1:$G$24</definedName>
    <definedName function="false" hidden="false" localSheetId="275" name="_xlnm.Print_Area" vbProcedure="false">'D-Entremets vanille fruits roug'!$A$1:$G$24</definedName>
    <definedName function="false" hidden="false" localSheetId="278" name="_xlnm.Print_Area" vbProcedure="false">'D-Religieuse'!$A$1:$G$24</definedName>
    <definedName function="false" hidden="false" localSheetId="271" name="_xlnm.Print_Area" vbProcedure="false">'D-Salade de fruits frais'!$A$1:$G$24</definedName>
    <definedName function="false" hidden="false" localSheetId="279" name="_xlnm.Print_Area" vbProcedure="false">'D-Tarte aux framboises'!$A$1:$G$24</definedName>
    <definedName function="false" hidden="false" localSheetId="41" name="_xlnm.Print_Area" vbProcedure="false">'E-Asperges vinaigrette'!$A$1:$G$24</definedName>
    <definedName function="false" hidden="false" localSheetId="60" name="_xlnm.Print_Area" vbProcedure="false">'E-Assiette de charcuterie'!$A$1:$G$24</definedName>
    <definedName function="false" hidden="false" localSheetId="22" name="_xlnm.Print_Area" vbProcedure="false">'E-Avocat vinaigrette ou mayonna'!$A$1:$G$24</definedName>
    <definedName function="false" hidden="false" localSheetId="15" name="_xlnm.Print_Area" vbProcedure="false">'E-Betteraves vinaigrette'!$A$1:$G$24</definedName>
    <definedName function="false" hidden="false" localSheetId="29" name="_xlnm.Print_Area" vbProcedure="false">'E-Carottes râpées'!$A$1:$G$24</definedName>
    <definedName function="false" hidden="false" localSheetId="57" name="_xlnm.Print_Area" vbProcedure="false">'E-Céleri rémoulade'!$A$1:$G$24</definedName>
    <definedName function="false" hidden="false" localSheetId="87" name="_xlnm.Print_Area" vbProcedure="false">'E-Champignons à la grecque'!$A$1:$G$24</definedName>
    <definedName function="false" hidden="false" localSheetId="75" name="_xlnm.Print_Area" vbProcedure="false">'E-Chou rouge râpé aux pommes'!$A$1:$G$24</definedName>
    <definedName function="false" hidden="false" localSheetId="33" name="_xlnm.Print_Area" vbProcedure="false">'E-Coleslaw'!$A$1:$G$24</definedName>
    <definedName function="false" hidden="false" localSheetId="58" name="_xlnm.Print_Area" vbProcedure="false">'E-Coquille Saint-Jacques'!$A$1:$G$24</definedName>
    <definedName function="false" hidden="false" localSheetId="62" name="_xlnm.Print_Area" vbProcedure="false">'E-Crêpe salée jambon fromage'!$A$1:$G$24</definedName>
    <definedName function="false" hidden="false" localSheetId="76" name="_xlnm.Print_Area" vbProcedure="false">'E-Croque-monsieur'!$A$1:$G$24</definedName>
    <definedName function="false" hidden="false" localSheetId="13" name="_xlnm.Print_Area" vbProcedure="false">'E-Endives au bleu et aux noix'!$A$1:$G$24</definedName>
    <definedName function="false" hidden="false" localSheetId="10" name="_xlnm.Print_Area" vbProcedure="false">'E-Feuilleté'!$A$1:$G$24</definedName>
    <definedName function="false" hidden="false" localSheetId="59" name="_xlnm.Print_Area" vbProcedure="false">'E-Feuilleté de Saint-Jacques'!$A$1:$G$24</definedName>
    <definedName function="false" hidden="false" localSheetId="43" name="_xlnm.Print_Area" vbProcedure="false">'E-Jambon cru'!$A$1:$G$24</definedName>
    <definedName function="false" hidden="false" localSheetId="26" name="_xlnm.Print_Area" vbProcedure="false">'E-Macédoine mayonnaise'!$A$1:$G$24</definedName>
    <definedName function="false" hidden="false" localSheetId="28" name="_xlnm.Print_Area" vbProcedure="false">'E-Mâche et tartine de chèvre ch'!$A$1:$G$24</definedName>
    <definedName function="false" hidden="false" localSheetId="65" name="_xlnm.Print_Area" vbProcedure="false">'E-Maquereaux à la moutarde'!$A$1:$G$24</definedName>
    <definedName function="false" hidden="false" localSheetId="18" name="_xlnm.Print_Area" vbProcedure="false">'E-Melon'!$A$1:$G$24</definedName>
    <definedName function="false" hidden="false" localSheetId="54" name="_xlnm.Print_Area" vbProcedure="false">'E-Mousse de canard'!$A$1:$G$24</definedName>
    <definedName function="false" hidden="false" localSheetId="74" name="_xlnm.Print_Area" vbProcedure="false">'E-Nems'!$A$1:$G$24</definedName>
    <definedName function="false" hidden="false" localSheetId="85" name="_xlnm.Print_Area" vbProcedure="false">'E-Œuf mayonnaise'!$A$1:$G$24</definedName>
    <definedName function="false" hidden="false" localSheetId="20" name="_xlnm.Print_Area" vbProcedure="false">'E-Pamplemousse'!$A$1:$G$24</definedName>
    <definedName function="false" hidden="false" localSheetId="19" name="_xlnm.Print_Area" vbProcedure="false">'E-Pastèque'!$A$1:$G$24</definedName>
    <definedName function="false" hidden="false" localSheetId="42" name="_xlnm.Print_Area" vbProcedure="false">'E-Pâté aux olives'!$A$1:$G$24</definedName>
    <definedName function="false" hidden="false" localSheetId="44" name="_xlnm.Print_Area" vbProcedure="false">'E-Pâté de campagne'!$A$1:$G$24</definedName>
    <definedName function="false" hidden="false" localSheetId="61" name="_xlnm.Print_Area" vbProcedure="false">'E-Pâté en croûte'!$A$1:$G$24</definedName>
    <definedName function="false" hidden="false" localSheetId="30" name="_xlnm.Print_Area" vbProcedure="false">'E-Pizza'!$A$1:$G$24</definedName>
    <definedName function="false" hidden="false" localSheetId="21" name="_xlnm.Print_Area" vbProcedure="false">'E-Poireaux vinaigrette'!$A$1:$G$24</definedName>
    <definedName function="false" hidden="false" localSheetId="8" name="_xlnm.Print_Area" vbProcedure="false">'E-Potage de féculents'!$A$1:$G$24</definedName>
    <definedName function="false" hidden="false" localSheetId="7" name="_xlnm.Print_Area" vbProcedure="false">'E-Potage de légumes'!$A$1:$G$24</definedName>
    <definedName function="false" hidden="false" localSheetId="71" name="_xlnm.Print_Area" vbProcedure="false">'E-Quiche au thon'!$A$1:$G$24</definedName>
    <definedName function="false" hidden="false" localSheetId="70" name="_xlnm.Print_Area" vbProcedure="false">'E-Quiche lorraine'!$A$1:$G$24</definedName>
    <definedName function="false" hidden="false" localSheetId="63" name="_xlnm.Print_Area" vbProcedure="false">'E-Râpé de courgettes'!$A$1:$G$24</definedName>
    <definedName function="false" hidden="false" localSheetId="55" name="_xlnm.Print_Area" vbProcedure="false">'E-Rillettes de canard'!$A$1:$G$24</definedName>
    <definedName function="false" hidden="false" localSheetId="31" name="_xlnm.Print_Area" vbProcedure="false">'E-Rosette'!$A$1:$G$24</definedName>
    <definedName function="false" hidden="false" localSheetId="72" name="_xlnm.Print_Area" vbProcedure="false">'E-Salade César'!$A$1:$G$24</definedName>
    <definedName function="false" hidden="false" localSheetId="88" name="_xlnm.Print_Area" vbProcedure="false">'E-Salade crétoise à la feta'!$A$1:$G$24</definedName>
    <definedName function="false" hidden="false" localSheetId="86" name="_xlnm.Print_Area" vbProcedure="false">'E-Salade d''artichauts'!$A$1:$G$24</definedName>
    <definedName function="false" hidden="false" localSheetId="11" name="_xlnm.Print_Area" vbProcedure="false">'E-Salade d''endives'!$A$1:$G$24</definedName>
    <definedName function="false" hidden="false" localSheetId="12" name="_xlnm.Print_Area" vbProcedure="false">'E-Salade d''endives aux noix'!$A$1:$G$24</definedName>
    <definedName function="false" hidden="false" localSheetId="16" name="_xlnm.Print_Area" vbProcedure="false">'E-Salade de betteraves et maïs'!$A$1:$G$24</definedName>
    <definedName function="false" hidden="false" localSheetId="34" name="_xlnm.Print_Area" vbProcedure="false">'E-Salade de chou chinois'!$A$1:$G$24</definedName>
    <definedName function="false" hidden="false" localSheetId="45" name="_xlnm.Print_Area" vbProcedure="false">'E-Salade de chou-fleur'!$A$1:$G$24</definedName>
    <definedName function="false" hidden="false" localSheetId="47" name="_xlnm.Print_Area" vbProcedure="false">'E-Salade de haricots beurre'!$A$1:$G$24</definedName>
    <definedName function="false" hidden="false" localSheetId="48" name="_xlnm.Print_Area" vbProcedure="false">'E-Salade de haricots rouges'!$A$1:$G$24</definedName>
    <definedName function="false" hidden="false" localSheetId="46" name="_xlnm.Print_Area" vbProcedure="false">'E-Salade de haricots verts'!$A$1:$G$24</definedName>
    <definedName function="false" hidden="false" localSheetId="23" name="_xlnm.Print_Area" vbProcedure="false">'E-Salade de lentilles'!$A$1:$G$25</definedName>
    <definedName function="false" hidden="false" localSheetId="27" name="_xlnm.Print_Area" vbProcedure="false">'E-Salade de mâche'!$A$1:$G$24</definedName>
    <definedName function="false" hidden="false" localSheetId="39" name="_xlnm.Print_Area" vbProcedure="false">'E-Salade de pâtes'!$A$1:$G$24</definedName>
    <definedName function="false" hidden="false" localSheetId="40" name="_xlnm.Print_Area" vbProcedure="false">'E-Salade de pâtes, poulet et pe'!$A$1:$G$24</definedName>
    <definedName function="false" hidden="false" localSheetId="51" name="_xlnm.Print_Area" vbProcedure="false">'E-Salade de perles'!$A$1:$G$24</definedName>
    <definedName function="false" hidden="false" localSheetId="25" name="_xlnm.Print_Area" vbProcedure="false">'E-Salade de pois chiches'!$A$1:$G$24</definedName>
    <definedName function="false" hidden="false" localSheetId="49" name="_xlnm.Print_Area" vbProcedure="false">'E-Salade de pommes de terre'!$A$1:$G$24</definedName>
    <definedName function="false" hidden="false" localSheetId="14" name="_xlnm.Print_Area" vbProcedure="false">'E-Salade de riz'!$A$1:$G$24</definedName>
    <definedName function="false" hidden="false" localSheetId="35" name="_xlnm.Print_Area" vbProcedure="false">'E-Salade de tomates'!$A$1:$G$24</definedName>
    <definedName function="false" hidden="false" localSheetId="52" name="_xlnm.Print_Area" vbProcedure="false">'E-Salade ebly'!$A$1:$G$24</definedName>
    <definedName function="false" hidden="false" localSheetId="53" name="_xlnm.Print_Area" vbProcedure="false">'E-Salade gourmande de céréales'!$A$1:$G$24</definedName>
    <definedName function="false" hidden="false" localSheetId="17" name="_xlnm.Print_Area" vbProcedure="false">'E-Salade mexicaine'!$A$1:$G$24</definedName>
    <definedName function="false" hidden="false" localSheetId="83" name="_xlnm.Print_Area" vbProcedure="false">'E-Salade périgourdine'!$A$1:$G$24</definedName>
    <definedName function="false" hidden="false" localSheetId="50" name="_xlnm.Print_Area" vbProcedure="false">'E-Salade piémontaise'!$A$1:$G$24</definedName>
    <definedName function="false" hidden="false" localSheetId="6" name="_xlnm.Print_Area" vbProcedure="false">'E-Salade verte'!$A$1:$G$24</definedName>
    <definedName function="false" hidden="false" localSheetId="84" name="_xlnm.Print_Area" vbProcedure="false">'E-Salade verte aux croûtons et'!$A$1:$G$24</definedName>
    <definedName function="false" hidden="false" localSheetId="64" name="_xlnm.Print_Area" vbProcedure="false">'E-Sardines'!$A$1:$G$24</definedName>
    <definedName function="false" hidden="false" localSheetId="32" name="_xlnm.Print_Area" vbProcedure="false">'E-Saucisse sèche'!$A$1:$G$24</definedName>
    <definedName function="false" hidden="false" localSheetId="82" name="_xlnm.Print_Area" vbProcedure="false">'E-Soupe de poisson'!$A$1:$G$24</definedName>
    <definedName function="false" hidden="false" localSheetId="73" name="_xlnm.Print_Area" vbProcedure="false">'E-Surimi'!$A$1:$G$24</definedName>
    <definedName function="false" hidden="false" localSheetId="9" name="_xlnm.Print_Area" vbProcedure="false">'E-Taboulé'!$A$1:$G$24</definedName>
    <definedName function="false" hidden="false" localSheetId="78" name="_xlnm.Print_Area" vbProcedure="false">'E-Tartare de saumon'!$A$1:$G$24</definedName>
    <definedName function="false" hidden="false" localSheetId="68" name="_xlnm.Print_Area" vbProcedure="false">'E-Tarte à l''oignon'!$A$1:$G$24</definedName>
    <definedName function="false" hidden="false" localSheetId="66" name="_xlnm.Print_Area" vbProcedure="false">'E-Tarte à la tomate et au chèvr'!$A$1:$G$24</definedName>
    <definedName function="false" hidden="false" localSheetId="69" name="_xlnm.Print_Area" vbProcedure="false">'E-Tarte au fromage'!$A$1:$G$24</definedName>
    <definedName function="false" hidden="false" localSheetId="67" name="_xlnm.Print_Area" vbProcedure="false">'E-Tarte méditerranéenne'!$A$1:$G$24</definedName>
    <definedName function="false" hidden="false" localSheetId="24" name="_xlnm.Print_Area" vbProcedure="false">'E-Terrine de légumes'!$A$1:$G$24</definedName>
    <definedName function="false" hidden="false" localSheetId="77" name="_xlnm.Print_Area" vbProcedure="false">'E-Terrine de poisson'!$A$1:$G$24</definedName>
    <definedName function="false" hidden="false" localSheetId="56" name="_xlnm.Print_Area" vbProcedure="false">'E-Toast de foie gras'!$A$1:$G$24</definedName>
    <definedName function="false" hidden="false" localSheetId="38" name="_xlnm.Print_Area" vbProcedure="false">'E-Tomate à la russe'!$A$1:$G$24</definedName>
    <definedName function="false" hidden="false" localSheetId="37" name="_xlnm.Print_Area" vbProcedure="false">'E-Tomate antiboise'!$A$1:$G$24</definedName>
    <definedName function="false" hidden="false" localSheetId="36" name="_xlnm.Print_Area" vbProcedure="false">'E-Tomates mozzarella'!$A$1:$G$24</definedName>
    <definedName function="false" hidden="false" localSheetId="80" name="_xlnm.Print_Area" vbProcedure="false">'E-Velouté aux pointes d''asperge'!$A$1:$G$24</definedName>
    <definedName function="false" hidden="false" localSheetId="79" name="_xlnm.Print_Area" vbProcedure="false">'E-Velouté de cèpes et châtaigne'!$A$1:$G$24</definedName>
    <definedName function="false" hidden="false" localSheetId="81" name="_xlnm.Print_Area" vbProcedure="false">'E-Velouté de potimarron'!$A$1:$G$24</definedName>
    <definedName function="false" hidden="false" localSheetId="254" name="_xlnm.Print_Area" vbProcedure="false">'G-Aligot'!$A$1:$G$24</definedName>
    <definedName function="false" hidden="false" localSheetId="228" name="_xlnm.Print_Area" vbProcedure="false">'G-Brocolis'!$A$1:$G$24</definedName>
    <definedName function="false" hidden="false" localSheetId="219" name="_xlnm.Print_Area" vbProcedure="false">'G-Carottes à la crème'!$A$1:$G$24</definedName>
    <definedName function="false" hidden="false" localSheetId="218" name="_xlnm.Print_Area" vbProcedure="false">'G-Carottes Vichy'!$A$1:$G$24</definedName>
    <definedName function="false" hidden="false" localSheetId="230" name="_xlnm.Print_Area" vbProcedure="false">'G-Chou romanesco'!$A$1:$G$24</definedName>
    <definedName function="false" hidden="false" localSheetId="252" name="_xlnm.Print_Area" vbProcedure="false">'G-Chou-fleur persillé'!$A$1:$G$24</definedName>
    <definedName function="false" hidden="false" localSheetId="247" name="_xlnm.Print_Area" vbProcedure="false">'G-Choux de Bruxelles'!$A$1:$G$24</definedName>
    <definedName function="false" hidden="false" localSheetId="250" name="_xlnm.Print_Area" vbProcedure="false">'G-Côtes de blettes'!$A$1:$G$24</definedName>
    <definedName function="false" hidden="false" localSheetId="265" name="_xlnm.Print_Area" vbProcedure="false">'G-Courgettes sautées'!$A$1:$G$24</definedName>
    <definedName function="false" hidden="false" localSheetId="269" name="_xlnm.Print_Area" vbProcedure="false">'G-Crumble de légumes'!$A$1:$G$24</definedName>
    <definedName function="false" hidden="false" localSheetId="249" name="_xlnm.Print_Area" vbProcedure="false">'G-Épinards à la crème'!$A$1:$G$24</definedName>
    <definedName function="false" hidden="false" localSheetId="233" name="_xlnm.Print_Area" vbProcedure="false">'G-Flageolets'!$A$1:$G$24</definedName>
    <definedName function="false" hidden="false" localSheetId="262" name="_xlnm.Print_Area" vbProcedure="false">'G-Flan de légumes'!$A$1:$G$24</definedName>
    <definedName function="false" hidden="false" localSheetId="248" name="_xlnm.Print_Area" vbProcedure="false">'G-Fondue de poireaux'!$A$1:$G$24</definedName>
    <definedName function="false" hidden="false" localSheetId="236" name="_xlnm.Print_Area" vbProcedure="false">'G-Frites'!$A$1:$G$24</definedName>
    <definedName function="false" hidden="false" localSheetId="237" name="_xlnm.Print_Area" vbProcedure="false">'G-Frites de patate douce'!$A$1:$G$24</definedName>
    <definedName function="false" hidden="false" localSheetId="226" name="_xlnm.Print_Area" vbProcedure="false">'G-Gnocchis'!$A$1:$G$24</definedName>
    <definedName function="false" hidden="false" localSheetId="222" name="_xlnm.Print_Area" vbProcedure="false">'G-Gratin dauphinois'!$A$1:$G$24</definedName>
    <definedName function="false" hidden="false" localSheetId="253" name="_xlnm.Print_Area" vbProcedure="false">'G-Gratin de chou-fleur'!$A$1:$G$24</definedName>
    <definedName function="false" hidden="false" localSheetId="266" name="_xlnm.Print_Area" vbProcedure="false">'G-Gratin de courgettes'!$A$1:$G$24</definedName>
    <definedName function="false" hidden="false" localSheetId="261" name="_xlnm.Print_Area" vbProcedure="false">'G-Gratin de potimarron'!$A$1:$G$24</definedName>
    <definedName function="false" hidden="false" localSheetId="220" name="_xlnm.Print_Area" vbProcedure="false">'G-Haricots beurre'!$A$1:$G$24</definedName>
    <definedName function="false" hidden="false" localSheetId="232" name="_xlnm.Print_Area" vbProcedure="false">'G-Haricots blancs'!$A$1:$G$24</definedName>
    <definedName function="false" hidden="false" localSheetId="221" name="_xlnm.Print_Area" vbProcedure="false">'G-Haricots plats'!$A$1:$G$24</definedName>
    <definedName function="false" hidden="false" localSheetId="214" name="_xlnm.Print_Area" vbProcedure="false">'G-Haricots verts'!$A$1:$G$24</definedName>
    <definedName function="false" hidden="false" localSheetId="259" name="_xlnm.Print_Area" vbProcedure="false">'G-Jardinière de légumes'!$A$1:$G$24</definedName>
    <definedName function="false" hidden="false" localSheetId="267" name="_xlnm.Print_Area" vbProcedure="false">'G-Légumes de pot-au-feu'!$A$1:$G$24</definedName>
    <definedName function="false" hidden="false" localSheetId="231" name="_xlnm.Print_Area" vbProcedure="false">'G-Lentilles'!$A$1:$G$25</definedName>
    <definedName function="false" hidden="false" localSheetId="260" name="_xlnm.Print_Area" vbProcedure="false">'G-Macédoine de légumes au beurr'!$A$1:$G$24</definedName>
    <definedName function="false" hidden="false" localSheetId="225" name="_xlnm.Print_Area" vbProcedure="false">'G-Nouilles chinoises'!$A$1:$G$24</definedName>
    <definedName function="false" hidden="false" localSheetId="223" name="_xlnm.Print_Area" vbProcedure="false">'G-Pâtes au beurre'!$A$1:$G$24</definedName>
    <definedName function="false" hidden="false" localSheetId="224" name="_xlnm.Print_Area" vbProcedure="false">'G-Pâtes au pesto'!$A$1:$G$24</definedName>
    <definedName function="false" hidden="false" localSheetId="227" name="_xlnm.Print_Area" vbProcedure="false">'G-Perles'!$A$1:$G$24</definedName>
    <definedName function="false" hidden="false" localSheetId="216" name="_xlnm.Print_Area" vbProcedure="false">'G-Petits pois'!$A$1:$G$24</definedName>
    <definedName function="false" hidden="false" localSheetId="217" name="_xlnm.Print_Area" vbProcedure="false">'G-Petits pois carottes'!$A$1:$G$24</definedName>
    <definedName function="false" hidden="false" localSheetId="257" name="_xlnm.Print_Area" vbProcedure="false">'G-Poêlée campagnarde'!$A$1:$G$24</definedName>
    <definedName function="false" hidden="false" localSheetId="258" name="_xlnm.Print_Area" vbProcedure="false">'G-Poêlée de champignons'!$A$1:$G$24</definedName>
    <definedName function="false" hidden="false" localSheetId="256" name="_xlnm.Print_Area" vbProcedure="false">'G-Poêlée de légumes'!$A$1:$G$24</definedName>
    <definedName function="false" hidden="false" localSheetId="264" name="_xlnm.Print_Area" vbProcedure="false">'G-Pommes caramélisées'!$A$1:$G$24</definedName>
    <definedName function="false" hidden="false" localSheetId="234" name="_xlnm.Print_Area" vbProcedure="false">'G-Pommes dauphine'!$A$1:$G$24</definedName>
    <definedName function="false" hidden="false" localSheetId="242" name="_xlnm.Print_Area" vbProcedure="false">'G-Pommes de terre boulangère'!$A$1:$G$24</definedName>
    <definedName function="false" hidden="false" localSheetId="240" name="_xlnm.Print_Area" vbProcedure="false">'G-Pommes de terre rissolées'!$A$1:$G$24</definedName>
    <definedName function="false" hidden="false" localSheetId="241" name="_xlnm.Print_Area" vbProcedure="false">'G-Pommes de terre vapeur'!$A$1:$G$24</definedName>
    <definedName function="false" hidden="false" localSheetId="235" name="_xlnm.Print_Area" vbProcedure="false">'G-Pommes duchesse'!$A$1:$G$24</definedName>
    <definedName function="false" hidden="false" localSheetId="229" name="_xlnm.Print_Area" vbProcedure="false">'G-Purée de brocolis'!$A$1:$G$24</definedName>
    <definedName function="false" hidden="false" localSheetId="244" name="_xlnm.Print_Area" vbProcedure="false">'G-Purée de châtaignes et pommes'!$A$1:$G$24</definedName>
    <definedName function="false" hidden="false" localSheetId="246" name="_xlnm.Print_Area" vbProcedure="false">'G-Purée de patate douce'!$A$1:$G$24</definedName>
    <definedName function="false" hidden="false" localSheetId="243" name="_xlnm.Print_Area" vbProcedure="false">'G-Purée de pommes de terre'!$A$1:$G$24</definedName>
    <definedName function="false" hidden="false" localSheetId="245" name="_xlnm.Print_Area" vbProcedure="false">'G-Purée de potiron'!$A$1:$G$24</definedName>
    <definedName function="false" hidden="false" localSheetId="239" name="_xlnm.Print_Area" vbProcedure="false">'G-Râpé de pommes de terre'!$A$1:$G$24</definedName>
    <definedName function="false" hidden="false" localSheetId="263" name="_xlnm.Print_Area" vbProcedure="false">'G-Ratatouille'!$A$1:$G$25</definedName>
    <definedName function="false" hidden="false" localSheetId="268" name="_xlnm.Print_Area" vbProcedure="false">'G-Risotto'!$A$1:$G$24</definedName>
    <definedName function="false" hidden="false" localSheetId="212" name="_xlnm.Print_Area" vbProcedure="false">'G-Riz à la tomate'!$A$1:$G$24</definedName>
    <definedName function="false" hidden="false" localSheetId="211" name="_xlnm.Print_Area" vbProcedure="false">'G-Riz pilaf'!$A$1:$G$24</definedName>
    <definedName function="false" hidden="false" localSheetId="238" name="_xlnm.Print_Area" vbProcedure="false">'G-Rösti'!$A$1:$G$24</definedName>
    <definedName function="false" hidden="false" localSheetId="215" name="_xlnm.Print_Area" vbProcedure="false">'G-Salsifis'!$A$1:$G$24</definedName>
    <definedName function="false" hidden="false" localSheetId="213" name="_xlnm.Print_Area" vbProcedure="false">'G-Semoule'!$A$1:$G$24</definedName>
    <definedName function="false" hidden="false" localSheetId="251" name="_xlnm.Print_Area" vbProcedure="false">'G-Tomates provençales'!$A$1:$G$24</definedName>
    <definedName function="false" hidden="false" localSheetId="255" name="_xlnm.Print_Area" vbProcedure="false">'G-Truffade au cantal'!$A$1:$G$24</definedName>
    <definedName function="false" hidden="true" localSheetId="4" name="_xlnm._FilterDatabase" vbProcedure="false">'Menu → fiches'!$A$1:$K$729</definedName>
    <definedName function="false" hidden="false" localSheetId="173" name="_xlnm.Print_Area" vbProcedure="false">'P-Aiguillettes de poulet aux cè'!$A$1:$G$24</definedName>
    <definedName function="false" hidden="false" localSheetId="162" name="_xlnm.Print_Area" vbProcedure="false">'P-Andouillette'!$A$1:$G$24</definedName>
    <definedName function="false" hidden="false" localSheetId="203" name="_xlnm.Print_Area" vbProcedure="false">'P-Aubergines à la parmesane'!$A$1:$G$24</definedName>
    <definedName function="false" hidden="false" localSheetId="181" name="_xlnm.Print_Area" vbProcedure="false">'P-Aubergines farcies'!$A$1:$G$24</definedName>
    <definedName function="false" hidden="false" localSheetId="146" name="_xlnm.Print_Area" vbProcedure="false">'P-Blanquette de dinde'!$A$1:$G$24</definedName>
    <definedName function="false" hidden="false" localSheetId="147" name="_xlnm.Print_Area" vbProcedure="false">'P-Blanquette de poisson'!$A$1:$G$24</definedName>
    <definedName function="false" hidden="false" localSheetId="145" name="_xlnm.Print_Area" vbProcedure="false">'P-Blanquette de veau'!$A$1:$G$25</definedName>
    <definedName function="false" hidden="false" localSheetId="204" name="_xlnm.Print_Area" vbProcedure="false">'P-Bœuf aux oignons'!$A$1:$G$24</definedName>
    <definedName function="false" hidden="false" localSheetId="186" name="_xlnm.Print_Area" vbProcedure="false">'P-Bœuf bourguignon'!$A$1:$G$26</definedName>
    <definedName function="false" hidden="false" localSheetId="165" name="_xlnm.Print_Area" vbProcedure="false">'P-Bouchée à la reine'!$A$1:$G$24</definedName>
    <definedName function="false" hidden="false" localSheetId="184" name="_xlnm.Print_Area" vbProcedure="false">'P-Boudin blanc sauce morilles'!$A$1:$G$24</definedName>
    <definedName function="false" hidden="false" localSheetId="183" name="_xlnm.Print_Area" vbProcedure="false">'P-Boudin noir aux pommes'!$A$1:$G$24</definedName>
    <definedName function="false" hidden="false" localSheetId="157" name="_xlnm.Print_Area" vbProcedure="false">'P-Boulettes de bœuf sauce tomat'!$A$1:$G$24</definedName>
    <definedName function="false" hidden="false" localSheetId="189" name="_xlnm.Print_Area" vbProcedure="false">'P-Brandade de morue'!$A$1:$G$24</definedName>
    <definedName function="false" hidden="false" localSheetId="202" name="_xlnm.Print_Area" vbProcedure="false">'P-Brochette de bœuf'!$A$1:$G$24</definedName>
    <definedName function="false" hidden="false" localSheetId="201" name="_xlnm.Print_Area" vbProcedure="false">'P-Brochette de volaille'!$A$1:$G$24</definedName>
    <definedName function="false" hidden="false" localSheetId="177" name="_xlnm.Print_Area" vbProcedure="false">'P-Calamars à la provençale'!$A$1:$G$24</definedName>
    <definedName function="false" hidden="false" localSheetId="123" name="_xlnm.Print_Area" vbProcedure="false">'P-Cannellonis'!$A$1:$G$24</definedName>
    <definedName function="false" hidden="false" localSheetId="187" name="_xlnm.Print_Area" vbProcedure="false">'P-Carbonnade flamande'!$A$1:$G$24</definedName>
    <definedName function="false" hidden="false" localSheetId="174" name="_xlnm.Print_Area" vbProcedure="false">'P-Cassoulet'!$A$1:$G$24</definedName>
    <definedName function="false" hidden="false" localSheetId="152" name="_xlnm.Print_Area" vbProcedure="false">'P-Chili con carne'!$A$1:$G$25</definedName>
    <definedName function="false" hidden="false" localSheetId="107" name="_xlnm.Print_Area" vbProcedure="false">'P-Chipolatas'!$A$1:$G$24</definedName>
    <definedName function="false" hidden="false" localSheetId="168" name="_xlnm.Print_Area" vbProcedure="false">'P-Chou farci'!$A$1:$G$24</definedName>
    <definedName function="false" hidden="false" localSheetId="137" name="_xlnm.Print_Area" vbProcedure="false">'P-Choucroute garnie'!$A$1:$G$24</definedName>
    <definedName function="false" hidden="false" localSheetId="90" name="_xlnm.Print_Area" vbProcedure="false">'P-Cordon bleu'!$A$1:$G$24</definedName>
    <definedName function="false" hidden="false" localSheetId="179" name="_xlnm.Print_Area" vbProcedure="false">'P-Courgettes farcies'!$A$1:$G$24</definedName>
    <definedName function="false" hidden="false" localSheetId="193" name="_xlnm.Print_Area" vbProcedure="false">'P-Couscous'!$A$1:$G$24</definedName>
    <definedName function="false" hidden="false" localSheetId="191" name="_xlnm.Print_Area" vbProcedure="false">'P-Crêpe aux champignons'!$A$1:$G$24</definedName>
    <definedName function="false" hidden="false" localSheetId="206" name="_xlnm.Print_Area" vbProcedure="false">'P-Croustade d''escargots'!$A$1:$G$24</definedName>
    <definedName function="false" hidden="false" localSheetId="149" name="_xlnm.Print_Area" vbProcedure="false">'P-Croziflette'!$A$1:$G$24</definedName>
    <definedName function="false" hidden="false" localSheetId="120" name="_xlnm.Print_Area" vbProcedure="false">'P-Cuisse de lapin à la moutarde'!$A$1:$G$24</definedName>
    <definedName function="false" hidden="false" localSheetId="159" name="_xlnm.Print_Area" vbProcedure="false">'P-Cuisse de pintade'!$A$1:$G$24</definedName>
    <definedName function="false" hidden="false" localSheetId="158" name="_xlnm.Print_Area" vbProcedure="false">'P-Cuisse de poulet rôtie'!$A$1:$G$24</definedName>
    <definedName function="false" hidden="false" localSheetId="185" name="_xlnm.Print_Area" vbProcedure="false">'P-Daube de bœuf'!$A$1:$G$24</definedName>
    <definedName function="false" hidden="false" localSheetId="141" name="_xlnm.Print_Area" vbProcedure="false">'P-Donuts de poulet'!$A$1:$G$24</definedName>
    <definedName function="false" hidden="false" localSheetId="112" name="_xlnm.Print_Area" vbProcedure="false">'P-Dos de cabillaud'!$A$1:$G$24</definedName>
    <definedName function="false" hidden="false" localSheetId="114" name="_xlnm.Print_Area" vbProcedure="false">'P-Dos de colin bordelaise'!$A$1:$G$24</definedName>
    <definedName function="false" hidden="false" localSheetId="113" name="_xlnm.Print_Area" vbProcedure="false">'P-Dos de colin meunière'!$A$1:$G$24</definedName>
    <definedName function="false" hidden="false" localSheetId="115" name="_xlnm.Print_Area" vbProcedure="false">'P-Dos de loup ou filet de dorad'!$A$1:$G$24</definedName>
    <definedName function="false" hidden="false" localSheetId="144" name="_xlnm.Print_Area" vbProcedure="false">'P-Endives au jambon'!$A$1:$G$24</definedName>
    <definedName function="false" hidden="false" localSheetId="167" name="_xlnm.Print_Area" vbProcedure="false">'P-Escalope de dinde'!$A$1:$G$24</definedName>
    <definedName function="false" hidden="false" localSheetId="104" name="_xlnm.Print_Area" vbProcedure="false">'P-Escalope de porc'!$A$1:$G$24</definedName>
    <definedName function="false" hidden="false" localSheetId="96" name="_xlnm.Print_Area" vbProcedure="false">'P-Escalope de veau'!$A$1:$G$24</definedName>
    <definedName function="false" hidden="false" localSheetId="97" name="_xlnm.Print_Area" vbProcedure="false">'P-Escalope viennoise'!$A$1:$G$24</definedName>
    <definedName function="false" hidden="false" localSheetId="209" name="_xlnm.Print_Area" vbProcedure="false">'P-Feuilleté franc-comtois'!$A$1:$G$24</definedName>
    <definedName function="false" hidden="false" localSheetId="94" name="_xlnm.Print_Area" vbProcedure="false">'P-Ficelle picarde (jambon picar'!$A$1:$G$24</definedName>
    <definedName function="false" hidden="false" localSheetId="166" name="_xlnm.Print_Area" vbProcedure="false">'P-Filet mignon de porc au cidre'!$A$1:$G$24</definedName>
    <definedName function="false" hidden="false" localSheetId="153" name="_xlnm.Print_Area" vbProcedure="false">'P-Flammekueche'!$A$1:$G$24</definedName>
    <definedName function="false" hidden="false" localSheetId="200" name="_xlnm.Print_Area" vbProcedure="false">'P-Gardianne de taureau'!$A$1:$G$24</definedName>
    <definedName function="false" hidden="false" localSheetId="171" name="_xlnm.Print_Area" vbProcedure="false">'P-Gigot d''agneau'!$A$1:$G$24</definedName>
    <definedName function="false" hidden="false" localSheetId="164" name="_xlnm.Print_Area" vbProcedure="false">'P-Godiveau'!$A$1:$G$24</definedName>
    <definedName function="false" hidden="false" localSheetId="207" name="_xlnm.Print_Area" vbProcedure="false">'P-Gratin de courgettes à la via'!$A$1:$G$24</definedName>
    <definedName function="false" hidden="false" localSheetId="134" name="_xlnm.Print_Area" vbProcedure="false">'P-Gratin de pâtes au jambon'!$A$1:$G$24</definedName>
    <definedName function="false" hidden="false" localSheetId="139" name="_xlnm.Print_Area" vbProcedure="false">'P-Gratin de poisson'!$A$1:$G$24</definedName>
    <definedName function="false" hidden="false" localSheetId="109" name="_xlnm.Print_Area" vbProcedure="false">'P-Hachis parmentier'!$A$1:$G$24</definedName>
    <definedName function="false" hidden="false" localSheetId="160" name="_xlnm.Print_Area" vbProcedure="false">'P-Hamburger'!$A$1:$G$24</definedName>
    <definedName function="false" hidden="false" localSheetId="92" name="_xlnm.Print_Area" vbProcedure="false">'P-Jambon à la russe'!$A$1:$G$24</definedName>
    <definedName function="false" hidden="false" localSheetId="91" name="_xlnm.Print_Area" vbProcedure="false">'P-Jambon blanc'!$A$1:$G$24</definedName>
    <definedName function="false" hidden="false" localSheetId="93" name="_xlnm.Print_Area" vbProcedure="false">'P-Jambon braisé'!$A$1:$G$24</definedName>
    <definedName function="false" hidden="false" localSheetId="176" name="_xlnm.Print_Area" vbProcedure="false">'P-Jambonnette de volaille'!$A$1:$G$24</definedName>
    <definedName function="false" hidden="false" localSheetId="161" name="_xlnm.Print_Area" vbProcedure="false">'P-Kebab'!$A$1:$G$24</definedName>
    <definedName function="false" hidden="false" localSheetId="136" name="_xlnm.Print_Area" vbProcedure="false">'P-Langue de bœuf sauce piquante'!$A$1:$G$24</definedName>
    <definedName function="false" hidden="false" localSheetId="128" name="_xlnm.Print_Area" vbProcedure="false">'P-Lasagnes au bœuf'!$A$1:$G$24</definedName>
    <definedName function="false" hidden="false" localSheetId="129" name="_xlnm.Print_Area" vbProcedure="false">'P-Lasagnes saumon épinards'!$A$1:$G$24</definedName>
    <definedName function="false" hidden="false" localSheetId="195" name="_xlnm.Print_Area" vbProcedure="false">'P-Magret de canard'!$A$1:$G$24</definedName>
    <definedName function="false" hidden="false" localSheetId="108" name="_xlnm.Print_Area" vbProcedure="false">'P-Merguez'!$A$1:$G$24</definedName>
    <definedName function="false" hidden="false" localSheetId="138" name="_xlnm.Print_Area" vbProcedure="false">'P-Mortadelle'!$A$1:$G$24</definedName>
    <definedName function="false" hidden="false" localSheetId="178" name="_xlnm.Print_Area" vbProcedure="false">'P-Moules marinières'!$A$1:$G$24</definedName>
    <definedName function="false" hidden="false" localSheetId="126" name="_xlnm.Print_Area" vbProcedure="false">'P-Moussaka'!$A$1:$G$24</definedName>
    <definedName function="false" hidden="false" localSheetId="169" name="_xlnm.Print_Area" vbProcedure="false">'P-Navarin d''agneau'!$A$1:$G$24</definedName>
    <definedName function="false" hidden="false" localSheetId="140" name="_xlnm.Print_Area" vbProcedure="false">'P-Nuggets de poulet'!$A$1:$G$24</definedName>
    <definedName function="false" hidden="false" localSheetId="151" name="_xlnm.Print_Area" vbProcedure="false">'P-Œufs à la florentine'!$A$1:$G$24</definedName>
    <definedName function="false" hidden="false" localSheetId="150" name="_xlnm.Print_Area" vbProcedure="false">'P-Œufs durs sauce béchamel'!$A$1:$G$24</definedName>
    <definedName function="false" hidden="false" localSheetId="142" name="_xlnm.Print_Area" vbProcedure="false">'P-Omelette'!$A$1:$G$24</definedName>
    <definedName function="false" hidden="false" localSheetId="143" name="_xlnm.Print_Area" vbProcedure="false">'P-Omelette piperade'!$A$1:$G$24</definedName>
    <definedName function="false" hidden="false" localSheetId="190" name="_xlnm.Print_Area" vbProcedure="false">'P-Paëlla'!$A$1:$G$24</definedName>
    <definedName function="false" hidden="false" localSheetId="110" name="_xlnm.Print_Area" vbProcedure="false">'P-Parmentier de canard'!$A$1:$G$24</definedName>
    <definedName function="false" hidden="false" localSheetId="111" name="_xlnm.Print_Area" vbProcedure="false">'P-Parmentier de poisson'!$A$1:$G$24</definedName>
    <definedName function="false" hidden="false" localSheetId="133" name="_xlnm.Print_Area" vbProcedure="false">'P-Pâtes au chorizo'!$A$1:$G$24</definedName>
    <definedName function="false" hidden="false" localSheetId="131" name="_xlnm.Print_Area" vbProcedure="false">'P-Pâtes bolognaise'!$A$1:$G$24</definedName>
    <definedName function="false" hidden="false" localSheetId="132" name="_xlnm.Print_Area" vbProcedure="false">'P-Pâtes carbonara'!$A$1:$G$24</definedName>
    <definedName function="false" hidden="false" localSheetId="99" name="_xlnm.Print_Area" vbProcedure="false">'P-Paupiette de veau sauce tomat'!$A$1:$G$24</definedName>
    <definedName function="false" hidden="false" localSheetId="98" name="_xlnm.Print_Area" vbProcedure="false">'P-Paupiette de volaille'!$A$1:$G$24</definedName>
    <definedName function="false" hidden="false" localSheetId="100" name="_xlnm.Print_Area" vbProcedure="false">'P-Pavé de poisson sauce beurre'!$A$1:$G$24</definedName>
    <definedName function="false" hidden="false" localSheetId="101" name="_xlnm.Print_Area" vbProcedure="false">'P-Pavé de saumon'!$A$1:$G$24</definedName>
    <definedName function="false" hidden="false" localSheetId="188" name="_xlnm.Print_Area" vbProcedure="false">'P-Petit salé aux lentilles'!$A$1:$G$24</definedName>
    <definedName function="false" hidden="false" localSheetId="95" name="_xlnm.Print_Area" vbProcedure="false">'P-Poisson pané'!$A$1:$G$24</definedName>
    <definedName function="false" hidden="false" localSheetId="182" name="_xlnm.Print_Area" vbProcedure="false">'P-Pommes de terre farcies'!$A$1:$G$24</definedName>
    <definedName function="false" hidden="false" localSheetId="199" name="_xlnm.Print_Area" vbProcedure="false">'P-Porc au caramel'!$A$1:$G$24</definedName>
    <definedName function="false" hidden="false" localSheetId="130" name="_xlnm.Print_Area" vbProcedure="false">'P-Pot-au-feu'!$A$1:$G$25</definedName>
    <definedName function="false" hidden="false" localSheetId="127" name="_xlnm.Print_Area" vbProcedure="false">'P-Poulet basquaise'!$A$1:$G$24</definedName>
    <definedName function="false" hidden="false" localSheetId="163" name="_xlnm.Print_Area" vbProcedure="false">'P-Quenelles de volaille sauce'!$A$1:$G$24</definedName>
    <definedName function="false" hidden="false" localSheetId="122" name="_xlnm.Print_Area" vbProcedure="false">'P-Raviolis'!$A$1:$G$24</definedName>
    <definedName function="false" hidden="false" localSheetId="210" name="_xlnm.Print_Area" vbProcedure="false">'P-Riz cantonais'!$A$1:$G$24</definedName>
    <definedName function="false" hidden="false" localSheetId="117" name="_xlnm.Print_Area" vbProcedure="false">'P-Rosbif froid'!$A$1:$G$24</definedName>
    <definedName function="false" hidden="false" localSheetId="116" name="_xlnm.Print_Area" vbProcedure="false">'P-Rôti de bœuf'!$A$1:$G$24</definedName>
    <definedName function="false" hidden="false" localSheetId="154" name="_xlnm.Print_Area" vbProcedure="false">'P-Rôti de dinde'!$A$1:$G$24</definedName>
    <definedName function="false" hidden="false" localSheetId="102" name="_xlnm.Print_Area" vbProcedure="false">'P-Rôti de porc'!$A$1:$G$25</definedName>
    <definedName function="false" hidden="false" localSheetId="103" name="_xlnm.Print_Area" vbProcedure="false">'P-Rôti de porc froid'!$A$1:$G$24</definedName>
    <definedName function="false" hidden="false" localSheetId="89" name="_xlnm.Print_Area" vbProcedure="false">'P-Rôti de veau'!$A$1:$G$24</definedName>
    <definedName function="false" hidden="false" localSheetId="194" name="_xlnm.Print_Area" vbProcedure="false">'P-Rougail saucisse'!$A$1:$G$24</definedName>
    <definedName function="false" hidden="false" localSheetId="105" name="_xlnm.Print_Area" vbProcedure="false">'P-Saucisse de Toulouse'!$A$1:$G$24</definedName>
    <definedName function="false" hidden="false" localSheetId="106" name="_xlnm.Print_Area" vbProcedure="false">'P-Saucisse de volaille'!$A$1:$G$24</definedName>
    <definedName function="false" hidden="false" localSheetId="192" name="_xlnm.Print_Area" vbProcedure="false">'P-Saucisson brioché'!$A$1:$G$24</definedName>
    <definedName function="false" hidden="false" localSheetId="170" name="_xlnm.Print_Area" vbProcedure="false">'P-Sauté d''agneau'!$A$1:$G$24</definedName>
    <definedName function="false" hidden="false" localSheetId="119" name="_xlnm.Print_Area" vbProcedure="false">'P-Sauté de lapin'!$A$1:$G$24</definedName>
    <definedName function="false" hidden="false" localSheetId="196" name="_xlnm.Print_Area" vbProcedure="false">'P-Sauté de porc'!$A$1:$G$24</definedName>
    <definedName function="false" hidden="false" localSheetId="197" name="_xlnm.Print_Area" vbProcedure="false">'P-Sauté de porc au curry doux'!$A$1:$G$24</definedName>
    <definedName function="false" hidden="false" localSheetId="198" name="_xlnm.Print_Area" vbProcedure="false">'P-Sauté de porc aux pruneaux'!$A$1:$G$24</definedName>
    <definedName function="false" hidden="false" localSheetId="118" name="_xlnm.Print_Area" vbProcedure="false">'P-Sauté de veau'!$A$1:$G$25</definedName>
    <definedName function="false" hidden="false" localSheetId="175" name="_xlnm.Print_Area" vbProcedure="false">'P-Sauté de volaille'!$A$1:$G$24</definedName>
    <definedName function="false" hidden="false" localSheetId="205" name="_xlnm.Print_Area" vbProcedure="false">'P-Sot-l''y-laisse de dinde à la'!$A$1:$G$24</definedName>
    <definedName function="false" hidden="false" localSheetId="172" name="_xlnm.Print_Area" vbProcedure="false">'P-Souris d''agneau'!$A$1:$G$24</definedName>
    <definedName function="false" hidden="false" localSheetId="124" name="_xlnm.Print_Area" vbProcedure="false">'P-Steak de bœuf'!$A$1:$G$24</definedName>
    <definedName function="false" hidden="false" localSheetId="125" name="_xlnm.Print_Area" vbProcedure="false">'P-Steak haché'!$A$1:$G$24</definedName>
    <definedName function="false" hidden="false" localSheetId="135" name="_xlnm.Print_Area" vbProcedure="false">'P-Suprême de volaille'!$A$1:$G$24</definedName>
    <definedName function="false" hidden="false" localSheetId="148" name="_xlnm.Print_Area" vbProcedure="false">'P-Tartiflette'!$A$1:$G$24</definedName>
    <definedName function="false" hidden="false" localSheetId="121" name="_xlnm.Print_Area" vbProcedure="false">'P-Tête de veau sauce gribiche'!$A$1:$G$24</definedName>
    <definedName function="false" hidden="false" localSheetId="180" name="_xlnm.Print_Area" vbProcedure="false">'P-Tomates farcies'!$A$1:$G$24</definedName>
    <definedName function="false" hidden="false" localSheetId="208" name="_xlnm.Print_Area" vbProcedure="false">'P-Tourte aux champignons'!$A$1:$G$24</definedName>
    <definedName function="false" hidden="false" localSheetId="156" name="_xlnm.Print_Area" vbProcedure="false">'P-Tripes à la mode de Caen'!$A$1:$G$24</definedName>
    <definedName function="false" hidden="false" localSheetId="155" name="_xlnm.Print_Area" vbProcedure="false">'P-Tripoux'!$A$1:$G$24</definedName>
    <definedName function="false" hidden="true" localSheetId="0" name="_xlnm._FilterDatabase" vbProcedure="false">Sommaire!$A$5:$E$284</definedName>
    <definedName function="false" hidden="false" localSheetId="282" name="_xlnm.Print_Area" vbProcedure="false">'X-Chili-viande à part'!$A$1:$G$25</definedName>
    <definedName function="false" hidden="false" localSheetId="283" name="_xlnm.Print_Area" vbProcedure="false">'X-COCO-Catalans'!$A$1:$G$25</definedName>
    <definedName function="false" hidden="false" localSheetId="281" name="_xlnm.Print_Area" vbProcedure="false">'X-Haricots rouges'!$A$1:$G$25</definedName>
    <definedName function="false" hidden="false" localSheetId="280" name="_xlnm.Print_Area" vbProcedure="false">'X-Joue de boeuf'!$A$1:$G$25</definedName>
    <definedName function="false" hidden="false" localSheetId="284" name="_xlnm.Print_Area" vbProcedure="false">'X-Pois Chiches'!$A$1:$G$25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<sst xmlns="http://schemas.openxmlformats.org/spreadsheetml/2006/main" count="22748" uniqueCount="3121">
  <si>
    <t xml:space="preserve">FICHES TECHNIQUES – MENU ANNUEL EHPAD / FAM</t>
  </si>
  <si>
    <t xml:space="preserve">Cliquer sur le nom d'une fiche pour l'ouvrir. Modes : CBT – cuisson de nuit (four vapeur 12-18 h) ; Sous vide basse température ; Cuisson traditionnelle ; Préparation froide.</t>
  </si>
  <si>
    <t xml:space="preserve">Sur chaque fiche : saisir le nombre de portions à produire (B24) et, si besoin, le grammage (B23) et les prix unitaires (colonne E) ; les quantités de production (colonne C) et les coûts se recalculent.</t>
  </si>
  <si>
    <t xml:space="preserve">Catégorie</t>
  </si>
  <si>
    <t xml:space="preserve">Fiche</t>
  </si>
  <si>
    <t xml:space="preserve">Mode de cuisson</t>
  </si>
  <si>
    <t xml:space="preserve">Titre de la fiche</t>
  </si>
  <si>
    <t xml:space="preserve">Nb de fois au menu 2026</t>
  </si>
  <si>
    <t xml:space="preserve">Entrée</t>
  </si>
  <si>
    <t xml:space="preserve">Salade verte</t>
  </si>
  <si>
    <t xml:space="preserve">Préparation froide</t>
  </si>
  <si>
    <t xml:space="preserve">Potage de légumes</t>
  </si>
  <si>
    <t xml:space="preserve">CBT – cuisson de nuit</t>
  </si>
  <si>
    <t xml:space="preserve">Potage de légumes cuisson de nuit</t>
  </si>
  <si>
    <t xml:space="preserve">Potage de féculents</t>
  </si>
  <si>
    <t xml:space="preserve">Potage de féculents cuisson de nuit</t>
  </si>
  <si>
    <t xml:space="preserve">Taboulé</t>
  </si>
  <si>
    <t xml:space="preserve">Feuilleté</t>
  </si>
  <si>
    <t xml:space="preserve">Cuisson traditionnelle</t>
  </si>
  <si>
    <t xml:space="preserve">Salade d'endives</t>
  </si>
  <si>
    <t xml:space="preserve">Salade d'endives aux noix</t>
  </si>
  <si>
    <t xml:space="preserve">Endives au bleu et aux noix</t>
  </si>
  <si>
    <t xml:space="preserve">Salade de riz</t>
  </si>
  <si>
    <t xml:space="preserve">Betteraves vinaigrette</t>
  </si>
  <si>
    <t xml:space="preserve">Sous vide basse température</t>
  </si>
  <si>
    <t xml:space="preserve">Betteraves vinaigrette sous vide basse température</t>
  </si>
  <si>
    <t xml:space="preserve">Salade de betteraves et maïs</t>
  </si>
  <si>
    <t xml:space="preserve">Salade de betteraves et maïs sous vide basse température</t>
  </si>
  <si>
    <t xml:space="preserve">Salade mexicaine</t>
  </si>
  <si>
    <t xml:space="preserve">Melon</t>
  </si>
  <si>
    <t xml:space="preserve">Pastèque</t>
  </si>
  <si>
    <t xml:space="preserve">Pamplemousse</t>
  </si>
  <si>
    <t xml:space="preserve">Poireaux vinaigrette</t>
  </si>
  <si>
    <t xml:space="preserve">Poireaux vinaigrette sous vide basse température</t>
  </si>
  <si>
    <t xml:space="preserve">Avocat vinaigrette ou mayonnaise</t>
  </si>
  <si>
    <t xml:space="preserve">Salade de lentilles</t>
  </si>
  <si>
    <t xml:space="preserve">CBT – fiche originale du chef</t>
  </si>
  <si>
    <t xml:space="preserve">Lentilles vinaigrette nuit cuisson de nuit</t>
  </si>
  <si>
    <t xml:space="preserve">Terrine de légumes</t>
  </si>
  <si>
    <t xml:space="preserve">Terrine de légumes sous vide basse température</t>
  </si>
  <si>
    <t xml:space="preserve">Salade de pois chiches</t>
  </si>
  <si>
    <t xml:space="preserve">Salade de pois chiches cuisson de nuit</t>
  </si>
  <si>
    <t xml:space="preserve">Macédoine mayonnaise</t>
  </si>
  <si>
    <t xml:space="preserve">Salade de mâche</t>
  </si>
  <si>
    <t xml:space="preserve">Mâche et tartine de chèvre chaud</t>
  </si>
  <si>
    <t xml:space="preserve">Carottes râpées</t>
  </si>
  <si>
    <t xml:space="preserve">Pizza</t>
  </si>
  <si>
    <t xml:space="preserve">Rosette</t>
  </si>
  <si>
    <t xml:space="preserve">Saucisse sèche</t>
  </si>
  <si>
    <t xml:space="preserve">Coleslaw</t>
  </si>
  <si>
    <t xml:space="preserve">Salade de chou chinois</t>
  </si>
  <si>
    <t xml:space="preserve">Salade de tomates</t>
  </si>
  <si>
    <t xml:space="preserve">Tomates mozzarella</t>
  </si>
  <si>
    <t xml:space="preserve">Tomate antiboise</t>
  </si>
  <si>
    <t xml:space="preserve">Tomate à la russe</t>
  </si>
  <si>
    <t xml:space="preserve">Salade de pâtes</t>
  </si>
  <si>
    <t xml:space="preserve">Salade de pâtes, poulet et pesto</t>
  </si>
  <si>
    <t xml:space="preserve">Salade de pâtes, poulet et pesto sous vide basse température</t>
  </si>
  <si>
    <t xml:space="preserve">Asperges vinaigrette</t>
  </si>
  <si>
    <t xml:space="preserve">Asperges vinaigrette sous vide basse température</t>
  </si>
  <si>
    <t xml:space="preserve">Pâté aux olives</t>
  </si>
  <si>
    <t xml:space="preserve">Jambon cru</t>
  </si>
  <si>
    <t xml:space="preserve">Pâté de campagne</t>
  </si>
  <si>
    <t xml:space="preserve">Salade de chou-fleur</t>
  </si>
  <si>
    <t xml:space="preserve">Salade de haricots verts</t>
  </si>
  <si>
    <t xml:space="preserve">Salade de haricots beurre</t>
  </si>
  <si>
    <t xml:space="preserve">Salade de haricots rouges</t>
  </si>
  <si>
    <t xml:space="preserve">Salade de haricots rouges cuisson de nuit</t>
  </si>
  <si>
    <t xml:space="preserve">Salade de pommes de terre</t>
  </si>
  <si>
    <t xml:space="preserve">Salade de pommes de terre sous vide basse température</t>
  </si>
  <si>
    <t xml:space="preserve">Salade piémontaise</t>
  </si>
  <si>
    <t xml:space="preserve">Salade piémontaise sous vide basse température</t>
  </si>
  <si>
    <t xml:space="preserve">Salade de perles</t>
  </si>
  <si>
    <t xml:space="preserve">Salade ebly</t>
  </si>
  <si>
    <t xml:space="preserve">Salade gourmande de céréales</t>
  </si>
  <si>
    <t xml:space="preserve">Mousse de canard</t>
  </si>
  <si>
    <t xml:space="preserve">Rillettes de canard</t>
  </si>
  <si>
    <t xml:space="preserve">Rillettes de canard cuisson de nuit</t>
  </si>
  <si>
    <t xml:space="preserve">Toast de foie gras</t>
  </si>
  <si>
    <t xml:space="preserve">Céleri rémoulade</t>
  </si>
  <si>
    <t xml:space="preserve">Coquille Saint-Jacques</t>
  </si>
  <si>
    <t xml:space="preserve">Feuilleté de Saint-Jacques</t>
  </si>
  <si>
    <t xml:space="preserve">Assiette de charcuterie</t>
  </si>
  <si>
    <t xml:space="preserve">Pâté en croûte</t>
  </si>
  <si>
    <t xml:space="preserve">Crêpe salée jambon fromage</t>
  </si>
  <si>
    <t xml:space="preserve">Râpé de courgettes</t>
  </si>
  <si>
    <t xml:space="preserve">Sardines</t>
  </si>
  <si>
    <t xml:space="preserve">Maquereaux à la moutarde</t>
  </si>
  <si>
    <t xml:space="preserve">Maquereaux à la moutarde sous vide basse température</t>
  </si>
  <si>
    <t xml:space="preserve">Tarte à la tomate et au chèvre</t>
  </si>
  <si>
    <t xml:space="preserve">Tarte méditerranéenne</t>
  </si>
  <si>
    <t xml:space="preserve">Tarte à l'oignon</t>
  </si>
  <si>
    <t xml:space="preserve">Tarte au fromage</t>
  </si>
  <si>
    <t xml:space="preserve">Quiche lorraine</t>
  </si>
  <si>
    <t xml:space="preserve">Quiche au thon</t>
  </si>
  <si>
    <t xml:space="preserve">Salade César</t>
  </si>
  <si>
    <t xml:space="preserve">Salade César sous vide basse température</t>
  </si>
  <si>
    <t xml:space="preserve">Surimi</t>
  </si>
  <si>
    <t xml:space="preserve">Nems</t>
  </si>
  <si>
    <t xml:space="preserve">Chou rouge râpé aux pommes</t>
  </si>
  <si>
    <t xml:space="preserve">Croque-monsieur</t>
  </si>
  <si>
    <t xml:space="preserve">Terrine de poisson</t>
  </si>
  <si>
    <t xml:space="preserve">Terrine de poisson sous vide basse température</t>
  </si>
  <si>
    <t xml:space="preserve">Tartare de saumon</t>
  </si>
  <si>
    <t xml:space="preserve">Velouté de cèpes et châtaignes</t>
  </si>
  <si>
    <t xml:space="preserve">Velouté de cèpes et châtaignes cuisson de nuit</t>
  </si>
  <si>
    <t xml:space="preserve">Velouté aux pointes d'asperges</t>
  </si>
  <si>
    <t xml:space="preserve">Velouté de potimarron</t>
  </si>
  <si>
    <t xml:space="preserve">Velouté de potimarron cuisson de nuit</t>
  </si>
  <si>
    <t xml:space="preserve">Soupe de poisson</t>
  </si>
  <si>
    <t xml:space="preserve">Salade périgourdine</t>
  </si>
  <si>
    <t xml:space="preserve">Salade périgourdine cuisson de nuit</t>
  </si>
  <si>
    <t xml:space="preserve">Salade verte aux croûtons et gésiers</t>
  </si>
  <si>
    <t xml:space="preserve">Salade verte aux croûtons et gésiers cuisson de nuit</t>
  </si>
  <si>
    <t xml:space="preserve">Œuf mayonnaise</t>
  </si>
  <si>
    <t xml:space="preserve">Salade d'artichauts</t>
  </si>
  <si>
    <t xml:space="preserve">Salade d'artichauts sous vide basse température</t>
  </si>
  <si>
    <t xml:space="preserve">Champignons à la grecque</t>
  </si>
  <si>
    <t xml:space="preserve">Champignons à la grecque sous vide basse température</t>
  </si>
  <si>
    <t xml:space="preserve">Salade crétoise à la feta</t>
  </si>
  <si>
    <t xml:space="preserve">Plat</t>
  </si>
  <si>
    <t xml:space="preserve">Rôti de veau</t>
  </si>
  <si>
    <t xml:space="preserve">Rôti de veau cuisson de nuit</t>
  </si>
  <si>
    <t xml:space="preserve">Cordon bleu</t>
  </si>
  <si>
    <t xml:space="preserve">Jambon blanc</t>
  </si>
  <si>
    <t xml:space="preserve">Jambon à la russe</t>
  </si>
  <si>
    <t xml:space="preserve">Jambon braisé</t>
  </si>
  <si>
    <t xml:space="preserve">Jambon braisé cuisson de nuit</t>
  </si>
  <si>
    <t xml:space="preserve">Ficelle picarde (jambon picard)</t>
  </si>
  <si>
    <t xml:space="preserve">Poisson pané</t>
  </si>
  <si>
    <t xml:space="preserve">Escalope de veau</t>
  </si>
  <si>
    <t xml:space="preserve">Escalope de veau sous vide basse température</t>
  </si>
  <si>
    <t xml:space="preserve">Escalope viennoise</t>
  </si>
  <si>
    <t xml:space="preserve">Paupiette de volaille</t>
  </si>
  <si>
    <t xml:space="preserve">Paupiette de volaille cuisson de nuit</t>
  </si>
  <si>
    <t xml:space="preserve">Paupiette de veau sauce tomate</t>
  </si>
  <si>
    <t xml:space="preserve">Paupiette de veau sauce tomate cuisson de nuit</t>
  </si>
  <si>
    <t xml:space="preserve">Pavé de poisson sauce beurre blanc</t>
  </si>
  <si>
    <t xml:space="preserve">Pavé de poisson sauce beurre blanc sous vide basse température</t>
  </si>
  <si>
    <t xml:space="preserve">Pavé de saumon</t>
  </si>
  <si>
    <t xml:space="preserve">Pavé de saumon sous vide basse température</t>
  </si>
  <si>
    <t xml:space="preserve">Rôti de porc</t>
  </si>
  <si>
    <t xml:space="preserve">Rôti Echine cuisson de nuit</t>
  </si>
  <si>
    <t xml:space="preserve">Rôti de porc froid</t>
  </si>
  <si>
    <t xml:space="preserve">Rôti de porc froid cuisson de nuit</t>
  </si>
  <si>
    <t xml:space="preserve">Escalope de porc</t>
  </si>
  <si>
    <t xml:space="preserve">Saucisse de Toulouse</t>
  </si>
  <si>
    <t xml:space="preserve">Saucisse de volaille</t>
  </si>
  <si>
    <t xml:space="preserve">Chipolatas</t>
  </si>
  <si>
    <t xml:space="preserve">Merguez</t>
  </si>
  <si>
    <t xml:space="preserve">Hachis parmentier</t>
  </si>
  <si>
    <t xml:space="preserve">Parmentier de canard</t>
  </si>
  <si>
    <t xml:space="preserve">Parmentier de canard cuisson de nuit</t>
  </si>
  <si>
    <t xml:space="preserve">Parmentier de poisson</t>
  </si>
  <si>
    <t xml:space="preserve">Dos de cabillaud</t>
  </si>
  <si>
    <t xml:space="preserve">Dos de cabillaud sous vide basse température</t>
  </si>
  <si>
    <t xml:space="preserve">Dos de colin meunière</t>
  </si>
  <si>
    <t xml:space="preserve">Dos de colin bordelaise</t>
  </si>
  <si>
    <t xml:space="preserve">Dos de loup ou filet de dorade</t>
  </si>
  <si>
    <t xml:space="preserve">Rôti de bœuf</t>
  </si>
  <si>
    <t xml:space="preserve">Rôti de bœuf sous vide basse température</t>
  </si>
  <si>
    <t xml:space="preserve">Rosbif froid</t>
  </si>
  <si>
    <t xml:space="preserve">Rosbif froid sous vide basse température</t>
  </si>
  <si>
    <t xml:space="preserve">Sauté de veau</t>
  </si>
  <si>
    <t xml:space="preserve">Sauté de veau colombo cuisson de nuit</t>
  </si>
  <si>
    <t xml:space="preserve">Sauté de lapin</t>
  </si>
  <si>
    <t xml:space="preserve">Sauté de lapin cuisson de nuit</t>
  </si>
  <si>
    <t xml:space="preserve">Cuisse de lapin à la moutarde</t>
  </si>
  <si>
    <t xml:space="preserve">Cuisse de lapin à la moutarde cuisson de nuit</t>
  </si>
  <si>
    <t xml:space="preserve">Tête de veau sauce gribiche</t>
  </si>
  <si>
    <t xml:space="preserve">Tête de veau sauce gribiche cuisson de nuit</t>
  </si>
  <si>
    <t xml:space="preserve">Raviolis</t>
  </si>
  <si>
    <t xml:space="preserve">Cannellonis</t>
  </si>
  <si>
    <t xml:space="preserve">Steak de bœuf</t>
  </si>
  <si>
    <t xml:space="preserve">Steak de bœuf sous vide basse température</t>
  </si>
  <si>
    <t xml:space="preserve">Steak haché</t>
  </si>
  <si>
    <t xml:space="preserve">Moussaka</t>
  </si>
  <si>
    <t xml:space="preserve">Poulet basquaise</t>
  </si>
  <si>
    <t xml:space="preserve">Poulet basquaise cuisson de nuit</t>
  </si>
  <si>
    <t xml:space="preserve">Lasagnes au bœuf</t>
  </si>
  <si>
    <t xml:space="preserve">Lasagnes saumon épinards</t>
  </si>
  <si>
    <t xml:space="preserve">Pot-au-feu</t>
  </si>
  <si>
    <t xml:space="preserve">Pot au feu cuisson de nuit</t>
  </si>
  <si>
    <t xml:space="preserve">Pâtes bolognaise</t>
  </si>
  <si>
    <t xml:space="preserve">Pâtes carbonara</t>
  </si>
  <si>
    <t xml:space="preserve">Pâtes au chorizo</t>
  </si>
  <si>
    <t xml:space="preserve">Gratin de pâtes au jambon</t>
  </si>
  <si>
    <t xml:space="preserve">Suprême de volaille</t>
  </si>
  <si>
    <t xml:space="preserve">Suprême de volaille sous vide basse température</t>
  </si>
  <si>
    <t xml:space="preserve">Langue de bœuf sauce piquante</t>
  </si>
  <si>
    <t xml:space="preserve">Langue de bœuf sauce piquante cuisson de nuit</t>
  </si>
  <si>
    <t xml:space="preserve">Choucroute garnie</t>
  </si>
  <si>
    <t xml:space="preserve">Choucroute garnie cuisson de nuit</t>
  </si>
  <si>
    <t xml:space="preserve">Mortadelle</t>
  </si>
  <si>
    <t xml:space="preserve">Gratin de poisson</t>
  </si>
  <si>
    <t xml:space="preserve">Nuggets de poulet</t>
  </si>
  <si>
    <t xml:space="preserve">Donuts de poulet</t>
  </si>
  <si>
    <t xml:space="preserve">Omelette</t>
  </si>
  <si>
    <t xml:space="preserve">Omelette piperade</t>
  </si>
  <si>
    <t xml:space="preserve">Endives au jambon</t>
  </si>
  <si>
    <t xml:space="preserve">Blanquette de veau</t>
  </si>
  <si>
    <t xml:space="preserve">Blanquette de veau - CBT° Nuit</t>
  </si>
  <si>
    <t xml:space="preserve">Blanquette de dinde</t>
  </si>
  <si>
    <t xml:space="preserve">Blanquette de dinde cuisson de nuit</t>
  </si>
  <si>
    <t xml:space="preserve">Blanquette de poisson</t>
  </si>
  <si>
    <t xml:space="preserve">Blanquette de poisson sous vide basse température</t>
  </si>
  <si>
    <t xml:space="preserve">Tartiflette</t>
  </si>
  <si>
    <t xml:space="preserve">Croziflette</t>
  </si>
  <si>
    <t xml:space="preserve">Œufs durs sauce béchamel</t>
  </si>
  <si>
    <t xml:space="preserve">Œufs à la florentine</t>
  </si>
  <si>
    <t xml:space="preserve">Chili con carne</t>
  </si>
  <si>
    <t xml:space="preserve">Haricots Rouges - Chili- Cuisson avaec viande cuisson de nuit</t>
  </si>
  <si>
    <t xml:space="preserve">Flammekueche</t>
  </si>
  <si>
    <t xml:space="preserve">Rôti de dinde</t>
  </si>
  <si>
    <t xml:space="preserve">Rôti de dinde sous vide basse température</t>
  </si>
  <si>
    <t xml:space="preserve">Tripoux</t>
  </si>
  <si>
    <t xml:space="preserve">Tripoux cuisson de nuit</t>
  </si>
  <si>
    <t xml:space="preserve">Tripes à la mode de Caen</t>
  </si>
  <si>
    <t xml:space="preserve">Tripes à la mode de Caen cuisson de nuit</t>
  </si>
  <si>
    <t xml:space="preserve">Boulettes de bœuf sauce tomate</t>
  </si>
  <si>
    <t xml:space="preserve">Boulettes de bœuf sauce tomate cuisson de nuit</t>
  </si>
  <si>
    <t xml:space="preserve">Cuisse de poulet rôtie</t>
  </si>
  <si>
    <t xml:space="preserve">Cuisse de poulet rôtie cuisson de nuit</t>
  </si>
  <si>
    <t xml:space="preserve">Cuisse de pintade</t>
  </si>
  <si>
    <t xml:space="preserve">Cuisse de pintade cuisson de nuit</t>
  </si>
  <si>
    <t xml:space="preserve">Hamburger</t>
  </si>
  <si>
    <t xml:space="preserve">Kebab</t>
  </si>
  <si>
    <t xml:space="preserve">Andouillette</t>
  </si>
  <si>
    <t xml:space="preserve">Quenelles de volaille sauce</t>
  </si>
  <si>
    <t xml:space="preserve">Godiveau</t>
  </si>
  <si>
    <t xml:space="preserve">Bouchée à la reine</t>
  </si>
  <si>
    <t xml:space="preserve">Filet mignon de porc au cidre</t>
  </si>
  <si>
    <t xml:space="preserve">Filet mignon de porc au cidre sous vide basse température</t>
  </si>
  <si>
    <t xml:space="preserve">Escalope de dinde</t>
  </si>
  <si>
    <t xml:space="preserve">Escalope de dinde sous vide basse température</t>
  </si>
  <si>
    <t xml:space="preserve">Chou farci</t>
  </si>
  <si>
    <t xml:space="preserve">Chou farci cuisson de nuit</t>
  </si>
  <si>
    <t xml:space="preserve">Navarin d'agneau</t>
  </si>
  <si>
    <t xml:space="preserve">Navarin d'agneau cuisson de nuit</t>
  </si>
  <si>
    <t xml:space="preserve">Sauté d'agneau</t>
  </si>
  <si>
    <t xml:space="preserve">Sauté d'agneau cuisson de nuit</t>
  </si>
  <si>
    <t xml:space="preserve">Gigot d'agneau</t>
  </si>
  <si>
    <t xml:space="preserve">Gigot d'agneau cuisson de nuit</t>
  </si>
  <si>
    <t xml:space="preserve">Souris d'agneau</t>
  </si>
  <si>
    <t xml:space="preserve">Souris d'agneau cuisson de nuit</t>
  </si>
  <si>
    <t xml:space="preserve">Aiguillettes de poulet aux cèpes</t>
  </si>
  <si>
    <t xml:space="preserve">Aiguillettes de poulet aux cèpes sous vide basse température</t>
  </si>
  <si>
    <t xml:space="preserve">Cassoulet</t>
  </si>
  <si>
    <t xml:space="preserve">Cassoulet cuisson de nuit</t>
  </si>
  <si>
    <t xml:space="preserve">Sauté de volaille</t>
  </si>
  <si>
    <t xml:space="preserve">Sauté de volaille cuisson de nuit</t>
  </si>
  <si>
    <t xml:space="preserve">Jambonnette de volaille</t>
  </si>
  <si>
    <t xml:space="preserve">Jambonnette de volaille cuisson de nuit</t>
  </si>
  <si>
    <t xml:space="preserve">Calamars à la provençale</t>
  </si>
  <si>
    <t xml:space="preserve">Calamars à la provençale cuisson de nuit</t>
  </si>
  <si>
    <t xml:space="preserve">Moules marinières</t>
  </si>
  <si>
    <t xml:space="preserve">Courgettes farcies</t>
  </si>
  <si>
    <t xml:space="preserve">Courgettes farcies cuisson de nuit</t>
  </si>
  <si>
    <t xml:space="preserve">Tomates farcies</t>
  </si>
  <si>
    <t xml:space="preserve">Tomates farcies cuisson de nuit</t>
  </si>
  <si>
    <t xml:space="preserve">Aubergines farcies</t>
  </si>
  <si>
    <t xml:space="preserve">Aubergines farcies cuisson de nuit</t>
  </si>
  <si>
    <t xml:space="preserve">Pommes de terre farcies</t>
  </si>
  <si>
    <t xml:space="preserve">Boudin noir aux pommes</t>
  </si>
  <si>
    <t xml:space="preserve">Boudin blanc sauce morilles</t>
  </si>
  <si>
    <t xml:space="preserve">Daube de bœuf</t>
  </si>
  <si>
    <t xml:space="preserve">Daube de bœuf cuisson de nuit</t>
  </si>
  <si>
    <t xml:space="preserve">Bœuf bourguignon</t>
  </si>
  <si>
    <t xml:space="preserve">Bourguignon cuisson de nuit</t>
  </si>
  <si>
    <t xml:space="preserve">Carbonnade flamande</t>
  </si>
  <si>
    <t xml:space="preserve">Carbonnade flamande cuisson de nuit</t>
  </si>
  <si>
    <t xml:space="preserve">Petit salé aux lentilles</t>
  </si>
  <si>
    <t xml:space="preserve">Petit salé aux lentilles cuisson de nuit</t>
  </si>
  <si>
    <t xml:space="preserve">Brandade de morue</t>
  </si>
  <si>
    <t xml:space="preserve">Paëlla</t>
  </si>
  <si>
    <t xml:space="preserve">Crêpe aux champignons</t>
  </si>
  <si>
    <t xml:space="preserve">Saucisson brioché</t>
  </si>
  <si>
    <t xml:space="preserve">Couscous</t>
  </si>
  <si>
    <t xml:space="preserve">Couscous cuisson de nuit</t>
  </si>
  <si>
    <t xml:space="preserve">Rougail saucisse</t>
  </si>
  <si>
    <t xml:space="preserve">Magret de canard</t>
  </si>
  <si>
    <t xml:space="preserve">Magret de canard sous vide basse température</t>
  </si>
  <si>
    <t xml:space="preserve">Sauté de porc</t>
  </si>
  <si>
    <t xml:space="preserve">Sauté de porc cuisson de nuit</t>
  </si>
  <si>
    <t xml:space="preserve">Sauté de porc au curry doux</t>
  </si>
  <si>
    <t xml:space="preserve">Sauté de porc au curry doux cuisson de nuit</t>
  </si>
  <si>
    <t xml:space="preserve">Sauté de porc aux pruneaux</t>
  </si>
  <si>
    <t xml:space="preserve">Sauté de porc aux pruneaux cuisson de nuit</t>
  </si>
  <si>
    <t xml:space="preserve">Porc au caramel</t>
  </si>
  <si>
    <t xml:space="preserve">Porc au caramel cuisson de nuit</t>
  </si>
  <si>
    <t xml:space="preserve">Gardianne de taureau</t>
  </si>
  <si>
    <t xml:space="preserve">Gardianne de taureau cuisson de nuit</t>
  </si>
  <si>
    <t xml:space="preserve">Brochette de volaille</t>
  </si>
  <si>
    <t xml:space="preserve">Brochette de bœuf</t>
  </si>
  <si>
    <t xml:space="preserve">Aubergines à la parmesane</t>
  </si>
  <si>
    <t xml:space="preserve">Aubergines à la parmesane cuisson de nuit</t>
  </si>
  <si>
    <t xml:space="preserve">Bœuf aux oignons</t>
  </si>
  <si>
    <t xml:space="preserve">Bœuf aux oignons cuisson de nuit</t>
  </si>
  <si>
    <t xml:space="preserve">Sot-l'y-laisse de dinde à la crème</t>
  </si>
  <si>
    <t xml:space="preserve">Sot-l'y-laisse de dinde à la crème sous vide basse température</t>
  </si>
  <si>
    <t xml:space="preserve">Croustade d'escargots</t>
  </si>
  <si>
    <t xml:space="preserve">Gratin de courgettes à la viande</t>
  </si>
  <si>
    <t xml:space="preserve">Tourte aux champignons</t>
  </si>
  <si>
    <t xml:space="preserve">Feuilleté franc-comtois</t>
  </si>
  <si>
    <t xml:space="preserve">Riz cantonais</t>
  </si>
  <si>
    <t xml:space="preserve">Garniture</t>
  </si>
  <si>
    <t xml:space="preserve">Riz pilaf</t>
  </si>
  <si>
    <t xml:space="preserve">Riz à la tomate</t>
  </si>
  <si>
    <t xml:space="preserve">Semoule</t>
  </si>
  <si>
    <t xml:space="preserve">Haricots verts</t>
  </si>
  <si>
    <t xml:space="preserve">Salsifis</t>
  </si>
  <si>
    <t xml:space="preserve">Salsifis sous vide basse température</t>
  </si>
  <si>
    <t xml:space="preserve">Petits pois</t>
  </si>
  <si>
    <t xml:space="preserve">Petits pois carottes</t>
  </si>
  <si>
    <t xml:space="preserve">Carottes Vichy</t>
  </si>
  <si>
    <t xml:space="preserve">Carottes Vichy sous vide basse température</t>
  </si>
  <si>
    <t xml:space="preserve">Carottes à la crème</t>
  </si>
  <si>
    <t xml:space="preserve">Carottes à la crème sous vide basse température</t>
  </si>
  <si>
    <t xml:space="preserve">Haricots beurre</t>
  </si>
  <si>
    <t xml:space="preserve">Haricots plats</t>
  </si>
  <si>
    <t xml:space="preserve">Gratin dauphinois</t>
  </si>
  <si>
    <t xml:space="preserve">Gratin dauphinois cuisson de nuit</t>
  </si>
  <si>
    <t xml:space="preserve">Pâtes au beurre</t>
  </si>
  <si>
    <t xml:space="preserve">Pâtes au pesto</t>
  </si>
  <si>
    <t xml:space="preserve">Nouilles chinoises</t>
  </si>
  <si>
    <t xml:space="preserve">Gnocchis</t>
  </si>
  <si>
    <t xml:space="preserve">Perles</t>
  </si>
  <si>
    <t xml:space="preserve">Brocolis</t>
  </si>
  <si>
    <t xml:space="preserve">Purée de brocolis</t>
  </si>
  <si>
    <t xml:space="preserve">Chou romanesco</t>
  </si>
  <si>
    <t xml:space="preserve">Lentilles</t>
  </si>
  <si>
    <t xml:space="preserve">Lentilles cuisson de nuit</t>
  </si>
  <si>
    <t xml:space="preserve">Haricots blancs</t>
  </si>
  <si>
    <t xml:space="preserve">Haricots blancs cuisson de nuit</t>
  </si>
  <si>
    <t xml:space="preserve">Flageolets</t>
  </si>
  <si>
    <t xml:space="preserve">Flageolets cuisson de nuit</t>
  </si>
  <si>
    <t xml:space="preserve">Pommes dauphine</t>
  </si>
  <si>
    <t xml:space="preserve">Pommes duchesse</t>
  </si>
  <si>
    <t xml:space="preserve">Frites</t>
  </si>
  <si>
    <t xml:space="preserve">Frites de patate douce</t>
  </si>
  <si>
    <t xml:space="preserve">Rösti</t>
  </si>
  <si>
    <t xml:space="preserve">Râpé de pommes de terre</t>
  </si>
  <si>
    <t xml:space="preserve">Pommes de terre rissolées</t>
  </si>
  <si>
    <t xml:space="preserve">Pommes de terre rissolées sous vide basse température</t>
  </si>
  <si>
    <t xml:space="preserve">Pommes de terre vapeur</t>
  </si>
  <si>
    <t xml:space="preserve">Pommes de terre vapeur sous vide basse température</t>
  </si>
  <si>
    <t xml:space="preserve">Pommes de terre boulangère</t>
  </si>
  <si>
    <t xml:space="preserve">Pommes de terre boulangère cuisson de nuit</t>
  </si>
  <si>
    <t xml:space="preserve">Purée de pommes de terre</t>
  </si>
  <si>
    <t xml:space="preserve">Purée de pommes de terre sous vide basse température</t>
  </si>
  <si>
    <t xml:space="preserve">Purée de châtaignes et pommes de terre</t>
  </si>
  <si>
    <t xml:space="preserve">Purée de châtaignes et pommes de terre sous vide basse température</t>
  </si>
  <si>
    <t xml:space="preserve">Purée de potiron</t>
  </si>
  <si>
    <t xml:space="preserve">Purée de potiron sous vide basse température</t>
  </si>
  <si>
    <t xml:space="preserve">Purée de patate douce</t>
  </si>
  <si>
    <t xml:space="preserve">Purée de patate douce sous vide basse température</t>
  </si>
  <si>
    <t xml:space="preserve">Choux de Bruxelles</t>
  </si>
  <si>
    <t xml:space="preserve">Fondue de poireaux</t>
  </si>
  <si>
    <t xml:space="preserve">Fondue de poireaux cuisson de nuit</t>
  </si>
  <si>
    <t xml:space="preserve">Épinards à la crème</t>
  </si>
  <si>
    <t xml:space="preserve">Côtes de blettes</t>
  </si>
  <si>
    <t xml:space="preserve">Côtes de blettes sous vide basse température</t>
  </si>
  <si>
    <t xml:space="preserve">Tomates provençales</t>
  </si>
  <si>
    <t xml:space="preserve">Chou-fleur persillé</t>
  </si>
  <si>
    <t xml:space="preserve">Gratin de chou-fleur</t>
  </si>
  <si>
    <t xml:space="preserve">Aligot</t>
  </si>
  <si>
    <t xml:space="preserve">Aligot sous vide basse température</t>
  </si>
  <si>
    <t xml:space="preserve">Truffade au cantal</t>
  </si>
  <si>
    <t xml:space="preserve">Poêlée de légumes</t>
  </si>
  <si>
    <t xml:space="preserve">Poêlée campagnarde</t>
  </si>
  <si>
    <t xml:space="preserve">Poêlée de champignons</t>
  </si>
  <si>
    <t xml:space="preserve">Jardinière de légumes</t>
  </si>
  <si>
    <t xml:space="preserve">Macédoine de légumes au beurre</t>
  </si>
  <si>
    <t xml:space="preserve">Gratin de potimarron</t>
  </si>
  <si>
    <t xml:space="preserve">Flan de légumes</t>
  </si>
  <si>
    <t xml:space="preserve">Ratatouille</t>
  </si>
  <si>
    <t xml:space="preserve">Ratatouille de nuit</t>
  </si>
  <si>
    <t xml:space="preserve">Pommes caramélisées</t>
  </si>
  <si>
    <t xml:space="preserve">Courgettes sautées</t>
  </si>
  <si>
    <t xml:space="preserve">Gratin de courgettes</t>
  </si>
  <si>
    <t xml:space="preserve">Légumes de pot-au-feu</t>
  </si>
  <si>
    <t xml:space="preserve">Légumes de pot-au-feu cuisson de nuit</t>
  </si>
  <si>
    <t xml:space="preserve">Risotto</t>
  </si>
  <si>
    <t xml:space="preserve">Crumble de légumes</t>
  </si>
  <si>
    <t xml:space="preserve">Dessert</t>
  </si>
  <si>
    <t xml:space="preserve">Compote de fruits (fruit cuit)</t>
  </si>
  <si>
    <t xml:space="preserve">Compote de fruits (fruit cuit) sous vide basse température</t>
  </si>
  <si>
    <t xml:space="preserve">Salade de fruits frais</t>
  </si>
  <si>
    <t xml:space="preserve">Crêpes sucrées</t>
  </si>
  <si>
    <t xml:space="preserve">Bûche de Noël</t>
  </si>
  <si>
    <t xml:space="preserve">Entremets croustillant chocolat</t>
  </si>
  <si>
    <t xml:space="preserve">Entremets vanille fruits rouges</t>
  </si>
  <si>
    <t xml:space="preserve">Entremets chocolat caramel</t>
  </si>
  <si>
    <t xml:space="preserve">Cheesecake à la mangue</t>
  </si>
  <si>
    <t xml:space="preserve">Religieuse</t>
  </si>
  <si>
    <t xml:space="preserve">Tarte aux framboises</t>
  </si>
  <si>
    <t xml:space="preserve">Autres fiches du chef</t>
  </si>
  <si>
    <t xml:space="preserve">Joue de boeuf</t>
  </si>
  <si>
    <t xml:space="preserve">Joue de bœuf aubergine et chorizo  cuisson de nuit</t>
  </si>
  <si>
    <t xml:space="preserve">Haricots rouges</t>
  </si>
  <si>
    <t xml:space="preserve">Haricots Rouges Chili cuisson de nuit</t>
  </si>
  <si>
    <t xml:space="preserve">Chili-viande à part</t>
  </si>
  <si>
    <t xml:space="preserve">Haricots Rouges - Chili- viande à part cuisson de nuit</t>
  </si>
  <si>
    <t xml:space="preserve">COCO-Catalans</t>
  </si>
  <si>
    <t xml:space="preserve">Coco Catalans cuisson de nuit</t>
  </si>
  <si>
    <t xml:space="preserve">Pois Chiches</t>
  </si>
  <si>
    <t xml:space="preserve">Pois chiches cuisson de nuit</t>
  </si>
  <si>
    <t xml:space="preserve">PARAMÈTRES DE PRODUCTION</t>
  </si>
  <si>
    <t xml:space="preserve">Nombre de portions de la recette de base</t>
  </si>
  <si>
    <t xml:space="preserve">Les quantités de la colonne B de chaque fiche sont calculées pour ce nombre de portions.</t>
  </si>
  <si>
    <t xml:space="preserve">Effectif maison de retraite (EHPAD)</t>
  </si>
  <si>
    <t xml:space="preserve">À CONFIRMER – valeur provisoire, à saisir.</t>
  </si>
  <si>
    <t xml:space="preserve">Effectif FAM</t>
  </si>
  <si>
    <t xml:space="preserve">Saisi d'après les indications du chef.</t>
  </si>
  <si>
    <t xml:space="preserve">Nombre de portions à produire (total)</t>
  </si>
  <si>
    <t xml:space="preserve">Utilisé par défaut en B24 de chaque fiche (modifiable fiche par fiche).</t>
  </si>
  <si>
    <t xml:space="preserve">Cellules jaunes = à saisir. Le total se recalcule automatiquement.</t>
  </si>
  <si>
    <t xml:space="preserve">CADENCIER – CATALOGUE DES PRODUITS</t>
  </si>
  <si>
    <t xml:space="preserve">Prix de base = estimation grossiste collectivité 2026 (HT, par unité d'achat), à remplacer par vos prix facture. Saisir le prix facture (colonne G, jaune), la date et le fournisseur : le prix retenu (J) bascule automatiquement sur le prix facture et met à jour toutes les fiches.</t>
  </si>
  <si>
    <t xml:space="preserve">Code</t>
  </si>
  <si>
    <t xml:space="preserve">Famille</t>
  </si>
  <si>
    <t xml:space="preserve">Produit</t>
  </si>
  <si>
    <t xml:space="preserve">Unité</t>
  </si>
  <si>
    <t xml:space="preserve">Conditionnement</t>
  </si>
  <si>
    <t xml:space="preserve">Prix de base estimé HT (€/unité)</t>
  </si>
  <si>
    <t xml:space="preserve">Prix facture HT (€/unité)</t>
  </si>
  <si>
    <t xml:space="preserve">Date facture</t>
  </si>
  <si>
    <t xml:space="preserve">Fournisseur</t>
  </si>
  <si>
    <t xml:space="preserve">Prix retenu (€/unité)</t>
  </si>
  <si>
    <t xml:space="preserve">Nb de fiches</t>
  </si>
  <si>
    <t xml:space="preserve">Observations</t>
  </si>
  <si>
    <t xml:space="preserve">VIA-001</t>
  </si>
  <si>
    <t xml:space="preserve">Viandes</t>
  </si>
  <si>
    <t xml:space="preserve">Agneau haché 15 % MG</t>
  </si>
  <si>
    <t xml:space="preserve">Kg</t>
  </si>
  <si>
    <t xml:space="preserve">barquette 2,5 kg</t>
  </si>
  <si>
    <t xml:space="preserve">VIA-002</t>
  </si>
  <si>
    <t xml:space="preserve">Boulettes de bœuf crues surgelées 30 g</t>
  </si>
  <si>
    <t xml:space="preserve">carton 5 kg</t>
  </si>
  <si>
    <t xml:space="preserve">VIA-003</t>
  </si>
  <si>
    <t xml:space="preserve">Brochettes de bœuf 100 g</t>
  </si>
  <si>
    <t xml:space="preserve">barquette 5 kg (50 pièces)</t>
  </si>
  <si>
    <t xml:space="preserve">VIA-004</t>
  </si>
  <si>
    <t xml:space="preserve">Bœuf haché 15 % MG frais</t>
  </si>
  <si>
    <t xml:space="preserve">VIA-005</t>
  </si>
  <si>
    <t xml:space="preserve">Bœuf haché 15 % MG surgelé</t>
  </si>
  <si>
    <t xml:space="preserve">sachet 2,5 kg</t>
  </si>
  <si>
    <t xml:space="preserve">VIA-006</t>
  </si>
  <si>
    <t xml:space="preserve">Cuisses de lapin surgelées 180 g</t>
  </si>
  <si>
    <t xml:space="preserve">VIA-007</t>
  </si>
  <si>
    <t xml:space="preserve">Égrené de bœuf</t>
  </si>
  <si>
    <t xml:space="preserve">VIA-008</t>
  </si>
  <si>
    <t xml:space="preserve">Escalopes de porc 110 g</t>
  </si>
  <si>
    <t xml:space="preserve">barquette 5 kg</t>
  </si>
  <si>
    <t xml:space="preserve">VIA-009</t>
  </si>
  <si>
    <t xml:space="preserve">Escalopes de veau 110 g</t>
  </si>
  <si>
    <t xml:space="preserve">VIA-010</t>
  </si>
  <si>
    <t xml:space="preserve">Filet mignon de porc paré</t>
  </si>
  <si>
    <t xml:space="preserve">sous vide 5 kg</t>
  </si>
  <si>
    <t xml:space="preserve">VIA-011</t>
  </si>
  <si>
    <t xml:space="preserve">Gigot d'agneau désossé ficelé</t>
  </si>
  <si>
    <t xml:space="preserve">sous vide 2-2,5 kg</t>
  </si>
  <si>
    <t xml:space="preserve">VIA-012</t>
  </si>
  <si>
    <t xml:space="preserve">Joue de bœuf parée</t>
  </si>
  <si>
    <t xml:space="preserve">sous vide 3 kg</t>
  </si>
  <si>
    <t xml:space="preserve">VIA-013</t>
  </si>
  <si>
    <t xml:space="preserve">Langues de bœuf surgelées</t>
  </si>
  <si>
    <t xml:space="preserve">carton 10 kg</t>
  </si>
  <si>
    <t xml:space="preserve">VIA-014</t>
  </si>
  <si>
    <t xml:space="preserve">Paleron / macreuse de bœuf en morceaux 80 g</t>
  </si>
  <si>
    <t xml:space="preserve">VIA-015</t>
  </si>
  <si>
    <t xml:space="preserve">Palette de porc demi-sel désossée</t>
  </si>
  <si>
    <t xml:space="preserve">sous vide 2-3 kg</t>
  </si>
  <si>
    <t xml:space="preserve">VIA-016</t>
  </si>
  <si>
    <t xml:space="preserve">Paupiettes de veau 120 g</t>
  </si>
  <si>
    <t xml:space="preserve">barquette 6 kg (50 pièces)</t>
  </si>
  <si>
    <t xml:space="preserve">VIA-017</t>
  </si>
  <si>
    <t xml:space="preserve">Petit salé demi-sel (palette et poitrine)</t>
  </si>
  <si>
    <t xml:space="preserve">VIA-018</t>
  </si>
  <si>
    <t xml:space="preserve">Pieds de veau fendus</t>
  </si>
  <si>
    <t xml:space="preserve">VIA-019</t>
  </si>
  <si>
    <t xml:space="preserve">Poitrine de porc demi-sel</t>
  </si>
  <si>
    <t xml:space="preserve">VIA-020</t>
  </si>
  <si>
    <t xml:space="preserve">Rôti de bœuf ficelé (rumsteck / tende de tranche)</t>
  </si>
  <si>
    <t xml:space="preserve">VIA-021</t>
  </si>
  <si>
    <t xml:space="preserve">Rôti de porc échine / longe ficelé</t>
  </si>
  <si>
    <t xml:space="preserve">VIA-022</t>
  </si>
  <si>
    <t xml:space="preserve">Rôti de veau bas carré / épaule ficelé</t>
  </si>
  <si>
    <t xml:space="preserve">VIA-023</t>
  </si>
  <si>
    <t xml:space="preserve">Sauté d'agneau épaule 40/60 g</t>
  </si>
  <si>
    <t xml:space="preserve">VIA-024</t>
  </si>
  <si>
    <t xml:space="preserve">Sauté de bœuf gélatineux 40/60 g</t>
  </si>
  <si>
    <t xml:space="preserve">VIA-025</t>
  </si>
  <si>
    <t xml:space="preserve">Sauté de lapin (cuisses et râbles) 130 g</t>
  </si>
  <si>
    <t xml:space="preserve">VIA-026</t>
  </si>
  <si>
    <t xml:space="preserve">Sauté de porc épaule 40/60 g</t>
  </si>
  <si>
    <t xml:space="preserve">VIA-027</t>
  </si>
  <si>
    <t xml:space="preserve">Sauté de taureau AOP Camargue 40/60 g</t>
  </si>
  <si>
    <t xml:space="preserve">VIA-028</t>
  </si>
  <si>
    <t xml:space="preserve">Sauté de veau blanquette (épaule) 40/60 g</t>
  </si>
  <si>
    <t xml:space="preserve">VIA-029</t>
  </si>
  <si>
    <t xml:space="preserve">Souris d'agneau 300/350 g</t>
  </si>
  <si>
    <t xml:space="preserve">VIA-030</t>
  </si>
  <si>
    <t xml:space="preserve">Steaks de bœuf 120 g</t>
  </si>
  <si>
    <t xml:space="preserve">VIA-031</t>
  </si>
  <si>
    <t xml:space="preserve">Steaks hachés 15 % MG 100 g frais</t>
  </si>
  <si>
    <t xml:space="preserve">barquette 4 kg (40 pièces)</t>
  </si>
  <si>
    <t xml:space="preserve">VIA-032</t>
  </si>
  <si>
    <t xml:space="preserve">Steaks hachés 15 % MG 100 g surgelés</t>
  </si>
  <si>
    <t xml:space="preserve">carton 5 kg (50 pièces)</t>
  </si>
  <si>
    <t xml:space="preserve">VIA-033</t>
  </si>
  <si>
    <t xml:space="preserve">Tête de veau roulée désossée blanchie</t>
  </si>
  <si>
    <t xml:space="preserve">VIA-034</t>
  </si>
  <si>
    <t xml:space="preserve">Tripes de bœuf blanchies coupées</t>
  </si>
  <si>
    <t xml:space="preserve">seau 5 kg</t>
  </si>
  <si>
    <t xml:space="preserve">VIA-035</t>
  </si>
  <si>
    <t xml:space="preserve">Tripoux crus ficelés 80/100 g</t>
  </si>
  <si>
    <t xml:space="preserve">VOL-001</t>
  </si>
  <si>
    <t xml:space="preserve">Volailles</t>
  </si>
  <si>
    <t xml:space="preserve">Aiguillettes de poulet</t>
  </si>
  <si>
    <t xml:space="preserve">VOL-002</t>
  </si>
  <si>
    <t xml:space="preserve">Brochettes de poulet 100 g</t>
  </si>
  <si>
    <t xml:space="preserve">VOL-003</t>
  </si>
  <si>
    <t xml:space="preserve">Cuisses de canard</t>
  </si>
  <si>
    <t xml:space="preserve">VOL-004</t>
  </si>
  <si>
    <t xml:space="preserve">Cuisses de canard confites</t>
  </si>
  <si>
    <t xml:space="preserve">VOL-005</t>
  </si>
  <si>
    <t xml:space="preserve">Cuisses de pintade 200/220 g</t>
  </si>
  <si>
    <t xml:space="preserve">VOL-006</t>
  </si>
  <si>
    <t xml:space="preserve">Cuisses de poulet 220/250 g</t>
  </si>
  <si>
    <t xml:space="preserve">VOL-007</t>
  </si>
  <si>
    <t xml:space="preserve">Escalopes de dinde 120 g</t>
  </si>
  <si>
    <t xml:space="preserve">VOL-008</t>
  </si>
  <si>
    <t xml:space="preserve">Gésiers de canard crus</t>
  </si>
  <si>
    <t xml:space="preserve">sous vide 2,5 kg</t>
  </si>
  <si>
    <t xml:space="preserve">VOL-009</t>
  </si>
  <si>
    <t xml:space="preserve">Hauts de cuisse de poulet avec os</t>
  </si>
  <si>
    <t xml:space="preserve">VOL-010</t>
  </si>
  <si>
    <t xml:space="preserve">Hauts de cuisse de poulet désossés (sauté de volaille) 40/60 g</t>
  </si>
  <si>
    <t xml:space="preserve">VOL-011</t>
  </si>
  <si>
    <t xml:space="preserve">Jambonnettes de volaille farcies 150/180 g</t>
  </si>
  <si>
    <t xml:space="preserve">VOL-012</t>
  </si>
  <si>
    <t xml:space="preserve">Magret de canard 350/400 g</t>
  </si>
  <si>
    <t xml:space="preserve">sous vide 2 kg</t>
  </si>
  <si>
    <t xml:space="preserve">VOL-013</t>
  </si>
  <si>
    <t xml:space="preserve">Paupiettes de volaille 120 g</t>
  </si>
  <si>
    <t xml:space="preserve">VOL-014</t>
  </si>
  <si>
    <t xml:space="preserve">Rôti de dinde filet ficelé</t>
  </si>
  <si>
    <t xml:space="preserve">VOL-015</t>
  </si>
  <si>
    <t xml:space="preserve">Sauté de dinde (cuisse) 40/60 g</t>
  </si>
  <si>
    <t xml:space="preserve">VOL-016</t>
  </si>
  <si>
    <t xml:space="preserve">Sot-l'y-laisse de dinde</t>
  </si>
  <si>
    <t xml:space="preserve">VOL-017</t>
  </si>
  <si>
    <t xml:space="preserve">Suprêmes / filets de volaille 130/150 g</t>
  </si>
  <si>
    <t xml:space="preserve">CHA-001</t>
  </si>
  <si>
    <t xml:space="preserve">Charcuterie</t>
  </si>
  <si>
    <t xml:space="preserve">Andouillettes AAAAA 150 g</t>
  </si>
  <si>
    <t xml:space="preserve">carton 10 kg (65 pièces)</t>
  </si>
  <si>
    <t xml:space="preserve">CHA-002</t>
  </si>
  <si>
    <t xml:space="preserve">Bloc de foie gras de canard</t>
  </si>
  <si>
    <t xml:space="preserve">bloc 1 kg</t>
  </si>
  <si>
    <t xml:space="preserve">CHA-003</t>
  </si>
  <si>
    <t xml:space="preserve">Boudin blanc portions 100 g</t>
  </si>
  <si>
    <t xml:space="preserve">CHA-004</t>
  </si>
  <si>
    <t xml:space="preserve">Boudin noir portions 100 g</t>
  </si>
  <si>
    <t xml:space="preserve">CHA-005</t>
  </si>
  <si>
    <t xml:space="preserve">Chair à saucisse</t>
  </si>
  <si>
    <t xml:space="preserve">CHA-006</t>
  </si>
  <si>
    <t xml:space="preserve">Chipolatas 50 g</t>
  </si>
  <si>
    <t xml:space="preserve">CHA-007</t>
  </si>
  <si>
    <t xml:space="preserve">Chorizo doux (pièce)</t>
  </si>
  <si>
    <t xml:space="preserve">pièce 1 kg</t>
  </si>
  <si>
    <t xml:space="preserve">CHA-008</t>
  </si>
  <si>
    <t xml:space="preserve">Chorizo doux en rondelles</t>
  </si>
  <si>
    <t xml:space="preserve">sachet 1 kg</t>
  </si>
  <si>
    <t xml:space="preserve">CHA-009</t>
  </si>
  <si>
    <t xml:space="preserve">Jambon blanc en dés</t>
  </si>
  <si>
    <t xml:space="preserve">CHA-010</t>
  </si>
  <si>
    <t xml:space="preserve">Jambon blanc supérieur tranché DD</t>
  </si>
  <si>
    <t xml:space="preserve">barquette 1 kg (25 tranches)</t>
  </si>
  <si>
    <t xml:space="preserve">CHA-011</t>
  </si>
  <si>
    <t xml:space="preserve">Jambon cru / sec tranché</t>
  </si>
  <si>
    <t xml:space="preserve">barquette 500 g</t>
  </si>
  <si>
    <t xml:space="preserve">CHA-012</t>
  </si>
  <si>
    <t xml:space="preserve">Jambon cuit supérieur entier à braiser</t>
  </si>
  <si>
    <t xml:space="preserve">pièce 6-7 kg</t>
  </si>
  <si>
    <t xml:space="preserve">CHA-013</t>
  </si>
  <si>
    <t xml:space="preserve">Lardons fumés</t>
  </si>
  <si>
    <t xml:space="preserve">CHA-014</t>
  </si>
  <si>
    <t xml:space="preserve">Magret de canard fumé tranché</t>
  </si>
  <si>
    <t xml:space="preserve">CHA-015</t>
  </si>
  <si>
    <t xml:space="preserve">Merguez 50 g</t>
  </si>
  <si>
    <t xml:space="preserve">CHA-016</t>
  </si>
  <si>
    <t xml:space="preserve">Mortadelle (barre)</t>
  </si>
  <si>
    <t xml:space="preserve">barre 3 kg</t>
  </si>
  <si>
    <t xml:space="preserve">CHA-017</t>
  </si>
  <si>
    <t xml:space="preserve">Mousse de canard (barre)</t>
  </si>
  <si>
    <t xml:space="preserve">barre 1,5 kg</t>
  </si>
  <si>
    <t xml:space="preserve">CHA-018</t>
  </si>
  <si>
    <t xml:space="preserve">Pâté aux olives (barre)</t>
  </si>
  <si>
    <t xml:space="preserve">barre 2 kg</t>
  </si>
  <si>
    <t xml:space="preserve">CHA-019</t>
  </si>
  <si>
    <t xml:space="preserve">Pâté de campagne (barre)</t>
  </si>
  <si>
    <t xml:space="preserve">CHA-020</t>
  </si>
  <si>
    <t xml:space="preserve">Pâté en croûte (barre)</t>
  </si>
  <si>
    <t xml:space="preserve">CHA-021</t>
  </si>
  <si>
    <t xml:space="preserve">Poitrine fumée</t>
  </si>
  <si>
    <t xml:space="preserve">pièce 2 kg</t>
  </si>
  <si>
    <t xml:space="preserve">CHA-022</t>
  </si>
  <si>
    <t xml:space="preserve">Rosette / saucisson sec tranché</t>
  </si>
  <si>
    <t xml:space="preserve">CHA-023</t>
  </si>
  <si>
    <t xml:space="preserve">Saucisse de Morteau</t>
  </si>
  <si>
    <t xml:space="preserve">pièce 350 g sous vide</t>
  </si>
  <si>
    <t xml:space="preserve">CHA-024</t>
  </si>
  <si>
    <t xml:space="preserve">Saucisse de Toulouse 120 g</t>
  </si>
  <si>
    <t xml:space="preserve">CHA-025</t>
  </si>
  <si>
    <t xml:space="preserve">pièce 250 g</t>
  </si>
  <si>
    <t xml:space="preserve">CHA-026</t>
  </si>
  <si>
    <t xml:space="preserve">Saucisses de Montbéliard (fumées)</t>
  </si>
  <si>
    <t xml:space="preserve">CHA-027</t>
  </si>
  <si>
    <t xml:space="preserve">Saucisses de Strasbourg (knacks)</t>
  </si>
  <si>
    <t xml:space="preserve">CHA-028</t>
  </si>
  <si>
    <t xml:space="preserve">Saucisses de volaille 100 g</t>
  </si>
  <si>
    <t xml:space="preserve">CHA-029</t>
  </si>
  <si>
    <t xml:space="preserve">Saucisson à cuire pistaché 1 kg</t>
  </si>
  <si>
    <t xml:space="preserve">POI-001</t>
  </si>
  <si>
    <t xml:space="preserve">Poissons et produits de la mer</t>
  </si>
  <si>
    <t xml:space="preserve">Anneaux de calamar surgelés</t>
  </si>
  <si>
    <t xml:space="preserve">POI-002</t>
  </si>
  <si>
    <t xml:space="preserve">Bâtonnets de surimi</t>
  </si>
  <si>
    <t xml:space="preserve">POI-003</t>
  </si>
  <si>
    <t xml:space="preserve">Calamars / seiches surgelés</t>
  </si>
  <si>
    <t xml:space="preserve">POI-004</t>
  </si>
  <si>
    <t xml:space="preserve">Crevettes décortiquées surgelées</t>
  </si>
  <si>
    <t xml:space="preserve">POI-005</t>
  </si>
  <si>
    <t xml:space="preserve">Dés de poisson blanc surgelés</t>
  </si>
  <si>
    <t xml:space="preserve">POI-006</t>
  </si>
  <si>
    <t xml:space="preserve">Dés de saumon surgelés</t>
  </si>
  <si>
    <t xml:space="preserve">POI-007</t>
  </si>
  <si>
    <t xml:space="preserve">Dos de cabillaud surgelés sans peau 100/120 g</t>
  </si>
  <si>
    <t xml:space="preserve">POI-008</t>
  </si>
  <si>
    <t xml:space="preserve">Dos de colin (lieu) surgelés sans peau 120 g</t>
  </si>
  <si>
    <t xml:space="preserve">POI-009</t>
  </si>
  <si>
    <t xml:space="preserve">Dos de loup surgelés avec peau 120 g</t>
  </si>
  <si>
    <t xml:space="preserve">POI-010</t>
  </si>
  <si>
    <t xml:space="preserve">Escargots de Bourgogne décoquillés</t>
  </si>
  <si>
    <t xml:space="preserve">boîte 4/4 (8 dz) (≈ 22.00 €/pièce)</t>
  </si>
  <si>
    <t xml:space="preserve">POI-011</t>
  </si>
  <si>
    <t xml:space="preserve">Filets de maquereau surgelés</t>
  </si>
  <si>
    <t xml:space="preserve">POI-012</t>
  </si>
  <si>
    <t xml:space="preserve">Filets de poisson blanc surgelés</t>
  </si>
  <si>
    <t xml:space="preserve">POI-013</t>
  </si>
  <si>
    <t xml:space="preserve">Filets de saumon surgelés</t>
  </si>
  <si>
    <t xml:space="preserve">POI-014</t>
  </si>
  <si>
    <t xml:space="preserve">Morue dessalée surgelée (filets sans peau)</t>
  </si>
  <si>
    <t xml:space="preserve">POI-015</t>
  </si>
  <si>
    <t xml:space="preserve">Moules de bouchot fraîches</t>
  </si>
  <si>
    <t xml:space="preserve">sac 10 kg</t>
  </si>
  <si>
    <t xml:space="preserve">POI-016</t>
  </si>
  <si>
    <t xml:space="preserve">Moules décoquillées surgelées</t>
  </si>
  <si>
    <t xml:space="preserve">POI-017</t>
  </si>
  <si>
    <t xml:space="preserve">Noix de Saint-Jacques surgelées 30/40</t>
  </si>
  <si>
    <t xml:space="preserve">POI-018</t>
  </si>
  <si>
    <t xml:space="preserve">Pavés de poisson blanc surgelés 100 g</t>
  </si>
  <si>
    <t xml:space="preserve">POI-019</t>
  </si>
  <si>
    <t xml:space="preserve">Pavés de saumon cuits sous vide surgelés</t>
  </si>
  <si>
    <t xml:space="preserve">POI-020</t>
  </si>
  <si>
    <t xml:space="preserve">Pavés de saumon surgelés 100 g</t>
  </si>
  <si>
    <t xml:space="preserve">POI-021</t>
  </si>
  <si>
    <t xml:space="preserve">Portions de poisson pané surgelées 100 g</t>
  </si>
  <si>
    <t xml:space="preserve">POI-022</t>
  </si>
  <si>
    <t xml:space="preserve">Saumon fumé tranché</t>
  </si>
  <si>
    <t xml:space="preserve">plaque 1 kg</t>
  </si>
  <si>
    <t xml:space="preserve">BOF-001</t>
  </si>
  <si>
    <t xml:space="preserve">Produits laitiers et œufs (BOF)</t>
  </si>
  <si>
    <t xml:space="preserve">Beurre doux</t>
  </si>
  <si>
    <t xml:space="preserve">plaque 1 kg x 10</t>
  </si>
  <si>
    <t xml:space="preserve">BOF-002</t>
  </si>
  <si>
    <t xml:space="preserve">Beurre portions 10 g</t>
  </si>
  <si>
    <t xml:space="preserve">carton 10 g x 200</t>
  </si>
  <si>
    <t xml:space="preserve">BOF-003</t>
  </si>
  <si>
    <t xml:space="preserve">Blancs d'œufs liquides pasteurisés</t>
  </si>
  <si>
    <t xml:space="preserve">L</t>
  </si>
  <si>
    <t xml:space="preserve">brique 1 L</t>
  </si>
  <si>
    <t xml:space="preserve">BOF-004</t>
  </si>
  <si>
    <t xml:space="preserve">Bleu d'Auvergne</t>
  </si>
  <si>
    <t xml:space="preserve">pièce 1,3 kg</t>
  </si>
  <si>
    <t xml:space="preserve">BOF-005</t>
  </si>
  <si>
    <t xml:space="preserve">Bûche de chèvre</t>
  </si>
  <si>
    <t xml:space="preserve">bûche 1 kg</t>
  </si>
  <si>
    <t xml:space="preserve">BOF-006</t>
  </si>
  <si>
    <t xml:space="preserve">Cantal jeune</t>
  </si>
  <si>
    <t xml:space="preserve">pièce 2,5 kg</t>
  </si>
  <si>
    <t xml:space="preserve">BOF-007</t>
  </si>
  <si>
    <t xml:space="preserve">Cheddar en tranches</t>
  </si>
  <si>
    <t xml:space="preserve">paquet 1 kg (80 tranches)</t>
  </si>
  <si>
    <t xml:space="preserve">BOF-008</t>
  </si>
  <si>
    <t xml:space="preserve">Comté râpé</t>
  </si>
  <si>
    <t xml:space="preserve">BOF-009</t>
  </si>
  <si>
    <t xml:space="preserve">Crème épaisse 30 %</t>
  </si>
  <si>
    <t xml:space="preserve">BOF-010</t>
  </si>
  <si>
    <t xml:space="preserve">Crème liquide UHT 35 %</t>
  </si>
  <si>
    <t xml:space="preserve">brique 1 L x 6</t>
  </si>
  <si>
    <t xml:space="preserve">BOF-011</t>
  </si>
  <si>
    <t xml:space="preserve">Emmental en dés</t>
  </si>
  <si>
    <t xml:space="preserve">BOF-012</t>
  </si>
  <si>
    <t xml:space="preserve">Emmental râpé</t>
  </si>
  <si>
    <t xml:space="preserve">BOF-013</t>
  </si>
  <si>
    <t xml:space="preserve">Feta en dés</t>
  </si>
  <si>
    <t xml:space="preserve">seau 1 kg</t>
  </si>
  <si>
    <t xml:space="preserve">BOF-014</t>
  </si>
  <si>
    <t xml:space="preserve">Fromage blanc 20 %</t>
  </si>
  <si>
    <t xml:space="preserve">BOF-015</t>
  </si>
  <si>
    <t xml:space="preserve">Fromage frais nature (type St Môret)</t>
  </si>
  <si>
    <t xml:space="preserve">pain 1 kg</t>
  </si>
  <si>
    <t xml:space="preserve">BOF-016</t>
  </si>
  <si>
    <t xml:space="preserve">Jaunes d'œufs pasteurisés</t>
  </si>
  <si>
    <t xml:space="preserve">BOF-017</t>
  </si>
  <si>
    <t xml:space="preserve">Lait demi-écrémé UHT</t>
  </si>
  <si>
    <t xml:space="preserve">BOF-018</t>
  </si>
  <si>
    <t xml:space="preserve">Lait entier UHT</t>
  </si>
  <si>
    <t xml:space="preserve">BOF-019</t>
  </si>
  <si>
    <t xml:space="preserve">Mozzarella (pain)</t>
  </si>
  <si>
    <t xml:space="preserve">BOF-020</t>
  </si>
  <si>
    <t xml:space="preserve">Mozzarella billes</t>
  </si>
  <si>
    <t xml:space="preserve">BOF-021</t>
  </si>
  <si>
    <t xml:space="preserve">Mozzarella râpée</t>
  </si>
  <si>
    <t xml:space="preserve">BOF-022</t>
  </si>
  <si>
    <t xml:space="preserve">Parmesan râpé</t>
  </si>
  <si>
    <t xml:space="preserve">BOF-023</t>
  </si>
  <si>
    <t xml:space="preserve">Reblochon</t>
  </si>
  <si>
    <t xml:space="preserve">pièce 450 g</t>
  </si>
  <si>
    <t xml:space="preserve">BOF-024</t>
  </si>
  <si>
    <t xml:space="preserve">Saindoux</t>
  </si>
  <si>
    <t xml:space="preserve">BOF-025</t>
  </si>
  <si>
    <t xml:space="preserve">Tome fraîche de l'Aubrac</t>
  </si>
  <si>
    <t xml:space="preserve">BOF-026</t>
  </si>
  <si>
    <t xml:space="preserve">Œufs coquille calibre moyen</t>
  </si>
  <si>
    <t xml:space="preserve">plateau 30 x 6 (≈ 0.18 €/pièce)</t>
  </si>
  <si>
    <t xml:space="preserve">Prix converti au kg sur la base de 60 g par pièce</t>
  </si>
  <si>
    <t xml:space="preserve">BOF-027</t>
  </si>
  <si>
    <t xml:space="preserve">Œufs durs écalés pasteurisés</t>
  </si>
  <si>
    <t xml:space="preserve">seau 75 pièces (≈ 0.28 €/pièce)</t>
  </si>
  <si>
    <t xml:space="preserve">Prix converti au kg sur la base de 50 g par pièce</t>
  </si>
  <si>
    <t xml:space="preserve">BOF-028</t>
  </si>
  <si>
    <t xml:space="preserve">Œufs entiers liquides pasteurisés</t>
  </si>
  <si>
    <t xml:space="preserve">BOF-029</t>
  </si>
  <si>
    <t xml:space="preserve">Yaourt nature</t>
  </si>
  <si>
    <t xml:space="preserve">FLF-001</t>
  </si>
  <si>
    <t xml:space="preserve">Fruits et légumes frais</t>
  </si>
  <si>
    <t xml:space="preserve">Ail frais</t>
  </si>
  <si>
    <t xml:space="preserve">filet 1 kg</t>
  </si>
  <si>
    <t xml:space="preserve">FLF-002</t>
  </si>
  <si>
    <t xml:space="preserve">Ananas frais</t>
  </si>
  <si>
    <t xml:space="preserve">carton 8 pièces (≈ 2.80 €/pièce)</t>
  </si>
  <si>
    <t xml:space="preserve">Prix converti au kg sur la base de 1500 g par pièce</t>
  </si>
  <si>
    <t xml:space="preserve">FLF-003</t>
  </si>
  <si>
    <t xml:space="preserve">Asperges blanches fraîches épluchées</t>
  </si>
  <si>
    <t xml:space="preserve">botte 1 kg</t>
  </si>
  <si>
    <t xml:space="preserve">FLF-004</t>
  </si>
  <si>
    <t xml:space="preserve">Aubergines fraîches</t>
  </si>
  <si>
    <t xml:space="preserve">colis 5 kg</t>
  </si>
  <si>
    <t xml:space="preserve">FLF-005</t>
  </si>
  <si>
    <t xml:space="preserve">Avocats</t>
  </si>
  <si>
    <t xml:space="preserve">colis 12 pièces (≈ 1.10 €/pièce)</t>
  </si>
  <si>
    <t xml:space="preserve">Prix converti au kg sur la base de 200 g par pièce</t>
  </si>
  <si>
    <t xml:space="preserve">FLF-006</t>
  </si>
  <si>
    <t xml:space="preserve">Bananes</t>
  </si>
  <si>
    <t xml:space="preserve">carton 18 kg</t>
  </si>
  <si>
    <t xml:space="preserve">FLF-007</t>
  </si>
  <si>
    <t xml:space="preserve">Basilic frais (botte)</t>
  </si>
  <si>
    <t xml:space="preserve">botte (≈ 1.60 €/pièce)</t>
  </si>
  <si>
    <t xml:space="preserve">FLF-008</t>
  </si>
  <si>
    <t xml:space="preserve">Betteraves rouges crues</t>
  </si>
  <si>
    <t xml:space="preserve">sac 5 kg</t>
  </si>
  <si>
    <t xml:space="preserve">FLF-009</t>
  </si>
  <si>
    <t xml:space="preserve">Carottes bâtonnets 4ème gamme</t>
  </si>
  <si>
    <t xml:space="preserve">FLF-010</t>
  </si>
  <si>
    <t xml:space="preserve">Carottes fraîches</t>
  </si>
  <si>
    <t xml:space="preserve">FLF-011</t>
  </si>
  <si>
    <t xml:space="preserve">Carottes râpées 4ème gamme</t>
  </si>
  <si>
    <t xml:space="preserve">FLF-012</t>
  </si>
  <si>
    <t xml:space="preserve">Céleri-rave (boule)</t>
  </si>
  <si>
    <t xml:space="preserve">colis 10 kg</t>
  </si>
  <si>
    <t xml:space="preserve">FLF-013</t>
  </si>
  <si>
    <t xml:space="preserve">Céleri-rave râpé 4ème gamme</t>
  </si>
  <si>
    <t xml:space="preserve">FLF-014</t>
  </si>
  <si>
    <t xml:space="preserve">Chou blanc</t>
  </si>
  <si>
    <t xml:space="preserve">FLF-015</t>
  </si>
  <si>
    <t xml:space="preserve">Chou chinois</t>
  </si>
  <si>
    <t xml:space="preserve">colis 8 kg</t>
  </si>
  <si>
    <t xml:space="preserve">FLF-016</t>
  </si>
  <si>
    <t xml:space="preserve">Chou rouge râpé 4ème gamme</t>
  </si>
  <si>
    <t xml:space="preserve">FLF-017</t>
  </si>
  <si>
    <t xml:space="preserve">Chou vert frisé</t>
  </si>
  <si>
    <t xml:space="preserve">FLF-018</t>
  </si>
  <si>
    <t xml:space="preserve">Citrons jaunes</t>
  </si>
  <si>
    <t xml:space="preserve">FLF-019</t>
  </si>
  <si>
    <t xml:space="preserve">Citrons verts</t>
  </si>
  <si>
    <t xml:space="preserve">colis 4,5 kg</t>
  </si>
  <si>
    <t xml:space="preserve">FLF-020</t>
  </si>
  <si>
    <t xml:space="preserve">Concombres</t>
  </si>
  <si>
    <t xml:space="preserve">colis 12 pièces (≈ 0.90 €/pièce)</t>
  </si>
  <si>
    <t xml:space="preserve">Prix converti au kg sur la base de 400 g par pièce</t>
  </si>
  <si>
    <t xml:space="preserve">FLF-021</t>
  </si>
  <si>
    <t xml:space="preserve">Coriandre fraîche (botte)</t>
  </si>
  <si>
    <t xml:space="preserve">botte (≈ 1.50 €/pièce)</t>
  </si>
  <si>
    <t xml:space="preserve">FLF-022</t>
  </si>
  <si>
    <t xml:space="preserve">Courgettes fraîches</t>
  </si>
  <si>
    <t xml:space="preserve">FLF-023</t>
  </si>
  <si>
    <t xml:space="preserve">Endives</t>
  </si>
  <si>
    <t xml:space="preserve">FLF-024</t>
  </si>
  <si>
    <t xml:space="preserve">Fenouil</t>
  </si>
  <si>
    <t xml:space="preserve">FLF-025</t>
  </si>
  <si>
    <t xml:space="preserve">Gingembre frais</t>
  </si>
  <si>
    <t xml:space="preserve">colis 1 kg</t>
  </si>
  <si>
    <t xml:space="preserve">FLF-026</t>
  </si>
  <si>
    <t xml:space="preserve">Kiwis</t>
  </si>
  <si>
    <t xml:space="preserve">plateau 4 kg</t>
  </si>
  <si>
    <t xml:space="preserve">FLF-027</t>
  </si>
  <si>
    <t xml:space="preserve">Mâche 4ème gamme</t>
  </si>
  <si>
    <t xml:space="preserve">sachet 500 g</t>
  </si>
  <si>
    <t xml:space="preserve">FLF-028</t>
  </si>
  <si>
    <t xml:space="preserve">Melon charentais</t>
  </si>
  <si>
    <t xml:space="preserve">colis 10 pièces (≈ 1.80 €/pièce)</t>
  </si>
  <si>
    <t xml:space="preserve">Prix converti au kg sur la base de 1000 g par pièce</t>
  </si>
  <si>
    <t xml:space="preserve">FLF-029</t>
  </si>
  <si>
    <t xml:space="preserve">Menthe fraîche (botte)</t>
  </si>
  <si>
    <t xml:space="preserve">FLF-030</t>
  </si>
  <si>
    <t xml:space="preserve">Mesclun / salade mélangée 4ème gamme</t>
  </si>
  <si>
    <t xml:space="preserve">FLF-031</t>
  </si>
  <si>
    <t xml:space="preserve">Oignons épluchés 4ème gamme</t>
  </si>
  <si>
    <t xml:space="preserve">FLF-032</t>
  </si>
  <si>
    <t xml:space="preserve">Oignons jaunes frais</t>
  </si>
  <si>
    <t xml:space="preserve">FLF-033</t>
  </si>
  <si>
    <t xml:space="preserve">Oignons rouges</t>
  </si>
  <si>
    <t xml:space="preserve">FLF-034</t>
  </si>
  <si>
    <t xml:space="preserve">Oranges</t>
  </si>
  <si>
    <t xml:space="preserve">FLF-035</t>
  </si>
  <si>
    <t xml:space="preserve">Pamplemousse rose</t>
  </si>
  <si>
    <t xml:space="preserve">colis 20 pièces (≈ 0.90 €/pièce)</t>
  </si>
  <si>
    <t xml:space="preserve">FLF-036</t>
  </si>
  <si>
    <t xml:space="preserve">Panais</t>
  </si>
  <si>
    <t xml:space="preserve">FLF-037</t>
  </si>
  <si>
    <t xml:space="preserve">pièce 5-7 kg</t>
  </si>
  <si>
    <t xml:space="preserve">FLF-038</t>
  </si>
  <si>
    <t xml:space="preserve">Poireaux frais</t>
  </si>
  <si>
    <t xml:space="preserve">FLF-039</t>
  </si>
  <si>
    <t xml:space="preserve">Poires</t>
  </si>
  <si>
    <t xml:space="preserve">plateau 7 kg</t>
  </si>
  <si>
    <t xml:space="preserve">FLF-040</t>
  </si>
  <si>
    <t xml:space="preserve">Poivrons rouges et verts frais</t>
  </si>
  <si>
    <t xml:space="preserve">FLF-041</t>
  </si>
  <si>
    <t xml:space="preserve">Pommes (Golden / Granny)</t>
  </si>
  <si>
    <t xml:space="preserve">plateau 13 kg</t>
  </si>
  <si>
    <t xml:space="preserve">FLF-042</t>
  </si>
  <si>
    <t xml:space="preserve">Pommes de terre à farcir calibre 60/70</t>
  </si>
  <si>
    <t xml:space="preserve">FLF-043</t>
  </si>
  <si>
    <t xml:space="preserve">Pommes de terre cubes 4ème gamme sous vide</t>
  </si>
  <si>
    <t xml:space="preserve">sachet 5 kg</t>
  </si>
  <si>
    <t xml:space="preserve">FLF-044</t>
  </si>
  <si>
    <t xml:space="preserve">Pommes de terre entières épluchées 4ème gamme sous vide</t>
  </si>
  <si>
    <t xml:space="preserve">FLF-045</t>
  </si>
  <si>
    <t xml:space="preserve">Pommes de terre lamelles / rondelles 4ème gamme sous vide</t>
  </si>
  <si>
    <t xml:space="preserve">FLF-046</t>
  </si>
  <si>
    <t xml:space="preserve">Pommes de terre râpées 4ème gamme</t>
  </si>
  <si>
    <t xml:space="preserve">FLF-047</t>
  </si>
  <si>
    <t xml:space="preserve">Potimarron</t>
  </si>
  <si>
    <t xml:space="preserve">FLF-048</t>
  </si>
  <si>
    <t xml:space="preserve">Radis</t>
  </si>
  <si>
    <t xml:space="preserve">botte (≈ 1.00 €/pièce)</t>
  </si>
  <si>
    <t xml:space="preserve">Prix converti au kg sur la base de 300 g par pièce</t>
  </si>
  <si>
    <t xml:space="preserve">FLF-049</t>
  </si>
  <si>
    <t xml:space="preserve">Raisin</t>
  </si>
  <si>
    <t xml:space="preserve">plateau 5 kg</t>
  </si>
  <si>
    <t xml:space="preserve">FLF-050</t>
  </si>
  <si>
    <t xml:space="preserve">Roquette / jeunes pousses 4ème gamme</t>
  </si>
  <si>
    <t xml:space="preserve">FLF-051</t>
  </si>
  <si>
    <t xml:space="preserve">Salade frisée</t>
  </si>
  <si>
    <t xml:space="preserve">colis 6 pièces (≈ 1.80 €/pièce)</t>
  </si>
  <si>
    <t xml:space="preserve">Prix converti au kg sur la base de 500 g par pièce</t>
  </si>
  <si>
    <t xml:space="preserve">FLF-052</t>
  </si>
  <si>
    <t xml:space="preserve">Salade iceberg</t>
  </si>
  <si>
    <t xml:space="preserve">colis 10 pièces (≈ 1.30 €/pièce)</t>
  </si>
  <si>
    <t xml:space="preserve">FLF-053</t>
  </si>
  <si>
    <t xml:space="preserve">Salade verte 4ème gamme (batavia / laitue / frisée)</t>
  </si>
  <si>
    <t xml:space="preserve">FLF-054</t>
  </si>
  <si>
    <t xml:space="preserve">Tomates cerises</t>
  </si>
  <si>
    <t xml:space="preserve">barquette 500 g x 8</t>
  </si>
  <si>
    <t xml:space="preserve">FLF-055</t>
  </si>
  <si>
    <t xml:space="preserve">Tomates rondes fraîches calibre 67/82</t>
  </si>
  <si>
    <t xml:space="preserve">colis 6 kg</t>
  </si>
  <si>
    <t xml:space="preserve">SUR-001</t>
  </si>
  <si>
    <t xml:space="preserve">Surgelés</t>
  </si>
  <si>
    <t xml:space="preserve">Ail surgelé</t>
  </si>
  <si>
    <t xml:space="preserve">SUR-002</t>
  </si>
  <si>
    <t xml:space="preserve">Aneth ciselé surgelé</t>
  </si>
  <si>
    <t xml:space="preserve">sachet 250 g</t>
  </si>
  <si>
    <t xml:space="preserve">SUR-003</t>
  </si>
  <si>
    <t xml:space="preserve">Asperges vertes surgelées</t>
  </si>
  <si>
    <t xml:space="preserve">SUR-004</t>
  </si>
  <si>
    <t xml:space="preserve">Aubergines cubes surgelées</t>
  </si>
  <si>
    <t xml:space="preserve">SUR-005</t>
  </si>
  <si>
    <t xml:space="preserve">Aubergines tranches grillées surgelées</t>
  </si>
  <si>
    <t xml:space="preserve">SUR-006</t>
  </si>
  <si>
    <t xml:space="preserve">Basilic ciselé surgelé</t>
  </si>
  <si>
    <t xml:space="preserve">SUR-007</t>
  </si>
  <si>
    <t xml:space="preserve">Brocolis fleurettes surgelés</t>
  </si>
  <si>
    <t xml:space="preserve">SUR-008</t>
  </si>
  <si>
    <t xml:space="preserve">Brunoise de légumes surgelée</t>
  </si>
  <si>
    <t xml:space="preserve">SUR-009</t>
  </si>
  <si>
    <t xml:space="preserve">Carottes bâtonnets surgelées</t>
  </si>
  <si>
    <t xml:space="preserve">SUR-010</t>
  </si>
  <si>
    <t xml:space="preserve">Carottes brunoise surgelées</t>
  </si>
  <si>
    <t xml:space="preserve">SUR-011</t>
  </si>
  <si>
    <t xml:space="preserve">Carottes cubes surgelées</t>
  </si>
  <si>
    <t xml:space="preserve">SUR-012</t>
  </si>
  <si>
    <t xml:space="preserve">Carottes rondelles surgelées</t>
  </si>
  <si>
    <t xml:space="preserve">SUR-013</t>
  </si>
  <si>
    <t xml:space="preserve">Cèpes surgelés (morceaux / émincés)</t>
  </si>
  <si>
    <t xml:space="preserve">SUR-014</t>
  </si>
  <si>
    <t xml:space="preserve">Champignons de Paris émincés surgelés</t>
  </si>
  <si>
    <t xml:space="preserve">SUR-015</t>
  </si>
  <si>
    <t xml:space="preserve">Champignons de Paris entiers / quartiers surgelés</t>
  </si>
  <si>
    <t xml:space="preserve">SUR-016</t>
  </si>
  <si>
    <t xml:space="preserve">Chou romanesco fleurettes surgelé</t>
  </si>
  <si>
    <t xml:space="preserve">SUR-017</t>
  </si>
  <si>
    <t xml:space="preserve">Chou-fleur fleurettes surgelé</t>
  </si>
  <si>
    <t xml:space="preserve">SUR-018</t>
  </si>
  <si>
    <t xml:space="preserve">Choux de Bruxelles surgelés</t>
  </si>
  <si>
    <t xml:space="preserve">SUR-019</t>
  </si>
  <si>
    <t xml:space="preserve">Ciboulette ciselée surgelée</t>
  </si>
  <si>
    <t xml:space="preserve">SUR-020</t>
  </si>
  <si>
    <t xml:space="preserve">Cordon bleu de volaille surgelé 100 g</t>
  </si>
  <si>
    <t xml:space="preserve">SUR-021</t>
  </si>
  <si>
    <t xml:space="preserve">Coriandre ciselée surgelée</t>
  </si>
  <si>
    <t xml:space="preserve">SUR-022</t>
  </si>
  <si>
    <t xml:space="preserve">Côtes de blettes surgelées</t>
  </si>
  <si>
    <t xml:space="preserve">SUR-023</t>
  </si>
  <si>
    <t xml:space="preserve">Courgettes cubes surgelées</t>
  </si>
  <si>
    <t xml:space="preserve">SUR-024</t>
  </si>
  <si>
    <t xml:space="preserve">Courgettes rondelles surgelées</t>
  </si>
  <si>
    <t xml:space="preserve">SUR-025</t>
  </si>
  <si>
    <t xml:space="preserve">Dés de tomates surgelés</t>
  </si>
  <si>
    <t xml:space="preserve">SUR-026</t>
  </si>
  <si>
    <t xml:space="preserve">Donuts de poulet panés surgelés 50 g</t>
  </si>
  <si>
    <t xml:space="preserve">SUR-027</t>
  </si>
  <si>
    <t xml:space="preserve">Échalotes ciselées surgelées</t>
  </si>
  <si>
    <t xml:space="preserve">SUR-028</t>
  </si>
  <si>
    <t xml:space="preserve">Épinards branches surgelés</t>
  </si>
  <si>
    <t xml:space="preserve">SUR-029</t>
  </si>
  <si>
    <t xml:space="preserve">Épinards hachés surgelés</t>
  </si>
  <si>
    <t xml:space="preserve">SUR-030</t>
  </si>
  <si>
    <t xml:space="preserve">Escalopes viennoises panées surgelées 100 g</t>
  </si>
  <si>
    <t xml:space="preserve">SUR-031</t>
  </si>
  <si>
    <t xml:space="preserve">Estragon ciselé surgelé</t>
  </si>
  <si>
    <t xml:space="preserve">SUR-032</t>
  </si>
  <si>
    <t xml:space="preserve">Feuilletés jambon fromage surgelés 90 g</t>
  </si>
  <si>
    <t xml:space="preserve">carton 40 pièces (≈ 0.75 €/pièce)</t>
  </si>
  <si>
    <t xml:space="preserve">Prix converti au kg sur la base de 90 g par pièce</t>
  </si>
  <si>
    <t xml:space="preserve">SUR-033</t>
  </si>
  <si>
    <t xml:space="preserve">Fonds d'artichauts surgelés</t>
  </si>
  <si>
    <t xml:space="preserve">SUR-034</t>
  </si>
  <si>
    <t xml:space="preserve">Framboises IQF surgelées</t>
  </si>
  <si>
    <t xml:space="preserve">SUR-035</t>
  </si>
  <si>
    <t xml:space="preserve">Frites de patate douce surgelées</t>
  </si>
  <si>
    <t xml:space="preserve">SUR-036</t>
  </si>
  <si>
    <t xml:space="preserve">Frites précuites surgelées spécial four</t>
  </si>
  <si>
    <t xml:space="preserve">SUR-037</t>
  </si>
  <si>
    <t xml:space="preserve">Fruits rouges IQF surgelés</t>
  </si>
  <si>
    <t xml:space="preserve">SUR-038</t>
  </si>
  <si>
    <t xml:space="preserve">Haricots beurre surgelés</t>
  </si>
  <si>
    <t xml:space="preserve">SUR-039</t>
  </si>
  <si>
    <t xml:space="preserve">Haricots plats coupés surgelés</t>
  </si>
  <si>
    <t xml:space="preserve">SUR-040</t>
  </si>
  <si>
    <t xml:space="preserve">Haricots verts extra-fins surgelés</t>
  </si>
  <si>
    <t xml:space="preserve">SUR-041</t>
  </si>
  <si>
    <t xml:space="preserve">Haricots verts surgelés</t>
  </si>
  <si>
    <t xml:space="preserve">SUR-042</t>
  </si>
  <si>
    <t xml:space="preserve">Jardinière de légumes surgelée</t>
  </si>
  <si>
    <t xml:space="preserve">SUR-043</t>
  </si>
  <si>
    <t xml:space="preserve">Julienne de légumes asiatiques surgelée</t>
  </si>
  <si>
    <t xml:space="preserve">SUR-044</t>
  </si>
  <si>
    <t xml:space="preserve">Légumes pour couscous surgelés</t>
  </si>
  <si>
    <t xml:space="preserve">SUR-045</t>
  </si>
  <si>
    <t xml:space="preserve">Macédoine de légumes surgelée</t>
  </si>
  <si>
    <t xml:space="preserve">SUR-046</t>
  </si>
  <si>
    <t xml:space="preserve">Mangue cubes surgelés</t>
  </si>
  <si>
    <t xml:space="preserve">SUR-047</t>
  </si>
  <si>
    <t xml:space="preserve">Mélange forestier surgelé</t>
  </si>
  <si>
    <t xml:space="preserve">SUR-048</t>
  </si>
  <si>
    <t xml:space="preserve">Menthe ciselée surgelée</t>
  </si>
  <si>
    <t xml:space="preserve">SUR-049</t>
  </si>
  <si>
    <t xml:space="preserve">Navets cubes surgelés</t>
  </si>
  <si>
    <t xml:space="preserve">SUR-050</t>
  </si>
  <si>
    <t xml:space="preserve">Nems au poulet surgelés 50 g</t>
  </si>
  <si>
    <t xml:space="preserve">SUR-051</t>
  </si>
  <si>
    <t xml:space="preserve">Nuggets de poulet surgelés 20 g</t>
  </si>
  <si>
    <t xml:space="preserve">SUR-052</t>
  </si>
  <si>
    <t xml:space="preserve">Oignons ciselés surgelés</t>
  </si>
  <si>
    <t xml:space="preserve">SUR-053</t>
  </si>
  <si>
    <t xml:space="preserve">Oignons cubes surgelés</t>
  </si>
  <si>
    <t xml:space="preserve">SUR-054</t>
  </si>
  <si>
    <t xml:space="preserve">Oignons émincés surgelés</t>
  </si>
  <si>
    <t xml:space="preserve">SUR-055</t>
  </si>
  <si>
    <t xml:space="preserve">Patate douce cubes surgelés</t>
  </si>
  <si>
    <t xml:space="preserve">SUR-056</t>
  </si>
  <si>
    <t xml:space="preserve">Persil haché surgelé</t>
  </si>
  <si>
    <t xml:space="preserve">SUR-057</t>
  </si>
  <si>
    <t xml:space="preserve">Petits pois surgelés</t>
  </si>
  <si>
    <t xml:space="preserve">SUR-058</t>
  </si>
  <si>
    <t xml:space="preserve">Pizzas surgelées 400 g</t>
  </si>
  <si>
    <t xml:space="preserve">carton 10 pièces (≈ 2.60 €/pièce)</t>
  </si>
  <si>
    <t xml:space="preserve">SUR-059</t>
  </si>
  <si>
    <t xml:space="preserve">Poêlée de légumes surgelée</t>
  </si>
  <si>
    <t xml:space="preserve">SUR-060</t>
  </si>
  <si>
    <t xml:space="preserve">Poireaux émincés surgelés</t>
  </si>
  <si>
    <t xml:space="preserve">SUR-061</t>
  </si>
  <si>
    <t xml:space="preserve">Poireaux rondelles surgelés</t>
  </si>
  <si>
    <t xml:space="preserve">SUR-062</t>
  </si>
  <si>
    <t xml:space="preserve">Poireaux tronçons surgelés</t>
  </si>
  <si>
    <t xml:space="preserve">SUR-063</t>
  </si>
  <si>
    <t xml:space="preserve">Poivrons dés surgelés</t>
  </si>
  <si>
    <t xml:space="preserve">SUR-064</t>
  </si>
  <si>
    <t xml:space="preserve">Poivrons lanières surgelés</t>
  </si>
  <si>
    <t xml:space="preserve">SUR-065</t>
  </si>
  <si>
    <t xml:space="preserve">Pommes dauphine surgelées</t>
  </si>
  <si>
    <t xml:space="preserve">SUR-066</t>
  </si>
  <si>
    <t xml:space="preserve">Pommes de terre cubes rissolées surgelées</t>
  </si>
  <si>
    <t xml:space="preserve">SUR-067</t>
  </si>
  <si>
    <t xml:space="preserve">Pommes de terre dés surgelées</t>
  </si>
  <si>
    <t xml:space="preserve">SUR-068</t>
  </si>
  <si>
    <t xml:space="preserve">Pommes duchesse surgelées</t>
  </si>
  <si>
    <t xml:space="preserve">SUR-069</t>
  </si>
  <si>
    <t xml:space="preserve">Pommes fruits quartiers / cubes surgelés</t>
  </si>
  <si>
    <t xml:space="preserve">SUR-070</t>
  </si>
  <si>
    <t xml:space="preserve">Potiron / potimarron cubes surgelés</t>
  </si>
  <si>
    <t xml:space="preserve">SUR-071</t>
  </si>
  <si>
    <t xml:space="preserve">Purée de mangue surgelée</t>
  </si>
  <si>
    <t xml:space="preserve">barquette 1 kg</t>
  </si>
  <si>
    <t xml:space="preserve">SUR-072</t>
  </si>
  <si>
    <t xml:space="preserve">Rösti surgelés 100 g</t>
  </si>
  <si>
    <t xml:space="preserve">SUR-073</t>
  </si>
  <si>
    <t xml:space="preserve">Salsifis surgelés</t>
  </si>
  <si>
    <t xml:space="preserve">SUR-074</t>
  </si>
  <si>
    <t xml:space="preserve">Viande kebab précuite tranchée surgelée</t>
  </si>
  <si>
    <t xml:space="preserve">sachet 2 kg</t>
  </si>
  <si>
    <t xml:space="preserve">EPI-001</t>
  </si>
  <si>
    <t xml:space="preserve">Épicerie sèche</t>
  </si>
  <si>
    <t xml:space="preserve">Bicarbonate de soude</t>
  </si>
  <si>
    <t xml:space="preserve">boîte 1 kg</t>
  </si>
  <si>
    <t xml:space="preserve">EPI-002</t>
  </si>
  <si>
    <t xml:space="preserve">Blé précuit (type Ebly)</t>
  </si>
  <si>
    <t xml:space="preserve">EPI-003</t>
  </si>
  <si>
    <t xml:space="preserve">Bouillon de bœuf déshydraté</t>
  </si>
  <si>
    <t xml:space="preserve">EPI-004</t>
  </si>
  <si>
    <t xml:space="preserve">Bouillon de volaille déshydraté</t>
  </si>
  <si>
    <t xml:space="preserve">EPI-005</t>
  </si>
  <si>
    <t xml:space="preserve">Cacao en poudre</t>
  </si>
  <si>
    <t xml:space="preserve">EPI-006</t>
  </si>
  <si>
    <t xml:space="preserve">Cannellonis à farcir (pâte sèche)</t>
  </si>
  <si>
    <t xml:space="preserve">carton 3 kg</t>
  </si>
  <si>
    <t xml:space="preserve">EPI-007</t>
  </si>
  <si>
    <t xml:space="preserve">Cassonade</t>
  </si>
  <si>
    <t xml:space="preserve">sac 1 kg</t>
  </si>
  <si>
    <t xml:space="preserve">EPI-008</t>
  </si>
  <si>
    <t xml:space="preserve">Cerises confites</t>
  </si>
  <si>
    <t xml:space="preserve">EPI-009</t>
  </si>
  <si>
    <t xml:space="preserve">Cerneaux de noix</t>
  </si>
  <si>
    <t xml:space="preserve">EPI-010</t>
  </si>
  <si>
    <t xml:space="preserve">Chapelure</t>
  </si>
  <si>
    <t xml:space="preserve">EPI-011</t>
  </si>
  <si>
    <t xml:space="preserve">Chocolat au lait</t>
  </si>
  <si>
    <t xml:space="preserve">EPI-012</t>
  </si>
  <si>
    <t xml:space="preserve">Chocolat noir de couverture</t>
  </si>
  <si>
    <t xml:space="preserve">EPI-013</t>
  </si>
  <si>
    <t xml:space="preserve">Crêpes dentelle émiettées</t>
  </si>
  <si>
    <t xml:space="preserve">EPI-014</t>
  </si>
  <si>
    <t xml:space="preserve">Crozets de Savoie</t>
  </si>
  <si>
    <t xml:space="preserve">sac 1 kg x 5</t>
  </si>
  <si>
    <t xml:space="preserve">EPI-015</t>
  </si>
  <si>
    <t xml:space="preserve">Farine T55</t>
  </si>
  <si>
    <t xml:space="preserve">sac 25 kg</t>
  </si>
  <si>
    <t xml:space="preserve">EPI-016</t>
  </si>
  <si>
    <t xml:space="preserve">Fécule de pomme de terre</t>
  </si>
  <si>
    <t xml:space="preserve">sac 1 kg x 10</t>
  </si>
  <si>
    <t xml:space="preserve">EPI-017</t>
  </si>
  <si>
    <t xml:space="preserve">Flageolets verts secs</t>
  </si>
  <si>
    <t xml:space="preserve">EPI-018</t>
  </si>
  <si>
    <t xml:space="preserve">Flocons de pomme de terre</t>
  </si>
  <si>
    <t xml:space="preserve">sac 4 kg</t>
  </si>
  <si>
    <t xml:space="preserve">EPI-019</t>
  </si>
  <si>
    <t xml:space="preserve">Fond blanc de veau déshydraté</t>
  </si>
  <si>
    <t xml:space="preserve">EPI-020</t>
  </si>
  <si>
    <t xml:space="preserve">Fond brun déshydraté</t>
  </si>
  <si>
    <t xml:space="preserve">EPI-021</t>
  </si>
  <si>
    <t xml:space="preserve">Fond d'agneau déshydraté</t>
  </si>
  <si>
    <t xml:space="preserve">EPI-022</t>
  </si>
  <si>
    <t xml:space="preserve">Fond de veau déshydraté</t>
  </si>
  <si>
    <t xml:space="preserve">EPI-023</t>
  </si>
  <si>
    <t xml:space="preserve">Fond de volaille déshydraté</t>
  </si>
  <si>
    <t xml:space="preserve">EPI-024</t>
  </si>
  <si>
    <t xml:space="preserve">Fondant pâtissier</t>
  </si>
  <si>
    <t xml:space="preserve">EPI-025</t>
  </si>
  <si>
    <t xml:space="preserve">Fumet de poisson déshydraté</t>
  </si>
  <si>
    <t xml:space="preserve">EPI-026</t>
  </si>
  <si>
    <t xml:space="preserve">Gélatine en feuilles</t>
  </si>
  <si>
    <t xml:space="preserve">boîte 1 kg (500 feuilles)</t>
  </si>
  <si>
    <t xml:space="preserve">EPI-027</t>
  </si>
  <si>
    <t xml:space="preserve">Graines de courge</t>
  </si>
  <si>
    <t xml:space="preserve">EPI-028</t>
  </si>
  <si>
    <t xml:space="preserve">Graines de sésame</t>
  </si>
  <si>
    <t xml:space="preserve">EPI-029</t>
  </si>
  <si>
    <t xml:space="preserve">Graisse de canard</t>
  </si>
  <si>
    <t xml:space="preserve">seau 4 kg</t>
  </si>
  <si>
    <t xml:space="preserve">EPI-030</t>
  </si>
  <si>
    <t xml:space="preserve">Haricots blancs secs (lingots)</t>
  </si>
  <si>
    <t xml:space="preserve">EPI-031</t>
  </si>
  <si>
    <t xml:space="preserve">Haricots rouges secs</t>
  </si>
  <si>
    <t xml:space="preserve">EPI-032</t>
  </si>
  <si>
    <t xml:space="preserve">Huile d'olive</t>
  </si>
  <si>
    <t xml:space="preserve">bidon 5 L</t>
  </si>
  <si>
    <t xml:space="preserve">EPI-033</t>
  </si>
  <si>
    <t xml:space="preserve">Huile de colza</t>
  </si>
  <si>
    <t xml:space="preserve">EPI-034</t>
  </si>
  <si>
    <t xml:space="preserve">Huile de noix</t>
  </si>
  <si>
    <t xml:space="preserve">bouteille 1 L</t>
  </si>
  <si>
    <t xml:space="preserve">EPI-035</t>
  </si>
  <si>
    <t xml:space="preserve">Huile de sésame</t>
  </si>
  <si>
    <t xml:space="preserve">bouteille 500 mL</t>
  </si>
  <si>
    <t xml:space="preserve">EPI-036</t>
  </si>
  <si>
    <t xml:space="preserve">Huile de tournesol</t>
  </si>
  <si>
    <t xml:space="preserve">EPI-037</t>
  </si>
  <si>
    <t xml:space="preserve">Lentilles vertes sèches</t>
  </si>
  <si>
    <t xml:space="preserve">EPI-038</t>
  </si>
  <si>
    <t xml:space="preserve">Mélange de céréales (quinoa, boulgour, lentilles corail)</t>
  </si>
  <si>
    <t xml:space="preserve">EPI-039</t>
  </si>
  <si>
    <t xml:space="preserve">Miel</t>
  </si>
  <si>
    <t xml:space="preserve">EPI-040</t>
  </si>
  <si>
    <t xml:space="preserve">Morilles séchées</t>
  </si>
  <si>
    <t xml:space="preserve">EPI-041</t>
  </si>
  <si>
    <t xml:space="preserve">Nouilles chinoises aux œufs</t>
  </si>
  <si>
    <t xml:space="preserve">EPI-042</t>
  </si>
  <si>
    <t xml:space="preserve">Pâtes fusilli / torsades</t>
  </si>
  <si>
    <t xml:space="preserve">EPI-043</t>
  </si>
  <si>
    <t xml:space="preserve">Pâtes macaronis</t>
  </si>
  <si>
    <t xml:space="preserve">EPI-044</t>
  </si>
  <si>
    <t xml:space="preserve">Pâtes penne</t>
  </si>
  <si>
    <t xml:space="preserve">EPI-045</t>
  </si>
  <si>
    <t xml:space="preserve">Pâtes tagliatelles</t>
  </si>
  <si>
    <t xml:space="preserve">EPI-046</t>
  </si>
  <si>
    <t xml:space="preserve">Perles de pâtes</t>
  </si>
  <si>
    <t xml:space="preserve">EPI-047</t>
  </si>
  <si>
    <t xml:space="preserve">Pignons de pin</t>
  </si>
  <si>
    <t xml:space="preserve">EPI-048</t>
  </si>
  <si>
    <t xml:space="preserve">Plaques de lasagnes sans précuisson</t>
  </si>
  <si>
    <t xml:space="preserve">EPI-049</t>
  </si>
  <si>
    <t xml:space="preserve">Pois cassés secs</t>
  </si>
  <si>
    <t xml:space="preserve">EPI-050</t>
  </si>
  <si>
    <t xml:space="preserve">Pois chiches secs</t>
  </si>
  <si>
    <t xml:space="preserve">EPI-051</t>
  </si>
  <si>
    <t xml:space="preserve">Poudre à crème pâtissière (à chaud)</t>
  </si>
  <si>
    <t xml:space="preserve">EPI-052</t>
  </si>
  <si>
    <t xml:space="preserve">Praliné</t>
  </si>
  <si>
    <t xml:space="preserve">EPI-053</t>
  </si>
  <si>
    <t xml:space="preserve">Préparation crème pâtissière à froid</t>
  </si>
  <si>
    <t xml:space="preserve">EPI-054</t>
  </si>
  <si>
    <t xml:space="preserve">Pruneaux dénoyautés</t>
  </si>
  <si>
    <t xml:space="preserve">EPI-055</t>
  </si>
  <si>
    <t xml:space="preserve">Raisins secs</t>
  </si>
  <si>
    <t xml:space="preserve">EPI-056</t>
  </si>
  <si>
    <t xml:space="preserve">Riz arborio (risotto)</t>
  </si>
  <si>
    <t xml:space="preserve">EPI-057</t>
  </si>
  <si>
    <t xml:space="preserve">Riz long étuvé</t>
  </si>
  <si>
    <t xml:space="preserve">EPI-058</t>
  </si>
  <si>
    <t xml:space="preserve">Semoule de blé moyenne</t>
  </si>
  <si>
    <t xml:space="preserve">EPI-059</t>
  </si>
  <si>
    <t xml:space="preserve">Spéculoos</t>
  </si>
  <si>
    <t xml:space="preserve">carton 2,5 kg</t>
  </si>
  <si>
    <t xml:space="preserve">EPI-060</t>
  </si>
  <si>
    <t xml:space="preserve">Sucre glace</t>
  </si>
  <si>
    <t xml:space="preserve">EPI-061</t>
  </si>
  <si>
    <t xml:space="preserve">Sucre semoule</t>
  </si>
  <si>
    <t xml:space="preserve">EPI-062</t>
  </si>
  <si>
    <t xml:space="preserve">Vermicelles de chocolat</t>
  </si>
  <si>
    <t xml:space="preserve">CON-001</t>
  </si>
  <si>
    <t xml:space="preserve">Conserves et sauces</t>
  </si>
  <si>
    <t xml:space="preserve">Anchois en filets (à l'huile)</t>
  </si>
  <si>
    <t xml:space="preserve">boîte 1/2</t>
  </si>
  <si>
    <t xml:space="preserve">CON-002</t>
  </si>
  <si>
    <t xml:space="preserve">Bisque de homard</t>
  </si>
  <si>
    <t xml:space="preserve">CON-003</t>
  </si>
  <si>
    <t xml:space="preserve">Câpres</t>
  </si>
  <si>
    <t xml:space="preserve">bocal 1 kg</t>
  </si>
  <si>
    <t xml:space="preserve">CON-004</t>
  </si>
  <si>
    <t xml:space="preserve">Châtaignes cuites pelées sous vide</t>
  </si>
  <si>
    <t xml:space="preserve">CON-005</t>
  </si>
  <si>
    <t xml:space="preserve">Concentré de tomates</t>
  </si>
  <si>
    <t xml:space="preserve">boîte 4/4</t>
  </si>
  <si>
    <t xml:space="preserve">CON-006</t>
  </si>
  <si>
    <t xml:space="preserve">Confit d'oignons</t>
  </si>
  <si>
    <t xml:space="preserve">CON-007</t>
  </si>
  <si>
    <t xml:space="preserve">Confit de figues</t>
  </si>
  <si>
    <t xml:space="preserve">CON-008</t>
  </si>
  <si>
    <t xml:space="preserve">Cornichons en rondelles</t>
  </si>
  <si>
    <t xml:space="preserve">seau 2 kg</t>
  </si>
  <si>
    <t xml:space="preserve">CON-009</t>
  </si>
  <si>
    <t xml:space="preserve">Cornichons entiers</t>
  </si>
  <si>
    <t xml:space="preserve">bocal 2 kg</t>
  </si>
  <si>
    <t xml:space="preserve">CON-010</t>
  </si>
  <si>
    <t xml:space="preserve">Haricots rouges cuits (boîte 5/1)</t>
  </si>
  <si>
    <t xml:space="preserve">boîte 5/1</t>
  </si>
  <si>
    <t xml:space="preserve">CON-011</t>
  </si>
  <si>
    <t xml:space="preserve">Ketchup</t>
  </si>
  <si>
    <t xml:space="preserve">flacon 5 kg</t>
  </si>
  <si>
    <t xml:space="preserve">CON-012</t>
  </si>
  <si>
    <t xml:space="preserve">Lait de coco</t>
  </si>
  <si>
    <t xml:space="preserve">boîte 1 L</t>
  </si>
  <si>
    <t xml:space="preserve">CON-013</t>
  </si>
  <si>
    <t xml:space="preserve">Macédoine de légumes (boîte 5/1)</t>
  </si>
  <si>
    <t xml:space="preserve">CON-014</t>
  </si>
  <si>
    <t xml:space="preserve">Maïs doux (boîte 5/1)</t>
  </si>
  <si>
    <t xml:space="preserve">CON-015</t>
  </si>
  <si>
    <t xml:space="preserve">Mayonnaise ovoproduit pasteurisée</t>
  </si>
  <si>
    <t xml:space="preserve">CON-016</t>
  </si>
  <si>
    <t xml:space="preserve">Oignons grelots au vinaigre</t>
  </si>
  <si>
    <t xml:space="preserve">CON-017</t>
  </si>
  <si>
    <t xml:space="preserve">Olives noires dénoyautées</t>
  </si>
  <si>
    <t xml:space="preserve">CON-018</t>
  </si>
  <si>
    <t xml:space="preserve">Pesto au basilic</t>
  </si>
  <si>
    <t xml:space="preserve">CON-019</t>
  </si>
  <si>
    <t xml:space="preserve">Pointes d'asperges (boîte)</t>
  </si>
  <si>
    <t xml:space="preserve">CON-020</t>
  </si>
  <si>
    <t xml:space="preserve">Pois chiches cuits (boîte 5/1)</t>
  </si>
  <si>
    <t xml:space="preserve">CON-021</t>
  </si>
  <si>
    <t xml:space="preserve">Pulpe de tomates (boîte 5/1)</t>
  </si>
  <si>
    <t xml:space="preserve">CON-022</t>
  </si>
  <si>
    <t xml:space="preserve">Ratatouille cuisinée (boîte 5/1)</t>
  </si>
  <si>
    <t xml:space="preserve">CON-023</t>
  </si>
  <si>
    <t xml:space="preserve">Sardines à l'huile</t>
  </si>
  <si>
    <t xml:space="preserve">boîte 1/4 x 25</t>
  </si>
  <si>
    <t xml:space="preserve">CON-024</t>
  </si>
  <si>
    <t xml:space="preserve">Sauce huître</t>
  </si>
  <si>
    <t xml:space="preserve">CON-025</t>
  </si>
  <si>
    <t xml:space="preserve">Sauce nuoc-mâm</t>
  </si>
  <si>
    <t xml:space="preserve">CON-026</t>
  </si>
  <si>
    <t xml:space="preserve">Sauce soja</t>
  </si>
  <si>
    <t xml:space="preserve">CON-027</t>
  </si>
  <si>
    <t xml:space="preserve">Soupe de poisson prête à l'emploi</t>
  </si>
  <si>
    <t xml:space="preserve">CON-028</t>
  </si>
  <si>
    <t xml:space="preserve">Thon au naturel</t>
  </si>
  <si>
    <t xml:space="preserve">CON-029</t>
  </si>
  <si>
    <t xml:space="preserve">Tomates concassées (boîte 5/1)</t>
  </si>
  <si>
    <t xml:space="preserve">EPC-001</t>
  </si>
  <si>
    <t xml:space="preserve">Épices, herbes et condiments</t>
  </si>
  <si>
    <t xml:space="preserve">Baies de genièvre</t>
  </si>
  <si>
    <t xml:space="preserve">boîte 250 g</t>
  </si>
  <si>
    <t xml:space="preserve">EPC-002</t>
  </si>
  <si>
    <t xml:space="preserve">Cannelle moulue</t>
  </si>
  <si>
    <t xml:space="preserve">boîte 500 g</t>
  </si>
  <si>
    <t xml:space="preserve">EPC-003</t>
  </si>
  <si>
    <t xml:space="preserve">Clous de girofle</t>
  </si>
  <si>
    <t xml:space="preserve">EPC-004</t>
  </si>
  <si>
    <t xml:space="preserve">Colombo (épices)</t>
  </si>
  <si>
    <t xml:space="preserve">EPC-005</t>
  </si>
  <si>
    <t xml:space="preserve">Cumin moulu</t>
  </si>
  <si>
    <t xml:space="preserve">EPC-006</t>
  </si>
  <si>
    <t xml:space="preserve">Curcuma moulu</t>
  </si>
  <si>
    <t xml:space="preserve">EPC-007</t>
  </si>
  <si>
    <t xml:space="preserve">Curry doux</t>
  </si>
  <si>
    <t xml:space="preserve">EPC-008</t>
  </si>
  <si>
    <t xml:space="preserve">Épices chili (mélange)</t>
  </si>
  <si>
    <t xml:space="preserve">EPC-009</t>
  </si>
  <si>
    <t xml:space="preserve">Épices paëlla (mélange)</t>
  </si>
  <si>
    <t xml:space="preserve">EPC-010</t>
  </si>
  <si>
    <t xml:space="preserve">Extrait de vanille</t>
  </si>
  <si>
    <t xml:space="preserve">flacon 1 L</t>
  </si>
  <si>
    <t xml:space="preserve">EPC-011</t>
  </si>
  <si>
    <t xml:space="preserve">Fleur de sel</t>
  </si>
  <si>
    <t xml:space="preserve">EPC-012</t>
  </si>
  <si>
    <t xml:space="preserve">Gingembre moulu</t>
  </si>
  <si>
    <t xml:space="preserve">EPC-013</t>
  </si>
  <si>
    <t xml:space="preserve">Graines de coriandre</t>
  </si>
  <si>
    <t xml:space="preserve">EPC-014</t>
  </si>
  <si>
    <t xml:space="preserve">Gros sel</t>
  </si>
  <si>
    <t xml:space="preserve">EPC-015</t>
  </si>
  <si>
    <t xml:space="preserve">Harissa</t>
  </si>
  <si>
    <t xml:space="preserve">tube/boîte 1 kg</t>
  </si>
  <si>
    <t xml:space="preserve">EPC-016</t>
  </si>
  <si>
    <t xml:space="preserve">Herbes de Provence</t>
  </si>
  <si>
    <t xml:space="preserve">EPC-017</t>
  </si>
  <si>
    <t xml:space="preserve">Jus de citron</t>
  </si>
  <si>
    <t xml:space="preserve">bouteille 1 L x 6</t>
  </si>
  <si>
    <t xml:space="preserve">EPC-018</t>
  </si>
  <si>
    <t xml:space="preserve">Jus de citron vert</t>
  </si>
  <si>
    <t xml:space="preserve">EPC-019</t>
  </si>
  <si>
    <t xml:space="preserve">Moutarde à l'ancienne</t>
  </si>
  <si>
    <t xml:space="preserve">EPC-020</t>
  </si>
  <si>
    <t xml:space="preserve">Moutarde de Dijon</t>
  </si>
  <si>
    <t xml:space="preserve">EPC-021</t>
  </si>
  <si>
    <t xml:space="preserve">Moutarde en portions</t>
  </si>
  <si>
    <t xml:space="preserve">carton 300 portions (≈ 0.06 €/pièce)</t>
  </si>
  <si>
    <t xml:space="preserve">Prix converti au kg sur la base de 4 g par pièce</t>
  </si>
  <si>
    <t xml:space="preserve">EPC-022</t>
  </si>
  <si>
    <t xml:space="preserve">Muscade moulue</t>
  </si>
  <si>
    <t xml:space="preserve">EPC-023</t>
  </si>
  <si>
    <t xml:space="preserve">Origan séché</t>
  </si>
  <si>
    <t xml:space="preserve">EPC-024</t>
  </si>
  <si>
    <t xml:space="preserve">Paprika doux</t>
  </si>
  <si>
    <t xml:space="preserve">EPC-025</t>
  </si>
  <si>
    <t xml:space="preserve">Paprika fumé</t>
  </si>
  <si>
    <t xml:space="preserve">EPC-026</t>
  </si>
  <si>
    <t xml:space="preserve">Piment d'Espelette</t>
  </si>
  <si>
    <t xml:space="preserve">EPC-027</t>
  </si>
  <si>
    <t xml:space="preserve">Piment doux moulu</t>
  </si>
  <si>
    <t xml:space="preserve">EPC-028</t>
  </si>
  <si>
    <t xml:space="preserve">Poivre blanc moulu</t>
  </si>
  <si>
    <t xml:space="preserve">EPC-029</t>
  </si>
  <si>
    <t xml:space="preserve">Poivre noir en grains</t>
  </si>
  <si>
    <t xml:space="preserve">EPC-030</t>
  </si>
  <si>
    <t xml:space="preserve">Poivre noir moulu</t>
  </si>
  <si>
    <t xml:space="preserve">EPC-031</t>
  </si>
  <si>
    <t xml:space="preserve">Poivre vert en grains</t>
  </si>
  <si>
    <t xml:space="preserve">bocal 500 g</t>
  </si>
  <si>
    <t xml:space="preserve">EPC-032</t>
  </si>
  <si>
    <t xml:space="preserve">Quatre-épices</t>
  </si>
  <si>
    <t xml:space="preserve">EPC-033</t>
  </si>
  <si>
    <t xml:space="preserve">Ras el hanout (épices couscous)</t>
  </si>
  <si>
    <t xml:space="preserve">EPC-034</t>
  </si>
  <si>
    <t xml:space="preserve">Safran / spigol</t>
  </si>
  <si>
    <t xml:space="preserve">boîte 100 g</t>
  </si>
  <si>
    <t xml:space="preserve">EPC-035</t>
  </si>
  <si>
    <t xml:space="preserve">Sel fin</t>
  </si>
  <si>
    <t xml:space="preserve">EPC-036</t>
  </si>
  <si>
    <t xml:space="preserve">Thym / laurier (bouquet garni)</t>
  </si>
  <si>
    <t xml:space="preserve">EPC-037</t>
  </si>
  <si>
    <t xml:space="preserve">Vinaigre balsamique</t>
  </si>
  <si>
    <t xml:space="preserve">EPC-038</t>
  </si>
  <si>
    <t xml:space="preserve">Vinaigre blanc (alcool)</t>
  </si>
  <si>
    <t xml:space="preserve">EPC-039</t>
  </si>
  <si>
    <t xml:space="preserve">Vinaigre de cidre</t>
  </si>
  <si>
    <t xml:space="preserve">EPC-040</t>
  </si>
  <si>
    <t xml:space="preserve">Vinaigre de riz</t>
  </si>
  <si>
    <t xml:space="preserve">EPC-041</t>
  </si>
  <si>
    <t xml:space="preserve">Vinaigre de vin blanc</t>
  </si>
  <si>
    <t xml:space="preserve">EPC-042</t>
  </si>
  <si>
    <t xml:space="preserve">Vinaigre de vin rouge</t>
  </si>
  <si>
    <t xml:space="preserve">EPC-043</t>
  </si>
  <si>
    <t xml:space="preserve">Vinaigre de xérès</t>
  </si>
  <si>
    <t xml:space="preserve">EPC-044</t>
  </si>
  <si>
    <t xml:space="preserve">Vinaigrette prête à l'emploi</t>
  </si>
  <si>
    <t xml:space="preserve">VIN-001</t>
  </si>
  <si>
    <t xml:space="preserve">Vins, alcools et boissons</t>
  </si>
  <si>
    <t xml:space="preserve">Bière brune</t>
  </si>
  <si>
    <t xml:space="preserve">bouteille 75 cL x 6</t>
  </si>
  <si>
    <t xml:space="preserve">VIN-002</t>
  </si>
  <si>
    <t xml:space="preserve">Calvados</t>
  </si>
  <si>
    <t xml:space="preserve">VIN-003</t>
  </si>
  <si>
    <t xml:space="preserve">Cidre brut</t>
  </si>
  <si>
    <t xml:space="preserve">VIN-004</t>
  </si>
  <si>
    <t xml:space="preserve">Cognac de cuisine</t>
  </si>
  <si>
    <t xml:space="preserve">VIN-005</t>
  </si>
  <si>
    <t xml:space="preserve">Jus d'orange</t>
  </si>
  <si>
    <t xml:space="preserve">brique 1 L x 12</t>
  </si>
  <si>
    <t xml:space="preserve">VIN-006</t>
  </si>
  <si>
    <t xml:space="preserve">Madère</t>
  </si>
  <si>
    <t xml:space="preserve">VIN-007</t>
  </si>
  <si>
    <t xml:space="preserve">Porto</t>
  </si>
  <si>
    <t xml:space="preserve">VIN-008</t>
  </si>
  <si>
    <t xml:space="preserve">Rhum de cuisine</t>
  </si>
  <si>
    <t xml:space="preserve">VIN-009</t>
  </si>
  <si>
    <t xml:space="preserve">Sirop de grenadine</t>
  </si>
  <si>
    <t xml:space="preserve">bidon 1 L</t>
  </si>
  <si>
    <t xml:space="preserve">VIN-010</t>
  </si>
  <si>
    <t xml:space="preserve">Vin blanc de cuisine</t>
  </si>
  <si>
    <t xml:space="preserve">BIB 10 L</t>
  </si>
  <si>
    <t xml:space="preserve">VIN-011</t>
  </si>
  <si>
    <t xml:space="preserve">Vin rouge de cuisine</t>
  </si>
  <si>
    <t xml:space="preserve">ELA-001</t>
  </si>
  <si>
    <t xml:space="preserve">Produits élaborés (prêts à l'emploi)</t>
  </si>
  <si>
    <t xml:space="preserve">Choucroute crue</t>
  </si>
  <si>
    <t xml:space="preserve">ELA-002</t>
  </si>
  <si>
    <t xml:space="preserve">Gnocchis de pommes de terre frais sous vide</t>
  </si>
  <si>
    <t xml:space="preserve">sachet 1 kg x 6</t>
  </si>
  <si>
    <t xml:space="preserve">ELA-003</t>
  </si>
  <si>
    <t xml:space="preserve">Godiveaux (quenelles de veau) 80 g</t>
  </si>
  <si>
    <t xml:space="preserve">ELA-004</t>
  </si>
  <si>
    <t xml:space="preserve">Quenelles de volaille 30 g</t>
  </si>
  <si>
    <t xml:space="preserve">ELA-005</t>
  </si>
  <si>
    <t xml:space="preserve">Quenelles de volaille 80 g</t>
  </si>
  <si>
    <t xml:space="preserve">ELA-006</t>
  </si>
  <si>
    <t xml:space="preserve">Raviolis frais au bœuf (5ème gamme)</t>
  </si>
  <si>
    <t xml:space="preserve">PAT-001</t>
  </si>
  <si>
    <t xml:space="preserve">Pain, pâtisserie et desserts</t>
  </si>
  <si>
    <t xml:space="preserve">Bouchées feuilletées vides 40 g</t>
  </si>
  <si>
    <t xml:space="preserve">carton 80 pièces (≈ 0.35 €/pièce)</t>
  </si>
  <si>
    <t xml:space="preserve">Prix converti au kg sur la base de 40 g par pièce</t>
  </si>
  <si>
    <t xml:space="preserve">PAT-002</t>
  </si>
  <si>
    <t xml:space="preserve">Caramel beurre salé prêt à l'emploi</t>
  </si>
  <si>
    <t xml:space="preserve">PAT-003</t>
  </si>
  <si>
    <t xml:space="preserve">Crêpes nature Ø 28 cm</t>
  </si>
  <si>
    <t xml:space="preserve">carton 60 pièces (≈ 0.40 €/pièce)</t>
  </si>
  <si>
    <t xml:space="preserve">PAT-004</t>
  </si>
  <si>
    <t xml:space="preserve">Crêpes salées prêtes à l'emploi 50 g</t>
  </si>
  <si>
    <t xml:space="preserve">carton 100 pièces (≈ 0.30 €/pièce)</t>
  </si>
  <si>
    <t xml:space="preserve">PAT-005</t>
  </si>
  <si>
    <t xml:space="preserve">Croustades feuilletées pur beurre</t>
  </si>
  <si>
    <t xml:space="preserve">carton 48 pièces (≈ 0.45 €/pièce)</t>
  </si>
  <si>
    <t xml:space="preserve">Prix converti au kg sur la base de 25 g par pièce</t>
  </si>
  <si>
    <t xml:space="preserve">PAT-006</t>
  </si>
  <si>
    <t xml:space="preserve">Croûtons</t>
  </si>
  <si>
    <t xml:space="preserve">sachet 500 g x 10</t>
  </si>
  <si>
    <t xml:space="preserve">PAT-007</t>
  </si>
  <si>
    <t xml:space="preserve">Génoise chocolat prête à l'emploi (plaque)</t>
  </si>
  <si>
    <t xml:space="preserve">carton 6 plaques 40x60 (≈ 6.50 €/pièce)</t>
  </si>
  <si>
    <t xml:space="preserve">PAT-008</t>
  </si>
  <si>
    <t xml:space="preserve">Génoise nature prête à l'emploi (plaque 40x60)</t>
  </si>
  <si>
    <t xml:space="preserve">carton 6 plaques 40x60 (≈ 6.00 €/pièce)</t>
  </si>
  <si>
    <t xml:space="preserve">PAT-009</t>
  </si>
  <si>
    <t xml:space="preserve">Glaçage chocolat prêt à l'emploi</t>
  </si>
  <si>
    <t xml:space="preserve">PAT-010</t>
  </si>
  <si>
    <t xml:space="preserve">Nappage neutre</t>
  </si>
  <si>
    <t xml:space="preserve">seau 3 kg</t>
  </si>
  <si>
    <t xml:space="preserve">PAT-011</t>
  </si>
  <si>
    <t xml:space="preserve">Nappage rouge</t>
  </si>
  <si>
    <t xml:space="preserve">PAT-012</t>
  </si>
  <si>
    <t xml:space="preserve">Pain d'épices</t>
  </si>
  <si>
    <t xml:space="preserve">PAT-013</t>
  </si>
  <si>
    <t xml:space="preserve">Pain de campagne tranché</t>
  </si>
  <si>
    <t xml:space="preserve">pain 1 kg tranché</t>
  </si>
  <si>
    <t xml:space="preserve">PAT-014</t>
  </si>
  <si>
    <t xml:space="preserve">Pain de mie tranché</t>
  </si>
  <si>
    <t xml:space="preserve">paquet 800 g</t>
  </si>
  <si>
    <t xml:space="preserve">PAT-015</t>
  </si>
  <si>
    <t xml:space="preserve">Pains hamburger 55 g</t>
  </si>
  <si>
    <t xml:space="preserve">carton 80 pièces (≈ 0.25 €/pièce)</t>
  </si>
  <si>
    <t xml:space="preserve">Prix converti au kg sur la base de 55 g par pièce</t>
  </si>
  <si>
    <t xml:space="preserve">PAT-016</t>
  </si>
  <si>
    <t xml:space="preserve">Pains pita 70 g</t>
  </si>
  <si>
    <t xml:space="preserve">carton 80 pièces (≈ 0.30 €/pièce)</t>
  </si>
  <si>
    <t xml:space="preserve">Prix converti au kg sur la base de 70 g par pièce</t>
  </si>
  <si>
    <t xml:space="preserve">PAT-017</t>
  </si>
  <si>
    <t xml:space="preserve">Pâte à brioche crue surgelée</t>
  </si>
  <si>
    <t xml:space="preserve">PAT-018</t>
  </si>
  <si>
    <t xml:space="preserve">Pâte à flammekueche (abaisses 600 g)</t>
  </si>
  <si>
    <t xml:space="preserve">carton 10 abaisses (≈ 2.50 €/pièce)</t>
  </si>
  <si>
    <t xml:space="preserve">Prix converti au kg sur la base de 600 g par pièce</t>
  </si>
  <si>
    <t xml:space="preserve">PAT-019</t>
  </si>
  <si>
    <t xml:space="preserve">Pâte brisée plaque 60x40</t>
  </si>
  <si>
    <t xml:space="preserve">carton 10 plaques (≈ 3.00 €/pièce)</t>
  </si>
  <si>
    <t xml:space="preserve">Prix converti au kg sur la base de 900 g par pièce</t>
  </si>
  <si>
    <t xml:space="preserve">PAT-020</t>
  </si>
  <si>
    <t xml:space="preserve">Pâte feuilletée plaque 60x40</t>
  </si>
  <si>
    <t xml:space="preserve">carton 10 plaques (≈ 3.50 €/pièce)</t>
  </si>
  <si>
    <t xml:space="preserve">PAT-021</t>
  </si>
  <si>
    <t xml:space="preserve">Pâte sucrée prête à l'emploi</t>
  </si>
  <si>
    <t xml:space="preserve">carton 10 plaques (≈ 3.20 €/pièce)</t>
  </si>
  <si>
    <t xml:space="preserve">DIV-001</t>
  </si>
  <si>
    <t xml:space="preserve">Divers</t>
  </si>
  <si>
    <t xml:space="preserve">Eau</t>
  </si>
  <si>
    <t xml:space="preserve">réseau</t>
  </si>
  <si>
    <t xml:space="preserve">DIV-002</t>
  </si>
  <si>
    <t xml:space="preserve">Finition J+1 (sans objet)</t>
  </si>
  <si>
    <t xml:space="preserve">Pièce</t>
  </si>
  <si>
    <t xml:space="preserve">-</t>
  </si>
  <si>
    <t xml:space="preserve">DIV-003</t>
  </si>
  <si>
    <t xml:space="preserve">Papier cuisson</t>
  </si>
  <si>
    <t xml:space="preserve">carton 500 feuilles 40x60</t>
  </si>
  <si>
    <t xml:space="preserve">Correspondance entre les intitulés utilisés dans les fiches et les produits du cadencier (le prix est repris du cadencier par formule). Modifier le code (colonne B) pour rattacher un intitulé à un autre produit.</t>
  </si>
  <si>
    <t xml:space="preserve">Intitulé dans les fiches</t>
  </si>
  <si>
    <t xml:space="preserve">Code produit</t>
  </si>
  <si>
    <t xml:space="preserve">Produit du cadencier</t>
  </si>
  <si>
    <t xml:space="preserve">Agneau ou bœuf haché</t>
  </si>
  <si>
    <t xml:space="preserve">Ail</t>
  </si>
  <si>
    <t xml:space="preserve">Ananas frais (ou 4ème gamme)</t>
  </si>
  <si>
    <t xml:space="preserve">Anchois en filets (ou pâte d'anchois)</t>
  </si>
  <si>
    <t xml:space="preserve">Andouillettes AAAAA 150 g (environ 65 pièces)</t>
  </si>
  <si>
    <t xml:space="preserve">Aneth PM</t>
  </si>
  <si>
    <t xml:space="preserve">Aneth surgelé</t>
  </si>
  <si>
    <t xml:space="preserve">Anneaux ou lanières de calamars surgelés</t>
  </si>
  <si>
    <t xml:space="preserve">Asperges blanches ou vertes (fraîches épluchées ou surgelées)</t>
  </si>
  <si>
    <t xml:space="preserve">Aubergines</t>
  </si>
  <si>
    <t xml:space="preserve">Aubergines (fraîches ou tranches grillées surgelées)</t>
  </si>
  <si>
    <t xml:space="preserve">Avocats mûrs (1/2 par portion)</t>
  </si>
  <si>
    <t xml:space="preserve">Baies de genièvre, clous de girofle, laurier PM</t>
  </si>
  <si>
    <t xml:space="preserve">Basilic frais PM</t>
  </si>
  <si>
    <t xml:space="preserve">Basilic ou persil PM</t>
  </si>
  <si>
    <t xml:space="preserve">Basilic PM</t>
  </si>
  <si>
    <t xml:space="preserve">Basilic surgelé PM</t>
  </si>
  <si>
    <t xml:space="preserve">Basilic, herbes de Provence PM</t>
  </si>
  <si>
    <t xml:space="preserve">Basilic, origan PM</t>
  </si>
  <si>
    <t xml:space="preserve">Beurre</t>
  </si>
  <si>
    <t xml:space="preserve">Beurre (moules)</t>
  </si>
  <si>
    <t xml:space="preserve">Beurre (plaques)</t>
  </si>
  <si>
    <t xml:space="preserve">Beurre doux portions</t>
  </si>
  <si>
    <t xml:space="preserve">Beurre fondu</t>
  </si>
  <si>
    <t xml:space="preserve">Bicarbonate de soude PM</t>
  </si>
  <si>
    <t xml:space="preserve">Biscuit cuillère ou génoise prête à l'emploi</t>
  </si>
  <si>
    <t xml:space="preserve">Bisque</t>
  </si>
  <si>
    <t xml:space="preserve">Blancs de poireaux</t>
  </si>
  <si>
    <t xml:space="preserve">Blé Ebly précuit</t>
  </si>
  <si>
    <t xml:space="preserve">Bouchées feuilletées vides (≈ 40 g pièce, 80 pièces)</t>
  </si>
  <si>
    <t xml:space="preserve">Boudin blanc en portions de 100 g</t>
  </si>
  <si>
    <t xml:space="preserve">Boudin noir en portions de 100 g</t>
  </si>
  <si>
    <t xml:space="preserve">Bouillon de bœuf</t>
  </si>
  <si>
    <t xml:space="preserve">Bouillon de bœuf déshydraté PM</t>
  </si>
  <si>
    <t xml:space="preserve">Boulettes de bœuf crues surgelées (30 g)</t>
  </si>
  <si>
    <t xml:space="preserve">Bouquet garni (thym, laurier) PM</t>
  </si>
  <si>
    <t xml:space="preserve">Bouquet garni, clous de girofle PM</t>
  </si>
  <si>
    <t xml:space="preserve">Bouquet garni, poivre en grains, clous de girofle PM</t>
  </si>
  <si>
    <t xml:space="preserve">Brochettes de bœuf 100 g (rumsteck ou poire, poivrons, oignons)</t>
  </si>
  <si>
    <t xml:space="preserve">Brochettes de poulet 100 g (fraîches ou surgelées)</t>
  </si>
  <si>
    <t xml:space="preserve">Brunoise</t>
  </si>
  <si>
    <t xml:space="preserve">Brunoise de carottes surgelée</t>
  </si>
  <si>
    <t xml:space="preserve">Brunoise de légumes surgelée crue</t>
  </si>
  <si>
    <t xml:space="preserve">Brunoise surgelée</t>
  </si>
  <si>
    <t xml:space="preserve">Brunoise surgelée (FACULTATIF)</t>
  </si>
  <si>
    <t xml:space="preserve">Bûche de chèvre (50 g par tartine)</t>
  </si>
  <si>
    <t xml:space="preserve">Bœuf haché 15% MG</t>
  </si>
  <si>
    <t xml:space="preserve">Cacao ou extrait de café PM</t>
  </si>
  <si>
    <t xml:space="preserve">Calamars OU SEICHES surgelés</t>
  </si>
  <si>
    <t xml:space="preserve">Cannelle (facultatif) PM</t>
  </si>
  <si>
    <t xml:space="preserve">Cannelle PM</t>
  </si>
  <si>
    <t xml:space="preserve">Cannelle, origan, muscade PM</t>
  </si>
  <si>
    <t xml:space="preserve">Cantal jeune (ou tome fraîche)</t>
  </si>
  <si>
    <t xml:space="preserve">Carottes</t>
  </si>
  <si>
    <t xml:space="preserve">Carottes brunoise surgelée</t>
  </si>
  <si>
    <t xml:space="preserve">Carottes bâtonnets ou tournées 4ème gamme (ou surgelées)</t>
  </si>
  <si>
    <t xml:space="preserve">Champignons de Paris entiers ou quartiers surgelés</t>
  </si>
  <si>
    <t xml:space="preserve">Champignons surgelés</t>
  </si>
  <si>
    <t xml:space="preserve">Champignons émincés surgelés</t>
  </si>
  <si>
    <t xml:space="preserve">Chapelure ou flocons d'avoine</t>
  </si>
  <si>
    <t xml:space="preserve">Cheddar en tranches (80 tranches)</t>
  </si>
  <si>
    <t xml:space="preserve">Chili</t>
  </si>
  <si>
    <t xml:space="preserve">Chipolatas (50 g, 2 par portion)</t>
  </si>
  <si>
    <t xml:space="preserve">Chorizo</t>
  </si>
  <si>
    <t xml:space="preserve">Chorizo en rondelles</t>
  </si>
  <si>
    <t xml:space="preserve">Châtaignes cuites pelées (sous vide ou surgelées)</t>
  </si>
  <si>
    <t xml:space="preserve">Châtaignes cuites sous vide (ou surgelées)</t>
  </si>
  <si>
    <t xml:space="preserve">Ciboulette ciselée PM</t>
  </si>
  <si>
    <t xml:space="preserve">Ciboulette ciselée surgelée PM</t>
  </si>
  <si>
    <t xml:space="preserve">Ciboulette ou oignons verts</t>
  </si>
  <si>
    <t xml:space="preserve">Ciboulette ou persil PM</t>
  </si>
  <si>
    <t xml:space="preserve">Ciboulette surgelée</t>
  </si>
  <si>
    <t xml:space="preserve">Ciboulette surgelée PM</t>
  </si>
  <si>
    <t xml:space="preserve">Cidre ou jus de pomme</t>
  </si>
  <si>
    <t xml:space="preserve">Citron jaune</t>
  </si>
  <si>
    <t xml:space="preserve">Citron jaune PM</t>
  </si>
  <si>
    <t xml:space="preserve">Citron vert</t>
  </si>
  <si>
    <t xml:space="preserve">Citrons</t>
  </si>
  <si>
    <t xml:space="preserve">Clou de girofle, laurier, thym PM</t>
  </si>
  <si>
    <t xml:space="preserve">Clou de girofle, thym, laurier PM</t>
  </si>
  <si>
    <t xml:space="preserve">Clous de girofle, thym, laurier PM</t>
  </si>
  <si>
    <t xml:space="preserve">Clous de girofle, thym, laurier, poivre en grains PM</t>
  </si>
  <si>
    <t xml:space="preserve">Cognac ou armagnac (facultatif)</t>
  </si>
  <si>
    <t xml:space="preserve">Colombo</t>
  </si>
  <si>
    <t xml:space="preserve">Colombo ou curry</t>
  </si>
  <si>
    <t xml:space="preserve">COLOMBO OU CURRY</t>
  </si>
  <si>
    <t xml:space="preserve">Concassée tomate</t>
  </si>
  <si>
    <t xml:space="preserve">Concombre en dés</t>
  </si>
  <si>
    <t xml:space="preserve">Confit d'oignons ou gelée de groseille</t>
  </si>
  <si>
    <t xml:space="preserve">Confit de figues ou chutney d'oignons</t>
  </si>
  <si>
    <t xml:space="preserve">Cordon bleu de volaille surgelé (100 g)</t>
  </si>
  <si>
    <t xml:space="preserve">Coriandre fraîche PM</t>
  </si>
  <si>
    <t xml:space="preserve">Coriandre ou persil haché PM</t>
  </si>
  <si>
    <t xml:space="preserve">Coriandre PM</t>
  </si>
  <si>
    <t xml:space="preserve">Coriandre surgelée PM</t>
  </si>
  <si>
    <t xml:space="preserve">Cornichons</t>
  </si>
  <si>
    <t xml:space="preserve">Cornichons (service)</t>
  </si>
  <si>
    <t xml:space="preserve">Cornichons rondelles</t>
  </si>
  <si>
    <t xml:space="preserve">Courgettes</t>
  </si>
  <si>
    <t xml:space="preserve">Courgettes rondelles ou cubes surgelées</t>
  </si>
  <si>
    <t xml:space="preserve">Courgettes rondes ou longues</t>
  </si>
  <si>
    <t xml:space="preserve">Croustades feuilletées pur beurre (1 par portion) (≈ 25 g pièce, 80 pièces)</t>
  </si>
  <si>
    <t xml:space="preserve">Croûtes feuilletées bouchée à la reine (80 pièces de 40 g)</t>
  </si>
  <si>
    <t xml:space="preserve">Croûtons - Rouille - Emmental râpé (service)</t>
  </si>
  <si>
    <t xml:space="preserve">Crème 35%</t>
  </si>
  <si>
    <t xml:space="preserve">Crème 35% (facultatif)</t>
  </si>
  <si>
    <t xml:space="preserve">Crème 35% (finition facultative)</t>
  </si>
  <si>
    <t xml:space="preserve">Crème fraîche 30%</t>
  </si>
  <si>
    <t xml:space="preserve">Crème épaisse 30%</t>
  </si>
  <si>
    <t xml:space="preserve">Crêpes nature prêtes à l'emploi Ø 28 cm (1 par portion) (≈ 60 g pièce, 80 pièces)</t>
  </si>
  <si>
    <t xml:space="preserve">Crêpes salées prêtes à l'emploi (50 g, 2 par portion)</t>
  </si>
  <si>
    <t xml:space="preserve">Crêpes salées prêtes à l'emploi (ou pâte maison) (≈ 50 g pièce, 80 pièces)</t>
  </si>
  <si>
    <t xml:space="preserve">Cuisses de lapin surgelées (env. 180 g)</t>
  </si>
  <si>
    <t xml:space="preserve">Cuisses de pintade (200/220 g)</t>
  </si>
  <si>
    <t xml:space="preserve">Cuisses de poulet (220/250 g)</t>
  </si>
  <si>
    <t xml:space="preserve">Cuisses ou manchons de canard confits</t>
  </si>
  <si>
    <t xml:space="preserve">Cumin moulu PM</t>
  </si>
  <si>
    <t xml:space="preserve">Cumin, herbes de Provence PM</t>
  </si>
  <si>
    <t xml:space="preserve">Curcuma</t>
  </si>
  <si>
    <t xml:space="preserve">Curry</t>
  </si>
  <si>
    <t xml:space="preserve">Curry doux ou cumin</t>
  </si>
  <si>
    <t xml:space="preserve">Cèpes surgelés (morceaux)</t>
  </si>
  <si>
    <t xml:space="preserve">Cèpes émincés surgelés</t>
  </si>
  <si>
    <t xml:space="preserve">Céleri boule cubes</t>
  </si>
  <si>
    <t xml:space="preserve">Côtes de blettes (cardes) surgelées ou fraîches parées</t>
  </si>
  <si>
    <t xml:space="preserve">Donuts de poulet panés surgelés (env. 50 g)</t>
  </si>
  <si>
    <t xml:space="preserve">Dos de cabillaud surgelés sans peau (100-120 g)</t>
  </si>
  <si>
    <t xml:space="preserve">Dos de colin (lieu) surgelés sans peau (120 g)</t>
  </si>
  <si>
    <t xml:space="preserve">Dos de loup ou filets de dorade surgelés avec peau (120 g)</t>
  </si>
  <si>
    <t xml:space="preserve">Dés de poisson blanc surgelés (colin, lieu)</t>
  </si>
  <si>
    <t xml:space="preserve">Dés de tomates (surgelés ou frais)</t>
  </si>
  <si>
    <t xml:space="preserve">Dés ou miettes de saumon surgelés</t>
  </si>
  <si>
    <t xml:space="preserve">Eau (4,5 L par bac)</t>
  </si>
  <si>
    <t xml:space="preserve">Eau (purée)</t>
  </si>
  <si>
    <t xml:space="preserve">Eau froide</t>
  </si>
  <si>
    <t xml:space="preserve">Endives fraîches</t>
  </si>
  <si>
    <t xml:space="preserve">Epice Chili</t>
  </si>
  <si>
    <t xml:space="preserve">Escalopes de porc (110 g)</t>
  </si>
  <si>
    <t xml:space="preserve">Escalopes de veau (110 g)</t>
  </si>
  <si>
    <t xml:space="preserve">Escalopes viennoises panées surgelées, dinde ou veau (100 g)</t>
  </si>
  <si>
    <t xml:space="preserve">Escargots de Bourgogne décoquillés égouttés (6 par portion)</t>
  </si>
  <si>
    <t xml:space="preserve">Estragon ou persil haché PM</t>
  </si>
  <si>
    <t xml:space="preserve">Estragon PM</t>
  </si>
  <si>
    <t xml:space="preserve">Extrait de vanille ou rhum</t>
  </si>
  <si>
    <t xml:space="preserve">Farine</t>
  </si>
  <si>
    <t xml:space="preserve">Farine (abaisse)</t>
  </si>
  <si>
    <t xml:space="preserve">Farine (blanc de cuisson)</t>
  </si>
  <si>
    <t xml:space="preserve">Farine (fleurage)</t>
  </si>
  <si>
    <t xml:space="preserve">Feta dés</t>
  </si>
  <si>
    <t xml:space="preserve">Feta dés ou mozzarella râpée</t>
  </si>
  <si>
    <t xml:space="preserve">Feta en dés (facultatif)</t>
  </si>
  <si>
    <t xml:space="preserve">Feuilletés jambon fromage surgelés (90 g pièce)</t>
  </si>
  <si>
    <t xml:space="preserve">Filets de maquereau surgelés sans arêtes</t>
  </si>
  <si>
    <t xml:space="preserve">Filets de poisson blanc surgelés (colin, lieu)</t>
  </si>
  <si>
    <t xml:space="preserve">Filets de poulet</t>
  </si>
  <si>
    <t xml:space="preserve">Finition J+1</t>
  </si>
  <si>
    <t xml:space="preserve">Fleur de sel PM</t>
  </si>
  <si>
    <t xml:space="preserve">Fleurettes de brocolis surgelées</t>
  </si>
  <si>
    <t xml:space="preserve">Fleurettes de chou romanesco surgelées</t>
  </si>
  <si>
    <t xml:space="preserve">Fond brun de veau déshydraté</t>
  </si>
  <si>
    <t xml:space="preserve">Fond d'agneau ou de veau déshydraté</t>
  </si>
  <si>
    <t xml:space="preserve">Fond de bœuf déshydraté</t>
  </si>
  <si>
    <t xml:space="preserve">Fond de veau ou de canard déshydraté</t>
  </si>
  <si>
    <t xml:space="preserve">Fond de volaille déshydraté (jus)</t>
  </si>
  <si>
    <t xml:space="preserve">Fonds ou cœurs d'artichauts surgelés</t>
  </si>
  <si>
    <t xml:space="preserve">Framboises fraîches ou surgelées IQF</t>
  </si>
  <si>
    <t xml:space="preserve">Frites précuites surgelées spéciales four</t>
  </si>
  <si>
    <t xml:space="preserve">Fromage blanc</t>
  </si>
  <si>
    <t xml:space="preserve">Fromage blanc 20%</t>
  </si>
  <si>
    <t xml:space="preserve">Fromage blanc 20% (sauce blanche)</t>
  </si>
  <si>
    <t xml:space="preserve">Fromage de type cantal ou comté râpé</t>
  </si>
  <si>
    <t xml:space="preserve">Fromage frais nature (type St Môret ou Philadelphia)</t>
  </si>
  <si>
    <t xml:space="preserve">Fruits rouges surgelés IQF</t>
  </si>
  <si>
    <t xml:space="preserve">Fécule</t>
  </si>
  <si>
    <t xml:space="preserve">Fécule de PDT</t>
  </si>
  <si>
    <t xml:space="preserve">Fécule pomme de terre</t>
  </si>
  <si>
    <t xml:space="preserve">Gigot d'agneau désossé ficelé (2 à 2,5 kg)</t>
  </si>
  <si>
    <t xml:space="preserve">Gingembre haché</t>
  </si>
  <si>
    <t xml:space="preserve">Gingembre moulu PM</t>
  </si>
  <si>
    <t xml:space="preserve">Godiveaux (quenelles de veau) 80 g prêts à l'emploi</t>
  </si>
  <si>
    <t xml:space="preserve">Graines de courge ou croûtons (service)</t>
  </si>
  <si>
    <t xml:space="preserve">Gruyère râpé (complément)</t>
  </si>
  <si>
    <t xml:space="preserve">Gélatine feuilles</t>
  </si>
  <si>
    <t xml:space="preserve">Génoise chocolat prête à l'emploi</t>
  </si>
  <si>
    <t xml:space="preserve">Génoise roulable prête à l'emploi (plaques 40x60)</t>
  </si>
  <si>
    <t xml:space="preserve">Haricots blancs secs</t>
  </si>
  <si>
    <t xml:space="preserve">Haricots lingots secs (pour 1 bac)</t>
  </si>
  <si>
    <t xml:space="preserve">Haricots rouges appertisés égouttés</t>
  </si>
  <si>
    <t xml:space="preserve">Haricots rouges SECS</t>
  </si>
  <si>
    <t xml:space="preserve">Hauts de cuisse de poulet</t>
  </si>
  <si>
    <t xml:space="preserve">Hauts de cuisse de poulet (env. 150 g)</t>
  </si>
  <si>
    <t xml:space="preserve">Hauts de cuisse de poulet désossés</t>
  </si>
  <si>
    <t xml:space="preserve">Herbes de Provence PM</t>
  </si>
  <si>
    <t xml:space="preserve">Herbes de provence PM</t>
  </si>
  <si>
    <t xml:space="preserve">Herbes de Provence, ail PM</t>
  </si>
  <si>
    <t xml:space="preserve">Herbes de Provence, basilic PM</t>
  </si>
  <si>
    <t xml:space="preserve">Herbes de Provence, laurier PM</t>
  </si>
  <si>
    <t xml:space="preserve">Herbes de Provence, laurier, piment d'Espelette PM</t>
  </si>
  <si>
    <t xml:space="preserve">Herbes de Provence, muscade PM</t>
  </si>
  <si>
    <t xml:space="preserve">Herbes de Provence, persil PM</t>
  </si>
  <si>
    <t xml:space="preserve">Herbes de Provence, romarin PM</t>
  </si>
  <si>
    <t xml:space="preserve">Huile</t>
  </si>
  <si>
    <t xml:space="preserve">Huile - Vinaigre</t>
  </si>
  <si>
    <t xml:space="preserve">Huile cuisson</t>
  </si>
  <si>
    <t xml:space="preserve">Jambon blanc dés</t>
  </si>
  <si>
    <t xml:space="preserve">Jambon blanc en tranches</t>
  </si>
  <si>
    <t xml:space="preserve">Jambon blanc supérieur découenné dégraissé</t>
  </si>
  <si>
    <t xml:space="preserve">Jambon blanc tranches 40 g</t>
  </si>
  <si>
    <t xml:space="preserve">Jambon blanc tranché</t>
  </si>
  <si>
    <t xml:space="preserve">Jambon cru tranché (2 tranches de 20 g)</t>
  </si>
  <si>
    <t xml:space="preserve">Jambon cru tranché (facultatif)</t>
  </si>
  <si>
    <t xml:space="preserve">Jambon cuit supérieur entier à braiser (ou jambon frais demi-sel désossé)</t>
  </si>
  <si>
    <t xml:space="preserve">Jambon sec tranché</t>
  </si>
  <si>
    <t xml:space="preserve">Jambonnettes de volaille crues farcies (150/180 g)</t>
  </si>
  <si>
    <t xml:space="preserve">Jardinière de légumes surgelée (carottes, petits pois, haricots verts, navets, flageolets)</t>
  </si>
  <si>
    <t xml:space="preserve">Jaune d'œuf pasteurisé (dorure)</t>
  </si>
  <si>
    <t xml:space="preserve">Jaunes d'œufs pasteurisés (dorure)</t>
  </si>
  <si>
    <t xml:space="preserve">Jaunes d'œufs pasteurisés (ovoproduit)</t>
  </si>
  <si>
    <t xml:space="preserve">joue de bœuf découpée</t>
  </si>
  <si>
    <t xml:space="preserve">Ketchup (alternative)</t>
  </si>
  <si>
    <t xml:space="preserve">Lait</t>
  </si>
  <si>
    <t xml:space="preserve">Lait 1/2 écrémé</t>
  </si>
  <si>
    <t xml:space="preserve">Lait demi-écrémé</t>
  </si>
  <si>
    <t xml:space="preserve">Lait entier</t>
  </si>
  <si>
    <t xml:space="preserve">Lait entier (crème pâtissière)</t>
  </si>
  <si>
    <t xml:space="preserve">Lait entier (pâte à choux)</t>
  </si>
  <si>
    <t xml:space="preserve">Lait ou bouillon</t>
  </si>
  <si>
    <t xml:space="preserve">Langues de bœuf (surgelées)</t>
  </si>
  <si>
    <t xml:space="preserve">Lardons facultatifs</t>
  </si>
  <si>
    <t xml:space="preserve">Lardons fumés (facultatif)</t>
  </si>
  <si>
    <t xml:space="preserve">Laurier - Thym PM</t>
  </si>
  <si>
    <t xml:space="preserve">Laurier, thym PM</t>
  </si>
  <si>
    <t xml:space="preserve">Laurier, thym, baies de genièvre PM</t>
  </si>
  <si>
    <t xml:space="preserve">Lentilles vertes sèches (1,5 kg par bac, 2 bacs)</t>
  </si>
  <si>
    <t xml:space="preserve">Légumes couscous surgelés (carottes, navets, courgettes, poivrons, céleri)</t>
  </si>
  <si>
    <t xml:space="preserve">Macédoine de légumes appertisée égouttée</t>
  </si>
  <si>
    <t xml:space="preserve">Madère ou porto</t>
  </si>
  <si>
    <t xml:space="preserve">Mayonnaise (ovoproduit pasteurisé)</t>
  </si>
  <si>
    <t xml:space="preserve">Mayonnaise collective (ovoproduit pasteurisé)</t>
  </si>
  <si>
    <t xml:space="preserve">Mayonnaise ovoproduit pasteurisée (sauce)</t>
  </si>
  <si>
    <t xml:space="preserve">Maïs boite</t>
  </si>
  <si>
    <t xml:space="preserve">Maïs doux appertisé égoutté</t>
  </si>
  <si>
    <t xml:space="preserve">Maïs grains (boîte égouttée)</t>
  </si>
  <si>
    <t xml:space="preserve">Melon charentais (≈ 1 kg pièce)</t>
  </si>
  <si>
    <t xml:space="preserve">Menthe fraîche ciselée PM</t>
  </si>
  <si>
    <t xml:space="preserve">Menthe fraîche PM</t>
  </si>
  <si>
    <t xml:space="preserve">Menthe ou basilic ciselé surgelé</t>
  </si>
  <si>
    <t xml:space="preserve">Menthe ou coriandre ciselée surgelée PM</t>
  </si>
  <si>
    <t xml:space="preserve">Menthe, ciboulette, cumin PM</t>
  </si>
  <si>
    <t xml:space="preserve">Merguez (50 g, 2 par portion)</t>
  </si>
  <si>
    <t xml:space="preserve">Merguez (cuites le jour J)</t>
  </si>
  <si>
    <t xml:space="preserve">Mesclun ou frisée 4ème gamme</t>
  </si>
  <si>
    <t xml:space="preserve">Mousse de canard en barre ou terrine</t>
  </si>
  <si>
    <t xml:space="preserve">Moutarde</t>
  </si>
  <si>
    <t xml:space="preserve">Moutarde (portions)</t>
  </si>
  <si>
    <t xml:space="preserve">Moutarde (service)</t>
  </si>
  <si>
    <t xml:space="preserve">Moutarde forte</t>
  </si>
  <si>
    <t xml:space="preserve">Mozzarella</t>
  </si>
  <si>
    <t xml:space="preserve">Muscade</t>
  </si>
  <si>
    <t xml:space="preserve">Muscade - Poivre PM</t>
  </si>
  <si>
    <t xml:space="preserve">Muscade PM</t>
  </si>
  <si>
    <t xml:space="preserve">Muscade, ail PM</t>
  </si>
  <si>
    <t xml:space="preserve">Muscade, aneth PM</t>
  </si>
  <si>
    <t xml:space="preserve">Muscade, herbes de Provence PM</t>
  </si>
  <si>
    <t xml:space="preserve">Muscade, persil PM</t>
  </si>
  <si>
    <t xml:space="preserve">Mâche</t>
  </si>
  <si>
    <t xml:space="preserve">Mâche ou mesclun 4ème gamme</t>
  </si>
  <si>
    <t xml:space="preserve">Nappage rouge ou neutre</t>
  </si>
  <si>
    <t xml:space="preserve">Nems au poulet ou au porc surgelés (50 g) (≈ 50 g pièce, 160 pièces)</t>
  </si>
  <si>
    <t xml:space="preserve">Nuggets de poulet surgelés (20 g)</t>
  </si>
  <si>
    <t xml:space="preserve">Nuoc-mâm</t>
  </si>
  <si>
    <t xml:space="preserve">Oignons</t>
  </si>
  <si>
    <t xml:space="preserve">Oignons 4ÈME g</t>
  </si>
  <si>
    <t xml:space="preserve">Oignons ciselés</t>
  </si>
  <si>
    <t xml:space="preserve">Oignons cubes</t>
  </si>
  <si>
    <t xml:space="preserve">Oignons rouges émincés</t>
  </si>
  <si>
    <t xml:space="preserve">Origan PM</t>
  </si>
  <si>
    <t xml:space="preserve">Origan, basilic PM</t>
  </si>
  <si>
    <t xml:space="preserve">Origan, muscade PM</t>
  </si>
  <si>
    <t xml:space="preserve">Pain de campagne ou pain brioché tranché</t>
  </si>
  <si>
    <t xml:space="preserve">Pain de campagne tranché (50 g la tranche)</t>
  </si>
  <si>
    <t xml:space="preserve">Pain de mie (croûtons)</t>
  </si>
  <si>
    <t xml:space="preserve">Pain de mie ou baguette (croûtons)</t>
  </si>
  <si>
    <t xml:space="preserve">Pain de mie ou pain tranché</t>
  </si>
  <si>
    <t xml:space="preserve">Pain de mie tranché (≈ 30 g pièce, 160 pièces)</t>
  </si>
  <si>
    <t xml:space="preserve">Pain toasté ou blinis (≈ 30 g pièce, 80 pièces)</t>
  </si>
  <si>
    <t xml:space="preserve">Pains hamburger (80 pièces de 55 g)</t>
  </si>
  <si>
    <t xml:space="preserve">Pains pita (80 pièces de 70 g)</t>
  </si>
  <si>
    <t xml:space="preserve">Pamplemousse rose (≈ 400 g pièce, 1/2 par portion)</t>
  </si>
  <si>
    <t xml:space="preserve">Panais ou carottes</t>
  </si>
  <si>
    <t xml:space="preserve">Paprika</t>
  </si>
  <si>
    <t xml:space="preserve">Paprika PM</t>
  </si>
  <si>
    <t xml:space="preserve">Paprika, origan PM</t>
  </si>
  <si>
    <t xml:space="preserve">Parmesan ou emmental râpé</t>
  </si>
  <si>
    <t xml:space="preserve">Parmesan râpé ou copeaux</t>
  </si>
  <si>
    <t xml:space="preserve">Patate douce cubes surgelés (ou fraîche épluchée)</t>
  </si>
  <si>
    <t xml:space="preserve">Paupiettes de veau (120 g)</t>
  </si>
  <si>
    <t xml:space="preserve">Paupiettes de volaille (120 g)</t>
  </si>
  <si>
    <t xml:space="preserve">Pavés de poisson blanc surgelés, colin ou lieu (100 g)</t>
  </si>
  <si>
    <t xml:space="preserve">Pavés de saumon surgelés (cuits sous vide 63°C)</t>
  </si>
  <si>
    <t xml:space="preserve">Pavés de saumon surgelés sans peau sans arêtes (100 g)</t>
  </si>
  <si>
    <t xml:space="preserve">PDT</t>
  </si>
  <si>
    <t xml:space="preserve">Persil ciselé surgelé</t>
  </si>
  <si>
    <t xml:space="preserve">Persil ciselé surgelé PM</t>
  </si>
  <si>
    <t xml:space="preserve">Persil haché PM</t>
  </si>
  <si>
    <t xml:space="preserve">Persil haché surgelé PM</t>
  </si>
  <si>
    <t xml:space="preserve">Persil ou ciboulette PM</t>
  </si>
  <si>
    <t xml:space="preserve">Persil PM</t>
  </si>
  <si>
    <t xml:space="preserve">Persil, ciboulette, estragon surgelés</t>
  </si>
  <si>
    <t xml:space="preserve">Persil, thym PM</t>
  </si>
  <si>
    <t xml:space="preserve">Persil, thym, laurier PM</t>
  </si>
  <si>
    <t xml:space="preserve">Pesto au basilic (seau)</t>
  </si>
  <si>
    <t xml:space="preserve">Petit salé (palette et poitrine demi-sel)</t>
  </si>
  <si>
    <t xml:space="preserve">Piment d'espelette</t>
  </si>
  <si>
    <t xml:space="preserve">Piment d'Espelette (FACULTATIF) PM</t>
  </si>
  <si>
    <t xml:space="preserve">Piment doux PM</t>
  </si>
  <si>
    <t xml:space="preserve">Pizzas surgelées prêtes à cuire (400 g pièce, 1/4 par portion)</t>
  </si>
  <si>
    <t xml:space="preserve">Pièces de bœuf à braiser</t>
  </si>
  <si>
    <t xml:space="preserve">Pointes d'asperges (boîte ou surgelées)</t>
  </si>
  <si>
    <t xml:space="preserve">Poireaux</t>
  </si>
  <si>
    <t xml:space="preserve">Poireaux émincés surgelés (ou 4ème gamme)</t>
  </si>
  <si>
    <t xml:space="preserve">Poires quartiers (ou autre fruit de saison)</t>
  </si>
  <si>
    <t xml:space="preserve">Pois chiches</t>
  </si>
  <si>
    <t xml:space="preserve">Pois chiches cuits égouttés</t>
  </si>
  <si>
    <t xml:space="preserve">Poivre</t>
  </si>
  <si>
    <t xml:space="preserve">Poivre - Cerfeuil PM</t>
  </si>
  <si>
    <t xml:space="preserve">Poivre - Ciboulette ciselée PM</t>
  </si>
  <si>
    <t xml:space="preserve">Poivre - Fenouil - Laurier PM</t>
  </si>
  <si>
    <t xml:space="preserve">Poivre - Herbes de Provence PM</t>
  </si>
  <si>
    <t xml:space="preserve">Poivre - Laurier - Thym PM</t>
  </si>
  <si>
    <t xml:space="preserve">Poivre - Muscade - Curry doux PM</t>
  </si>
  <si>
    <t xml:space="preserve">Poivre - Muscade PM</t>
  </si>
  <si>
    <t xml:space="preserve">Poivre - Paprika PM</t>
  </si>
  <si>
    <t xml:space="preserve">Poivre - Persil ciselé PM</t>
  </si>
  <si>
    <t xml:space="preserve">Poivre - Thym - Basilic ciselé PM</t>
  </si>
  <si>
    <t xml:space="preserve">Poivre - Thym - Laurier - Ail PM</t>
  </si>
  <si>
    <t xml:space="preserve">Poivre - Thym - Laurier PM</t>
  </si>
  <si>
    <t xml:space="preserve">Poivre - Thym - Muscade PM</t>
  </si>
  <si>
    <t xml:space="preserve">Poivre blanc - Muscade - Aneth PM</t>
  </si>
  <si>
    <t xml:space="preserve">Poivre blanc PM</t>
  </si>
  <si>
    <t xml:space="preserve">Poivre du moulin PM</t>
  </si>
  <si>
    <t xml:space="preserve">Poivre en grains, clous de girofle PM</t>
  </si>
  <si>
    <t xml:space="preserve">Poivre PM</t>
  </si>
  <si>
    <t xml:space="preserve">Poivre, coriandre PM</t>
  </si>
  <si>
    <t xml:space="preserve">Poivre, coriandre, anis étoilé PM</t>
  </si>
  <si>
    <t xml:space="preserve">Poivre, muscade PM</t>
  </si>
  <si>
    <t xml:space="preserve">Poivre, thym, laurier PM</t>
  </si>
  <si>
    <t xml:space="preserve">Poivrons lanières</t>
  </si>
  <si>
    <t xml:space="preserve">Poivrons rouges dés surgelés</t>
  </si>
  <si>
    <t xml:space="preserve">Poivrons rouges et verts</t>
  </si>
  <si>
    <t xml:space="preserve">Poivrons surgelés</t>
  </si>
  <si>
    <t xml:space="preserve">Poivrons verts frais</t>
  </si>
  <si>
    <t xml:space="preserve">Pommes</t>
  </si>
  <si>
    <t xml:space="preserve">Pommes (Golden)</t>
  </si>
  <si>
    <t xml:space="preserve">Pommes (Granny Smith)</t>
  </si>
  <si>
    <t xml:space="preserve">Pommes de terre 4ème gamme calibre 35/45</t>
  </si>
  <si>
    <t xml:space="preserve">Pommes de terre 4ème gamme épluchées</t>
  </si>
  <si>
    <t xml:space="preserve">Pommes de terre 4ème gamme épluchées (Bintje)</t>
  </si>
  <si>
    <t xml:space="preserve">Pommes de terre 4ème gamme épluchées (variété à purée type Bintje)</t>
  </si>
  <si>
    <t xml:space="preserve">Pommes de terre 4ème gamme épluchées calibre 35/45</t>
  </si>
  <si>
    <t xml:space="preserve">Pommes de terre cubes</t>
  </si>
  <si>
    <t xml:space="preserve">Pommes de terre cubes 4ème gamme</t>
  </si>
  <si>
    <t xml:space="preserve">Pommes de terre dés 4ème gamme</t>
  </si>
  <si>
    <t xml:space="preserve">Pommes de terre en dés surgelées (ou fraîches épluchées)</t>
  </si>
  <si>
    <t xml:space="preserve">Pommes de terre lamelles 4ème gamme (vapeur)</t>
  </si>
  <si>
    <t xml:space="preserve">Pommes de terre lamelles 4ème gamme sous vide</t>
  </si>
  <si>
    <t xml:space="preserve">Pommes de terre rondelles 4ème gamme</t>
  </si>
  <si>
    <t xml:space="preserve">Pommes de terre râpées 4ème gamme (ou fraîches râpées)</t>
  </si>
  <si>
    <t xml:space="preserve">Pommes de terre vapeur 4ème gamme</t>
  </si>
  <si>
    <t xml:space="preserve">Pommes de terre à farcir calibre 60/70 (1 par portion)</t>
  </si>
  <si>
    <t xml:space="preserve">Pommes de terre épluchées sous vide</t>
  </si>
  <si>
    <t xml:space="preserve">Pommes en cubes surgelées</t>
  </si>
  <si>
    <t xml:space="preserve">Pommes fruits (ou quartiers de pommes surgelés)</t>
  </si>
  <si>
    <t xml:space="preserve">Pommes fruits en dés (ou bananes)</t>
  </si>
  <si>
    <t xml:space="preserve">Pommes quartiers surgelés (ou Golden fraîches épluchées)</t>
  </si>
  <si>
    <t xml:space="preserve">Pommes quartiers surgelés (ou pommes Golden fraîches)</t>
  </si>
  <si>
    <t xml:space="preserve">Portions de poisson pané surgelées (100 g)</t>
  </si>
  <si>
    <t xml:space="preserve">Porto (facultatif)</t>
  </si>
  <si>
    <t xml:space="preserve">Potimarron cubes surgelés (ou frais lavé, non épluché)</t>
  </si>
  <si>
    <t xml:space="preserve">Potimarron ou potiron cubes surgelés</t>
  </si>
  <si>
    <t xml:space="preserve">Potiron cubes surgelés</t>
  </si>
  <si>
    <t xml:space="preserve">Poudre à crème</t>
  </si>
  <si>
    <t xml:space="preserve">Poêlée de légumes surgelée (carottes, brocolis, haricots verts, poivrons)</t>
  </si>
  <si>
    <t xml:space="preserve">Préparation pour crème pâtissière à froid</t>
  </si>
  <si>
    <t xml:space="preserve">Pulpe de tomates</t>
  </si>
  <si>
    <t xml:space="preserve">Purée de mangue</t>
  </si>
  <si>
    <t xml:space="preserve">Pâte brisée en plaque 60x40 (≈ 900 g pièce, 4 pièces)</t>
  </si>
  <si>
    <t xml:space="preserve">Pâte feuilletée en plaque 60x40 (≈ 900 g pièce, 4 pièces)</t>
  </si>
  <si>
    <t xml:space="preserve">Pâte feuilletée prête à l'emploi</t>
  </si>
  <si>
    <t xml:space="preserve">Pâte feuilletée prête à l'emploi (plaques ou rouleaux)</t>
  </si>
  <si>
    <t xml:space="preserve">Pâte sucrée prête à l'emploi (rouleaux ou plaques)</t>
  </si>
  <si>
    <t xml:space="preserve">Pâte à brioche crue (surgelée prête à l'emploi ou maison)</t>
  </si>
  <si>
    <t xml:space="preserve">Pâte à flammekueche prête à l'emploi (10 abaisses de 600 g)</t>
  </si>
  <si>
    <t xml:space="preserve">Pâtes (fusilli ou penne)</t>
  </si>
  <si>
    <t xml:space="preserve">Pâtes (macaronis ou coquillettes)</t>
  </si>
  <si>
    <t xml:space="preserve">Pâtes (penne ou coquillettes)</t>
  </si>
  <si>
    <t xml:space="preserve">Pâtes (penne ou fusilli)</t>
  </si>
  <si>
    <t xml:space="preserve">Pâtes (penne ou spaghetti)</t>
  </si>
  <si>
    <t xml:space="preserve">Pâtes (tagliatelles ou penne)</t>
  </si>
  <si>
    <t xml:space="preserve">Pâtes perles</t>
  </si>
  <si>
    <t xml:space="preserve">Pâtes torsades</t>
  </si>
  <si>
    <t xml:space="preserve">Pâté aux olives (tranche de 50 g)</t>
  </si>
  <si>
    <t xml:space="preserve">Pâté de campagne (tranche de 50 g)</t>
  </si>
  <si>
    <t xml:space="preserve">Quenelles de volaille 80 g prêtes à l'emploi</t>
  </si>
  <si>
    <t xml:space="preserve">Raisins secs (facultatif)</t>
  </si>
  <si>
    <t xml:space="preserve">Ras el hanout</t>
  </si>
  <si>
    <t xml:space="preserve">Ras el hanout PM</t>
  </si>
  <si>
    <t xml:space="preserve">Ratatouille cuisinée (ou légumes grillés surgelés)</t>
  </si>
  <si>
    <t xml:space="preserve">Rhum ou extrait de vanille PM</t>
  </si>
  <si>
    <t xml:space="preserve">Riz arborio ou carnaroli</t>
  </si>
  <si>
    <t xml:space="preserve">Riz long cru</t>
  </si>
  <si>
    <t xml:space="preserve">Roquette ou jeunes pousses</t>
  </si>
  <si>
    <t xml:space="preserve">Rosette ou saucisson sec tranché</t>
  </si>
  <si>
    <t xml:space="preserve">Rosette tranchée (2 tranches de 20 g)</t>
  </si>
  <si>
    <t xml:space="preserve">Rôti de bœuf (rumsteck ou tende de tranche) ficelé</t>
  </si>
  <si>
    <t xml:space="preserve">Rôti de dinde filet ficelé sans barde (2 à 2,5 kg)</t>
  </si>
  <si>
    <t xml:space="preserve">Rôti de porc Echine</t>
  </si>
  <si>
    <t xml:space="preserve">Rôti de porc longe ou échine ficelé</t>
  </si>
  <si>
    <t xml:space="preserve">Rôti de veau bas carré ou épaule ficelé</t>
  </si>
  <si>
    <t xml:space="preserve">Rösti surgelés (galettes 100 g)</t>
  </si>
  <si>
    <t xml:space="preserve">Safran ou spigol</t>
  </si>
  <si>
    <t xml:space="preserve">Saindoux ou huile</t>
  </si>
  <si>
    <t xml:space="preserve">Salade mélangée 4ème gamme</t>
  </si>
  <si>
    <t xml:space="preserve">Salade romaine ou laitue 4ème gamme</t>
  </si>
  <si>
    <t xml:space="preserve">Salade verte (batavia, frisée) 4ème gamme</t>
  </si>
  <si>
    <t xml:space="preserve">Salade verte (batavia, laitue ou frisée)</t>
  </si>
  <si>
    <t xml:space="preserve">Salade verte 4ème gamme</t>
  </si>
  <si>
    <t xml:space="preserve">Salade verte mélange 4ème gamme</t>
  </si>
  <si>
    <t xml:space="preserve">Sardines à l'huile (boîtes 1/4) (≈ 125 g pièce, 80 pièces)</t>
  </si>
  <si>
    <t xml:space="preserve">Saucisse de Toulouse (pièces de 120 g)</t>
  </si>
  <si>
    <t xml:space="preserve">Saucisse sèche (≈ 8 rondelles de 5 g)</t>
  </si>
  <si>
    <t xml:space="preserve">Saucisses de Montbéliard</t>
  </si>
  <si>
    <t xml:space="preserve">Saucisses de Toulouse</t>
  </si>
  <si>
    <t xml:space="preserve">Saucisses de volaille (100 g)</t>
  </si>
  <si>
    <t xml:space="preserve">Saucisses fumées (type créole ou Montbéliard)</t>
  </si>
  <si>
    <t xml:space="preserve">Saucisses fumées type Montbéliard</t>
  </si>
  <si>
    <t xml:space="preserve">Saucisson à cuire pistaché (pièces de 1 kg)</t>
  </si>
  <si>
    <t xml:space="preserve">Sauté de bœuf de préférence gélatineux 40/60g</t>
  </si>
  <si>
    <t xml:space="preserve">Sauté de bœuf gélatineux (paleron, basse côte) 40/60 g</t>
  </si>
  <si>
    <t xml:space="preserve">Sauté de bœuf gélatineux (paleron, macreuse) 40/60 g</t>
  </si>
  <si>
    <t xml:space="preserve">Sauté de lapin, cuisses et râbles (morceaux de 130 g)</t>
  </si>
  <si>
    <t xml:space="preserve">Sauté de taureau AOP Camargue (ou bœuf gélatineux) 40/60 g</t>
  </si>
  <si>
    <t xml:space="preserve">Sauté de veau blanquette</t>
  </si>
  <si>
    <t xml:space="preserve">Sauté de veau à blanquette collagénique</t>
  </si>
  <si>
    <t xml:space="preserve">Sauté de volaille (haut de cuisse désossé sans peau 40/60 g)</t>
  </si>
  <si>
    <t xml:space="preserve">Sauté de volaille (haut de cuisse désossé)</t>
  </si>
  <si>
    <t xml:space="preserve">Sauté ou émincé de bœuf gélatineux 40/60 g</t>
  </si>
  <si>
    <t xml:space="preserve">Sel</t>
  </si>
  <si>
    <t xml:space="preserve">Sel (rectifier, Morteau et comté salés)</t>
  </si>
  <si>
    <t xml:space="preserve">Sel (rectifier, morue déjà salée)</t>
  </si>
  <si>
    <t xml:space="preserve">Sel (rectifier, sauce soja salée)</t>
  </si>
  <si>
    <t xml:space="preserve">Sel (rectifier, saucisses salées)</t>
  </si>
  <si>
    <t xml:space="preserve">Sel (viande déjà salée, rectifier le lendemain)</t>
  </si>
  <si>
    <t xml:space="preserve">Sel - Poivre - Paprika PM</t>
  </si>
  <si>
    <t xml:space="preserve">Sel - Poivre PM</t>
  </si>
  <si>
    <t xml:space="preserve">Sel fin PM</t>
  </si>
  <si>
    <t xml:space="preserve">Sel gros</t>
  </si>
  <si>
    <t xml:space="preserve">Sel PM</t>
  </si>
  <si>
    <t xml:space="preserve">Semoule moyenne</t>
  </si>
  <si>
    <t xml:space="preserve">Sirop d'imbibage (eau + sucre)</t>
  </si>
  <si>
    <t xml:space="preserve">Soupe de poisson prête à l'emploi (brique ou bocal)</t>
  </si>
  <si>
    <t xml:space="preserve">Souris d'agneau (300/350 g)</t>
  </si>
  <si>
    <t xml:space="preserve">Steaks de bœuf 120 g (rumsteck ou tende de tranche)</t>
  </si>
  <si>
    <t xml:space="preserve">Steaks hachés 15% MG 100 g (VBF)</t>
  </si>
  <si>
    <t xml:space="preserve">Steaks hachés surgelés 100 g, 15% MG</t>
  </si>
  <si>
    <t xml:space="preserve">Sucre</t>
  </si>
  <si>
    <t xml:space="preserve">Sucre pour le coulis</t>
  </si>
  <si>
    <t xml:space="preserve">Sucre pour le dressage</t>
  </si>
  <si>
    <t xml:space="preserve">Sucre semoule (crème pâtissière)</t>
  </si>
  <si>
    <t xml:space="preserve">Sucre semoule (pâte à choux)</t>
  </si>
  <si>
    <t xml:space="preserve">Suprêmes de poulet</t>
  </si>
  <si>
    <t xml:space="preserve">Suprêmes de volaille 130/150 g</t>
  </si>
  <si>
    <t xml:space="preserve">Thon au naturel égoutté</t>
  </si>
  <si>
    <t xml:space="preserve">Thym PM</t>
  </si>
  <si>
    <t xml:space="preserve">Thym, estragon PM</t>
  </si>
  <si>
    <t xml:space="preserve">Thym, laurier (pochage) PM</t>
  </si>
  <si>
    <t xml:space="preserve">Thym, laurier PM</t>
  </si>
  <si>
    <t xml:space="preserve">Thym, laurier, cannelle PM</t>
  </si>
  <si>
    <t xml:space="preserve">Thym, laurier, clou de girofle PM</t>
  </si>
  <si>
    <t xml:space="preserve">Thym, laurier, estragon PM</t>
  </si>
  <si>
    <t xml:space="preserve">Thym, laurier, romarin PM</t>
  </si>
  <si>
    <t xml:space="preserve">Thym, piment doux, combava PM</t>
  </si>
  <si>
    <t xml:space="preserve">Thym, romarin PM</t>
  </si>
  <si>
    <t xml:space="preserve">Thym, romarin, laurier PM</t>
  </si>
  <si>
    <t xml:space="preserve">Tomates</t>
  </si>
  <si>
    <t xml:space="preserve">Tomates concassées</t>
  </si>
  <si>
    <t xml:space="preserve">Tomates concassées (boîte)</t>
  </si>
  <si>
    <t xml:space="preserve">Tomates en cubes</t>
  </si>
  <si>
    <t xml:space="preserve">Tomates fraîches</t>
  </si>
  <si>
    <t xml:space="preserve">Tomates rondes</t>
  </si>
  <si>
    <t xml:space="preserve">Tomates rondes calibre 67/82</t>
  </si>
  <si>
    <t xml:space="preserve">Tomates rondes calibre 67/82 (1 par portion)</t>
  </si>
  <si>
    <t xml:space="preserve">Tomates rondes calibre 67/82 (environ 70 pièces)</t>
  </si>
  <si>
    <t xml:space="preserve">Tripoux crus ficelés (paquets de 80 à 100 g)</t>
  </si>
  <si>
    <t xml:space="preserve">Tête de veau roulée désossée (blanchie)</t>
  </si>
  <si>
    <t xml:space="preserve">Vanille (gousse ou extrait) PM</t>
  </si>
  <si>
    <t xml:space="preserve">Vanille (gousses ou extrait) PM</t>
  </si>
  <si>
    <t xml:space="preserve">Vanille PM</t>
  </si>
  <si>
    <t xml:space="preserve">Viande hachée d'agneau ou de bœuf 15% MG</t>
  </si>
  <si>
    <t xml:space="preserve">Viande hachée de bœuf 15% MG</t>
  </si>
  <si>
    <t xml:space="preserve">Viande kebab précuite tranchée surgelée (veau/dinde)</t>
  </si>
  <si>
    <t xml:space="preserve">Vin blanc</t>
  </si>
  <si>
    <t xml:space="preserve">Vin Blanc</t>
  </si>
  <si>
    <t xml:space="preserve">Vin blanc (Riesling)</t>
  </si>
  <si>
    <t xml:space="preserve">Vin blanc du Jura</t>
  </si>
  <si>
    <t xml:space="preserve">Vin rouge</t>
  </si>
  <si>
    <t xml:space="preserve">Vinaigre</t>
  </si>
  <si>
    <t xml:space="preserve">Vinaigre blanc</t>
  </si>
  <si>
    <t xml:space="preserve">Vinaigre de riz ou de cidre</t>
  </si>
  <si>
    <t xml:space="preserve">Vinaigre de riz ou vinaigre blanc</t>
  </si>
  <si>
    <t xml:space="preserve">Vinaigre de vin</t>
  </si>
  <si>
    <t xml:space="preserve">Vinaigre de Xérès</t>
  </si>
  <si>
    <t xml:space="preserve">Vinaigrette</t>
  </si>
  <si>
    <t xml:space="preserve">Zeste d'orange, thym, laurier, clou de girofle PM</t>
  </si>
  <si>
    <t xml:space="preserve">Zeste d'orange, thym, laurier, romarin PM</t>
  </si>
  <si>
    <t xml:space="preserve">Échalotes ciselées</t>
  </si>
  <si>
    <t xml:space="preserve">Échalotes ou oignons ciselés surgelés</t>
  </si>
  <si>
    <t xml:space="preserve">Échalotes surgelées</t>
  </si>
  <si>
    <t xml:space="preserve">Égréné de bœuf</t>
  </si>
  <si>
    <t xml:space="preserve">Épices couscous (ras el hanout)</t>
  </si>
  <si>
    <t xml:space="preserve">Épices paëlla (safran, curcuma, paprika)</t>
  </si>
  <si>
    <t xml:space="preserve">Épinards branches (ou hachés) surgelés</t>
  </si>
  <si>
    <t xml:space="preserve">Œufs coquille calibre moyen (≈ 60 g pièce, 120 pièces)</t>
  </si>
  <si>
    <t xml:space="preserve">Œufs durs écalés</t>
  </si>
  <si>
    <t xml:space="preserve">Œufs durs écalés (ovoproduit)</t>
  </si>
  <si>
    <t xml:space="preserve">Œufs durs écalés pasteurisés (50 g)</t>
  </si>
  <si>
    <t xml:space="preserve">Œufs durs écalés pasteurisés (ovoproduit)</t>
  </si>
  <si>
    <t xml:space="preserve">Œufs entiers liquides pasteurisés (ovoproduit)</t>
  </si>
  <si>
    <t xml:space="preserve">Œufs entiers pasteurisés</t>
  </si>
  <si>
    <t xml:space="preserve">Œufs entiers pasteurisés (ovoproduit)</t>
  </si>
  <si>
    <t xml:space="preserve">Œufs liquides pasteurisés</t>
  </si>
  <si>
    <t xml:space="preserve">Semaine</t>
  </si>
  <si>
    <t xml:space="preserve">Jour</t>
  </si>
  <si>
    <t xml:space="preserve">Service</t>
  </si>
  <si>
    <t xml:space="preserve">Entrée (menu)</t>
  </si>
  <si>
    <t xml:space="preserve">Fiche entrée</t>
  </si>
  <si>
    <t xml:space="preserve">Plat (menu)</t>
  </si>
  <si>
    <t xml:space="preserve">Fiche plat</t>
  </si>
  <si>
    <t xml:space="preserve">Garniture (menu)</t>
  </si>
  <si>
    <t xml:space="preserve">Fiche garniture</t>
  </si>
  <si>
    <t xml:space="preserve">Dessert (menu)</t>
  </si>
  <si>
    <t xml:space="preserve">Fiche dessert</t>
  </si>
  <si>
    <t xml:space="preserve">semaine 1</t>
  </si>
  <si>
    <t xml:space="preserve">Lundi</t>
  </si>
  <si>
    <t xml:space="preserve">Midi</t>
  </si>
  <si>
    <t xml:space="preserve">Paupiette de volaile</t>
  </si>
  <si>
    <t xml:space="preserve">Choux fleur</t>
  </si>
  <si>
    <t xml:space="preserve">Fruit</t>
  </si>
  <si>
    <t xml:space="preserve">Soir</t>
  </si>
  <si>
    <t xml:space="preserve">Mache</t>
  </si>
  <si>
    <t xml:space="preserve">Jambon Blanc</t>
  </si>
  <si>
    <t xml:space="preserve">pomme de terre rissolées</t>
  </si>
  <si>
    <t xml:space="preserve">Mardi</t>
  </si>
  <si>
    <t xml:space="preserve">Poireau en salade</t>
  </si>
  <si>
    <t xml:space="preserve">tartiflette</t>
  </si>
  <si>
    <t xml:space="preserve">Potage de Légumes</t>
  </si>
  <si>
    <t xml:space="preserve">œuf mayonnaise</t>
  </si>
  <si>
    <t xml:space="preserve">salsifi</t>
  </si>
  <si>
    <t xml:space="preserve">Mercredi</t>
  </si>
  <si>
    <t xml:space="preserve">Salade de lentille</t>
  </si>
  <si>
    <t xml:space="preserve">Velouté de cépes chataigne</t>
  </si>
  <si>
    <t xml:space="preserve">Croustade escargots</t>
  </si>
  <si>
    <t xml:space="preserve">Duo de carottes</t>
  </si>
  <si>
    <t xml:space="preserve">Jeudi</t>
  </si>
  <si>
    <t xml:space="preserve">salade périgoudine</t>
  </si>
  <si>
    <t xml:space="preserve">Filet mignon au cidre</t>
  </si>
  <si>
    <t xml:space="preserve">Entremet vanille Fruit rouge</t>
  </si>
  <si>
    <t xml:space="preserve">Vendredi</t>
  </si>
  <si>
    <t xml:space="preserve">Paté aux olives</t>
  </si>
  <si>
    <t xml:space="preserve">Pavé de poisson</t>
  </si>
  <si>
    <t xml:space="preserve">Riz</t>
  </si>
  <si>
    <t xml:space="preserve">Qunelle de volaille</t>
  </si>
  <si>
    <t xml:space="preserve">carottes</t>
  </si>
  <si>
    <t xml:space="preserve">Samedi</t>
  </si>
  <si>
    <t xml:space="preserve">salade de Pâtess</t>
  </si>
  <si>
    <t xml:space="preserve">Roti de porc</t>
  </si>
  <si>
    <t xml:space="preserve">Choux rpmanesco</t>
  </si>
  <si>
    <t xml:space="preserve">lasagne au bœuf</t>
  </si>
  <si>
    <t xml:space="preserve">Dimanche</t>
  </si>
  <si>
    <t xml:space="preserve">salade verte</t>
  </si>
  <si>
    <t xml:space="preserve">escalope milanaise</t>
  </si>
  <si>
    <t xml:space="preserve">semoule</t>
  </si>
  <si>
    <t xml:space="preserve">carottes rapées</t>
  </si>
  <si>
    <t xml:space="preserve">dos de colin meunière</t>
  </si>
  <si>
    <t xml:space="preserve">rapé de pomme de terre</t>
  </si>
  <si>
    <t xml:space="preserve">semaine 2</t>
  </si>
  <si>
    <t xml:space="preserve">Sauté de Lapin</t>
  </si>
  <si>
    <t xml:space="preserve">Salade de Perles</t>
  </si>
  <si>
    <t xml:space="preserve">Endives au Jambon</t>
  </si>
  <si>
    <t xml:space="preserve">Salade Coleslow</t>
  </si>
  <si>
    <t xml:space="preserve">Haricots blanc</t>
  </si>
  <si>
    <t xml:space="preserve">Escalope dinde</t>
  </si>
  <si>
    <t xml:space="preserve">gratin de potimarron</t>
  </si>
  <si>
    <t xml:space="preserve">Macédoine de Légumes</t>
  </si>
  <si>
    <t xml:space="preserve">Salade de Chou Chinois</t>
  </si>
  <si>
    <t xml:space="preserve">Saucisse</t>
  </si>
  <si>
    <t xml:space="preserve">Potage de Féculents</t>
  </si>
  <si>
    <t xml:space="preserve">Œuf béchamel</t>
  </si>
  <si>
    <t xml:space="preserve">Mousse de Canard</t>
  </si>
  <si>
    <t xml:space="preserve">Saumon</t>
  </si>
  <si>
    <t xml:space="preserve">Chou Romanesco</t>
  </si>
  <si>
    <t xml:space="preserve">Carottes Rapées</t>
  </si>
  <si>
    <t xml:space="preserve">Flecque</t>
  </si>
  <si>
    <t xml:space="preserve">Pates Carbonara</t>
  </si>
  <si>
    <t xml:space="preserve">Rôti de Veau</t>
  </si>
  <si>
    <t xml:space="preserve">Salade de Riz</t>
  </si>
  <si>
    <t xml:space="preserve">maquereaux</t>
  </si>
  <si>
    <t xml:space="preserve">Poelée de légumes</t>
  </si>
  <si>
    <t xml:space="preserve">semaine 3</t>
  </si>
  <si>
    <t xml:space="preserve">Tranche de Jambon Cru</t>
  </si>
  <si>
    <t xml:space="preserve">Pavé de Poisson</t>
  </si>
  <si>
    <t xml:space="preserve">Epinards à la crème</t>
  </si>
  <si>
    <t xml:space="preserve">Avocat</t>
  </si>
  <si>
    <t xml:space="preserve">Pot au feu</t>
  </si>
  <si>
    <t xml:space="preserve">Pâtess Bolognaise</t>
  </si>
  <si>
    <t xml:space="preserve">Sûprèmes de Volaille</t>
  </si>
  <si>
    <t xml:space="preserve">Petit Pois</t>
  </si>
  <si>
    <t xml:space="preserve">Langue de Bœuf Sauce Piquante</t>
  </si>
  <si>
    <t xml:space="preserve">Côtes de Blette</t>
  </si>
  <si>
    <t xml:space="preserve">Salade d'Endives</t>
  </si>
  <si>
    <t xml:space="preserve">Choucroute</t>
  </si>
  <si>
    <t xml:space="preserve">Carottes Persillées</t>
  </si>
  <si>
    <t xml:space="preserve">Salade Mexicaine</t>
  </si>
  <si>
    <t xml:space="preserve">Haricots vert</t>
  </si>
  <si>
    <t xml:space="preserve">Quiche</t>
  </si>
  <si>
    <t xml:space="preserve">Pâtess</t>
  </si>
  <si>
    <t xml:space="preserve">Escalope de Veau</t>
  </si>
  <si>
    <t xml:space="preserve">Pomme de Terre boulangère</t>
  </si>
  <si>
    <t xml:space="preserve">Nugget's poulet</t>
  </si>
  <si>
    <t xml:space="preserve">Paupiette de Volaille</t>
  </si>
  <si>
    <t xml:space="preserve">Betteraves</t>
  </si>
  <si>
    <t xml:space="preserve">Pomme de terre Duchesse</t>
  </si>
  <si>
    <t xml:space="preserve">semaine 4</t>
  </si>
  <si>
    <t xml:space="preserve">Escalope de Porc</t>
  </si>
  <si>
    <t xml:space="preserve">Petit Pois/Carotte</t>
  </si>
  <si>
    <t xml:space="preserve">Salade Verte</t>
  </si>
  <si>
    <t xml:space="preserve">omelette</t>
  </si>
  <si>
    <t xml:space="preserve">Pomme de terre sautées</t>
  </si>
  <si>
    <t xml:space="preserve">Steack de bœuf</t>
  </si>
  <si>
    <t xml:space="preserve">roti de dinde</t>
  </si>
  <si>
    <t xml:space="preserve">Salade de pois chiche</t>
  </si>
  <si>
    <t xml:space="preserve">Chou Farçi</t>
  </si>
  <si>
    <t xml:space="preserve">Potage de legumes</t>
  </si>
  <si>
    <t xml:space="preserve">Hachis Parmentier</t>
  </si>
  <si>
    <t xml:space="preserve">rosette</t>
  </si>
  <si>
    <t xml:space="preserve">Dos de Cabillaud</t>
  </si>
  <si>
    <t xml:space="preserve">Fondue de Poireaux</t>
  </si>
  <si>
    <t xml:space="preserve">boulettes</t>
  </si>
  <si>
    <t xml:space="preserve">perles</t>
  </si>
  <si>
    <t xml:space="preserve">celeri rémoulade</t>
  </si>
  <si>
    <t xml:space="preserve">Navarin</t>
  </si>
  <si>
    <t xml:space="preserve">Paté de campagne</t>
  </si>
  <si>
    <t xml:space="preserve">feuilleté</t>
  </si>
  <si>
    <t xml:space="preserve">cuisse de poulet</t>
  </si>
  <si>
    <t xml:space="preserve">haricots vert</t>
  </si>
  <si>
    <t xml:space="preserve">salade chou fleur</t>
  </si>
  <si>
    <t xml:space="preserve">Dos de colin Bordelaise</t>
  </si>
  <si>
    <t xml:space="preserve">pomme dauphine</t>
  </si>
  <si>
    <t xml:space="preserve">semaine 5</t>
  </si>
  <si>
    <t xml:space="preserve">Pâté en Croûte</t>
  </si>
  <si>
    <t xml:space="preserve">Chou de Bruxelles</t>
  </si>
  <si>
    <t xml:space="preserve">Poireaux en Vinaigrette</t>
  </si>
  <si>
    <t xml:space="preserve">Poisson Pané</t>
  </si>
  <si>
    <t xml:space="preserve">Pomme de Terre Rissolées</t>
  </si>
  <si>
    <t xml:space="preserve">Aiguillettes de Poulet aux Cèpes</t>
  </si>
  <si>
    <t xml:space="preserve">poisson</t>
  </si>
  <si>
    <t xml:space="preserve">haricots Plat</t>
  </si>
  <si>
    <t xml:space="preserve">Salade de Lentilles</t>
  </si>
  <si>
    <t xml:space="preserve">Boudin Noir</t>
  </si>
  <si>
    <t xml:space="preserve">Pommes Caramélisées</t>
  </si>
  <si>
    <t xml:space="preserve">Epinards Florentine</t>
  </si>
  <si>
    <t xml:space="preserve">Salade Haricots Beurre</t>
  </si>
  <si>
    <t xml:space="preserve">flammenkueche</t>
  </si>
  <si>
    <t xml:space="preserve">macédoine</t>
  </si>
  <si>
    <t xml:space="preserve">Terrine de Campagne</t>
  </si>
  <si>
    <t xml:space="preserve">Sauté de Dinde</t>
  </si>
  <si>
    <t xml:space="preserve">jambonnette</t>
  </si>
  <si>
    <t xml:space="preserve">Rostis</t>
  </si>
  <si>
    <t xml:space="preserve">Salade de Betteraves</t>
  </si>
  <si>
    <t xml:space="preserve">Rosbeef</t>
  </si>
  <si>
    <t xml:space="preserve">Pâtess au chorizo</t>
  </si>
  <si>
    <t xml:space="preserve">semaine 6</t>
  </si>
  <si>
    <t xml:space="preserve">Gratin de Chou Fleur</t>
  </si>
  <si>
    <t xml:space="preserve">crêpe salé</t>
  </si>
  <si>
    <t xml:space="preserve">Crêpe sucré</t>
  </si>
  <si>
    <t xml:space="preserve">Œuf Mayonnaise</t>
  </si>
  <si>
    <t xml:space="preserve">Sauté de Veau</t>
  </si>
  <si>
    <t xml:space="preserve">Haricot Vert</t>
  </si>
  <si>
    <t xml:space="preserve">tête de veau</t>
  </si>
  <si>
    <t xml:space="preserve">P De Terre vapeur</t>
  </si>
  <si>
    <t xml:space="preserve">Cordon Bleu</t>
  </si>
  <si>
    <t xml:space="preserve">Chou Brocolis</t>
  </si>
  <si>
    <t xml:space="preserve">Terrine de Légumes</t>
  </si>
  <si>
    <t xml:space="preserve">Quenelle de Volailles</t>
  </si>
  <si>
    <t xml:space="preserve">Salade de Pâtess</t>
  </si>
  <si>
    <t xml:space="preserve">roti de Porc</t>
  </si>
  <si>
    <t xml:space="preserve">Lasagne au Bœuf</t>
  </si>
  <si>
    <t xml:space="preserve">Daube</t>
  </si>
  <si>
    <t xml:space="preserve">Dos de Colin Meunière</t>
  </si>
  <si>
    <t xml:space="preserve">Rapé de Pomme de Terre</t>
  </si>
  <si>
    <t xml:space="preserve">semaine 7</t>
  </si>
  <si>
    <t xml:space="preserve">semaine 8</t>
  </si>
  <si>
    <t xml:space="preserve">Paupiette de Veau</t>
  </si>
  <si>
    <t xml:space="preserve">rosti</t>
  </si>
  <si>
    <t xml:space="preserve">semaine 9 </t>
  </si>
  <si>
    <t xml:space="preserve">Lasagne</t>
  </si>
  <si>
    <t xml:space="preserve">Salade de betteraves</t>
  </si>
  <si>
    <t xml:space="preserve">Celeri rémoulade</t>
  </si>
  <si>
    <t xml:space="preserve">Saucisses</t>
  </si>
  <si>
    <t xml:space="preserve">semaine 10</t>
  </si>
  <si>
    <t xml:space="preserve">Pomme de Terre sauté</t>
  </si>
  <si>
    <t xml:space="preserve">semaine 11</t>
  </si>
  <si>
    <t xml:space="preserve">Avocat Mayonnaise</t>
  </si>
  <si>
    <t xml:space="preserve">semaine 12</t>
  </si>
  <si>
    <t xml:space="preserve">semaine 13</t>
  </si>
  <si>
    <t xml:space="preserve">semaine 14</t>
  </si>
  <si>
    <t xml:space="preserve">Fruit Cuit</t>
  </si>
  <si>
    <t xml:space="preserve">semaine 15</t>
  </si>
  <si>
    <t xml:space="preserve">Tournedos</t>
  </si>
  <si>
    <t xml:space="preserve">Purée patate douce</t>
  </si>
  <si>
    <t xml:space="preserve">Salade de pâtes composé</t>
  </si>
  <si>
    <t xml:space="preserve">Calamar</t>
  </si>
  <si>
    <t xml:space="preserve">Croque monsieur</t>
  </si>
  <si>
    <t xml:space="preserve">Salade pomme de terre</t>
  </si>
  <si>
    <t xml:space="preserve">Flan de légume</t>
  </si>
  <si>
    <t xml:space="preserve">Macédoine</t>
  </si>
  <si>
    <t xml:space="preserve">Jambon braiser</t>
  </si>
  <si>
    <t xml:space="preserve">rösti</t>
  </si>
  <si>
    <t xml:space="preserve">Carottes Rapée</t>
  </si>
  <si>
    <t xml:space="preserve">Bourguignon</t>
  </si>
  <si>
    <t xml:space="preserve">Pâtes</t>
  </si>
  <si>
    <t xml:space="preserve">Carbonade artichaud</t>
  </si>
  <si>
    <t xml:space="preserve">Poisson</t>
  </si>
  <si>
    <t xml:space="preserve">Gnocchi</t>
  </si>
  <si>
    <t xml:space="preserve">Crêpe</t>
  </si>
  <si>
    <t xml:space="preserve">Petite salée</t>
  </si>
  <si>
    <t xml:space="preserve">semaine 16</t>
  </si>
  <si>
    <t xml:space="preserve">Cuisse de lapin</t>
  </si>
  <si>
    <t xml:space="preserve">salsifis</t>
  </si>
  <si>
    <t xml:space="preserve">Pates</t>
  </si>
  <si>
    <t xml:space="preserve">Tête de veau</t>
  </si>
  <si>
    <t xml:space="preserve">Pomme de terre</t>
  </si>
  <si>
    <t xml:space="preserve">Carotte</t>
  </si>
  <si>
    <t xml:space="preserve">Asperge</t>
  </si>
  <si>
    <t xml:space="preserve">Râpé de courgette</t>
  </si>
  <si>
    <t xml:space="preserve">Quenelle</t>
  </si>
  <si>
    <t xml:space="preserve">Lasagne saumon épinard</t>
  </si>
  <si>
    <t xml:space="preserve">Jambon a la russe</t>
  </si>
  <si>
    <t xml:space="preserve">Salade de choux fleur</t>
  </si>
  <si>
    <t xml:space="preserve">Salade pois chiche</t>
  </si>
  <si>
    <t xml:space="preserve">Rosbeef froid</t>
  </si>
  <si>
    <t xml:space="preserve">Salade de pate</t>
  </si>
  <si>
    <t xml:space="preserve">Flan de blette</t>
  </si>
  <si>
    <t xml:space="preserve">Bouché a la reine</t>
  </si>
  <si>
    <t xml:space="preserve">semaine 17</t>
  </si>
  <si>
    <t xml:space="preserve">Choux brocolis</t>
  </si>
  <si>
    <t xml:space="preserve">Salade haricots vert</t>
  </si>
  <si>
    <t xml:space="preserve">Pomme de terre rissolé</t>
  </si>
  <si>
    <t xml:space="preserve">Jambon picard</t>
  </si>
  <si>
    <t xml:space="preserve">Salade de pomme de terre</t>
  </si>
  <si>
    <t xml:space="preserve">Tomate provençal</t>
  </si>
  <si>
    <t xml:space="preserve">Carotte râpé</t>
  </si>
  <si>
    <t xml:space="preserve">Chipolata</t>
  </si>
  <si>
    <t xml:space="preserve">Lentille</t>
  </si>
  <si>
    <t xml:space="preserve">Tarte à la tomate et chèvre</t>
  </si>
  <si>
    <t xml:space="preserve">Nuggets</t>
  </si>
  <si>
    <t xml:space="preserve">Poêle campagnarde</t>
  </si>
  <si>
    <t xml:space="preserve">Fondu de poireaux</t>
  </si>
  <si>
    <t xml:space="preserve">Boulette de bœuf</t>
  </si>
  <si>
    <t xml:space="preserve">Salade de betterave-maïs</t>
  </si>
  <si>
    <t xml:space="preserve">Pomme de terre vapeur</t>
  </si>
  <si>
    <t xml:space="preserve">Tomate farcie</t>
  </si>
  <si>
    <t xml:space="preserve">Navarin agneau</t>
  </si>
  <si>
    <t xml:space="preserve">Flageolet</t>
  </si>
  <si>
    <t xml:space="preserve">Salade césar</t>
  </si>
  <si>
    <t xml:space="preserve">Crêpe au champignon</t>
  </si>
  <si>
    <t xml:space="preserve">semaine 18</t>
  </si>
  <si>
    <t xml:space="preserve">Blanc de poulet</t>
  </si>
  <si>
    <t xml:space="preserve">Haricots plat</t>
  </si>
  <si>
    <t xml:space="preserve">Macédoine de légume</t>
  </si>
  <si>
    <t xml:space="preserve">Frite</t>
  </si>
  <si>
    <t xml:space="preserve">Choux rouge</t>
  </si>
  <si>
    <t xml:space="preserve">Trippes</t>
  </si>
  <si>
    <t xml:space="preserve">Sot l'y laisse de dinde</t>
  </si>
  <si>
    <t xml:space="preserve">Oeuf mayo</t>
  </si>
  <si>
    <t xml:space="preserve">Gratin de courgette a la viande</t>
  </si>
  <si>
    <t xml:space="preserve">Filet de dorade</t>
  </si>
  <si>
    <t xml:space="preserve">riz</t>
  </si>
  <si>
    <t xml:space="preserve">Escalope de volaille</t>
  </si>
  <si>
    <t xml:space="preserve">Salade de tomate</t>
  </si>
  <si>
    <t xml:space="preserve">Flan blette</t>
  </si>
  <si>
    <t xml:space="preserve">Salade de betterave</t>
  </si>
  <si>
    <t xml:space="preserve">Gratin de pate au jambon</t>
  </si>
  <si>
    <t xml:space="preserve">semaine 19</t>
  </si>
  <si>
    <t xml:space="preserve">Couscous et</t>
  </si>
  <si>
    <t xml:space="preserve">ses légumes</t>
  </si>
  <si>
    <t xml:space="preserve">Endive au jambon</t>
  </si>
  <si>
    <t xml:space="preserve">Pommes de terre sautées</t>
  </si>
  <si>
    <t xml:space="preserve">Cèleri rémoulade</t>
  </si>
  <si>
    <t xml:space="preserve">Poisson bordelaise</t>
  </si>
  <si>
    <t xml:space="preserve">Epinard a la florentine</t>
  </si>
  <si>
    <t xml:space="preserve">Terrine tomate mozzarella basilic</t>
  </si>
  <si>
    <t xml:space="preserve">Dos de loup</t>
  </si>
  <si>
    <t xml:space="preserve">Salade composé</t>
  </si>
  <si>
    <t xml:space="preserve">Filet mignon de porc</t>
  </si>
  <si>
    <t xml:space="preserve">donuts poulet</t>
  </si>
  <si>
    <t xml:space="preserve">Poêle de légumes</t>
  </si>
  <si>
    <t xml:space="preserve">Coquille saint jacques</t>
  </si>
  <si>
    <t xml:space="preserve">Hachis Parmentier de canard</t>
  </si>
  <si>
    <t xml:space="preserve">cassoulet</t>
  </si>
  <si>
    <t xml:space="preserve">semaine 20</t>
  </si>
  <si>
    <t xml:space="preserve">saucisse sèche</t>
  </si>
  <si>
    <t xml:space="preserve">escalope de porc</t>
  </si>
  <si>
    <t xml:space="preserve">fruit</t>
  </si>
  <si>
    <t xml:space="preserve">Roti de dinde</t>
  </si>
  <si>
    <t xml:space="preserve">Fraise</t>
  </si>
  <si>
    <t xml:space="preserve">semaine 21</t>
  </si>
  <si>
    <t xml:space="preserve">courgette farcie</t>
  </si>
  <si>
    <t xml:space="preserve">panseta</t>
  </si>
  <si>
    <t xml:space="preserve">croque monsieur</t>
  </si>
  <si>
    <t xml:space="preserve">betterave</t>
  </si>
  <si>
    <t xml:space="preserve">rostie</t>
  </si>
  <si>
    <t xml:space="preserve">semaine 22</t>
  </si>
  <si>
    <t xml:space="preserve">coquille saint jacques</t>
  </si>
  <si>
    <t xml:space="preserve">supreme de vollaile</t>
  </si>
  <si>
    <t xml:space="preserve">perle</t>
  </si>
  <si>
    <t xml:space="preserve">Tarte meditéraenne</t>
  </si>
  <si>
    <t xml:space="preserve">croque monsieur ou bouché a la reine</t>
  </si>
  <si>
    <t xml:space="preserve">cordon bleu</t>
  </si>
  <si>
    <t xml:space="preserve">gratin d'auphinois</t>
  </si>
  <si>
    <t xml:space="preserve">boulette de bœuf</t>
  </si>
  <si>
    <t xml:space="preserve">carotte</t>
  </si>
  <si>
    <t xml:space="preserve">roti de porc</t>
  </si>
  <si>
    <t xml:space="preserve">Salade</t>
  </si>
  <si>
    <t xml:space="preserve">semaine 23</t>
  </si>
  <si>
    <t xml:space="preserve">blanquette de veau</t>
  </si>
  <si>
    <t xml:space="preserve">pate</t>
  </si>
  <si>
    <t xml:space="preserve">steack</t>
  </si>
  <si>
    <t xml:space="preserve">salade haricots vert</t>
  </si>
  <si>
    <t xml:space="preserve">pomme de terre vapeur</t>
  </si>
  <si>
    <t xml:space="preserve">Sardine</t>
  </si>
  <si>
    <t xml:space="preserve">mache accompagné tartine chévre</t>
  </si>
  <si>
    <t xml:space="preserve">sourie agneaux</t>
  </si>
  <si>
    <t xml:space="preserve">pomme de terre grenaille</t>
  </si>
  <si>
    <t xml:space="preserve">cheesecake mangue</t>
  </si>
  <si>
    <t xml:space="preserve">donut poulet</t>
  </si>
  <si>
    <t xml:space="preserve">lasagne</t>
  </si>
  <si>
    <t xml:space="preserve">courgette</t>
  </si>
  <si>
    <t xml:space="preserve">brandade de morru</t>
  </si>
  <si>
    <t xml:space="preserve">semaine 24</t>
  </si>
  <si>
    <t xml:space="preserve">quenelle</t>
  </si>
  <si>
    <t xml:space="preserve">petit pois</t>
  </si>
  <si>
    <t xml:space="preserve">Dos de colin</t>
  </si>
  <si>
    <t xml:space="preserve">tourte champignion</t>
  </si>
  <si>
    <t xml:space="preserve">Hachi Parmentier de canard</t>
  </si>
  <si>
    <t xml:space="preserve">lasagne saumon</t>
  </si>
  <si>
    <t xml:space="preserve">semaine 25</t>
  </si>
  <si>
    <t xml:space="preserve">Pâtes bolo</t>
  </si>
  <si>
    <t xml:space="preserve">tomate farci</t>
  </si>
  <si>
    <t xml:space="preserve">purée</t>
  </si>
  <si>
    <t xml:space="preserve">Boulette</t>
  </si>
  <si>
    <t xml:space="preserve">Feuillantine comtoise</t>
  </si>
  <si>
    <t xml:space="preserve">semaine 26</t>
  </si>
  <si>
    <t xml:space="preserve">filet de poulet</t>
  </si>
  <si>
    <t xml:space="preserve">coquillette</t>
  </si>
  <si>
    <t xml:space="preserve">tourte champignon</t>
  </si>
  <si>
    <t xml:space="preserve">semaine 27</t>
  </si>
  <si>
    <t xml:space="preserve">Hambuger</t>
  </si>
  <si>
    <t xml:space="preserve">frite</t>
  </si>
  <si>
    <t xml:space="preserve">semaine 28</t>
  </si>
  <si>
    <t xml:space="preserve">salade de pois chiche</t>
  </si>
  <si>
    <t xml:space="preserve">escalope de volaile</t>
  </si>
  <si>
    <t xml:space="preserve">choux fleur</t>
  </si>
  <si>
    <t xml:space="preserve">Ravioli</t>
  </si>
  <si>
    <t xml:space="preserve">Moule</t>
  </si>
  <si>
    <t xml:space="preserve">œuf mayo</t>
  </si>
  <si>
    <t xml:space="preserve">tomate provencal</t>
  </si>
  <si>
    <t xml:space="preserve">Betterave</t>
  </si>
  <si>
    <t xml:space="preserve">gratin de cougettes a la viande</t>
  </si>
  <si>
    <t xml:space="preserve">Pastéque</t>
  </si>
  <si>
    <t xml:space="preserve">sauté de poulet</t>
  </si>
  <si>
    <t xml:space="preserve">haricots blanc</t>
  </si>
  <si>
    <t xml:space="preserve">lentille</t>
  </si>
  <si>
    <t xml:space="preserve">Ratatouilles</t>
  </si>
  <si>
    <t xml:space="preserve">Tomate a la russe ,salade</t>
  </si>
  <si>
    <t xml:space="preserve">taboulé</t>
  </si>
  <si>
    <t xml:space="preserve">rôtis de bœuf</t>
  </si>
  <si>
    <t xml:space="preserve">melon</t>
  </si>
  <si>
    <t xml:space="preserve">paupiette de volaille</t>
  </si>
  <si>
    <t xml:space="preserve">Banane</t>
  </si>
  <si>
    <t xml:space="preserve">mache</t>
  </si>
  <si>
    <t xml:space="preserve">langue de bœuf</t>
  </si>
  <si>
    <t xml:space="preserve">pomme de terre</t>
  </si>
  <si>
    <t xml:space="preserve">salade de riz</t>
  </si>
  <si>
    <t xml:space="preserve">Rôtis de porc froid</t>
  </si>
  <si>
    <t xml:space="preserve">semaine 29</t>
  </si>
  <si>
    <t xml:space="preserve">salade de tomate</t>
  </si>
  <si>
    <t xml:space="preserve">steack de bœuf</t>
  </si>
  <si>
    <t xml:space="preserve">salade ebly</t>
  </si>
  <si>
    <t xml:space="preserve">Tender de colin d'Alaska</t>
  </si>
  <si>
    <t xml:space="preserve">haricots beurre</t>
  </si>
  <si>
    <t xml:space="preserve">magret de canard</t>
  </si>
  <si>
    <t xml:space="preserve">pomme de terre sauté</t>
  </si>
  <si>
    <t xml:space="preserve">Salade composée</t>
  </si>
  <si>
    <t xml:space="preserve">Bouché a le reine</t>
  </si>
  <si>
    <t xml:space="preserve">Paté au olive</t>
  </si>
  <si>
    <t xml:space="preserve">saucisse</t>
  </si>
  <si>
    <t xml:space="preserve">carotte rapées</t>
  </si>
  <si>
    <t xml:space="preserve">parmentier de canard</t>
  </si>
  <si>
    <t xml:space="preserve">escalope de veau</t>
  </si>
  <si>
    <t xml:space="preserve">pâte</t>
  </si>
  <si>
    <t xml:space="preserve">salade pois chiche</t>
  </si>
  <si>
    <t xml:space="preserve">brochette de volaille</t>
  </si>
  <si>
    <t xml:space="preserve">brocolis</t>
  </si>
  <si>
    <t xml:space="preserve">salade artichaut</t>
  </si>
  <si>
    <t xml:space="preserve">blette</t>
  </si>
  <si>
    <t xml:space="preserve">poireaux vinaigrette</t>
  </si>
  <si>
    <t xml:space="preserve">pate carbonara</t>
  </si>
  <si>
    <t xml:space="preserve">brochette de bœuf</t>
  </si>
  <si>
    <t xml:space="preserve">tenders de poulet</t>
  </si>
  <si>
    <t xml:space="preserve">terrine de legume</t>
  </si>
  <si>
    <t xml:space="preserve">sauté de porc</t>
  </si>
  <si>
    <t xml:space="preserve">semaine 30</t>
  </si>
  <si>
    <t xml:space="preserve">Paté croute</t>
  </si>
  <si>
    <t xml:space="preserve">poulet basquaise</t>
  </si>
  <si>
    <t xml:space="preserve">Tomate mozza</t>
  </si>
  <si>
    <t xml:space="preserve">kebab</t>
  </si>
  <si>
    <t xml:space="preserve">salade de perle</t>
  </si>
  <si>
    <t xml:space="preserve">courgette farci</t>
  </si>
  <si>
    <t xml:space="preserve">roosbeef</t>
  </si>
  <si>
    <t xml:space="preserve">carotte vichy</t>
  </si>
  <si>
    <t xml:space="preserve">rapé de courgette</t>
  </si>
  <si>
    <t xml:space="preserve">poisson pané</t>
  </si>
  <si>
    <t xml:space="preserve">salade de pomme de terre</t>
  </si>
  <si>
    <t xml:space="preserve">fondu de poiraux</t>
  </si>
  <si>
    <t xml:space="preserve">salade</t>
  </si>
  <si>
    <t xml:space="preserve">jambon de pays</t>
  </si>
  <si>
    <t xml:space="preserve">sauté de veau</t>
  </si>
  <si>
    <t xml:space="preserve">pates</t>
  </si>
  <si>
    <t xml:space="preserve">œuf dur</t>
  </si>
  <si>
    <t xml:space="preserve">épinard</t>
  </si>
  <si>
    <t xml:space="preserve">ratatouille</t>
  </si>
  <si>
    <t xml:space="preserve">salade de choux fleur</t>
  </si>
  <si>
    <t xml:space="preserve">cannelonie</t>
  </si>
  <si>
    <t xml:space="preserve">semaine 31</t>
  </si>
  <si>
    <t xml:space="preserve">pâté campagne</t>
  </si>
  <si>
    <t xml:space="preserve">poisson bordelaise</t>
  </si>
  <si>
    <t xml:space="preserve">champignon a la grec</t>
  </si>
  <si>
    <t xml:space="preserve">gratin dauphinois</t>
  </si>
  <si>
    <t xml:space="preserve">religieuse</t>
  </si>
  <si>
    <t xml:space="preserve">choux farci</t>
  </si>
  <si>
    <t xml:space="preserve">coleslaw</t>
  </si>
  <si>
    <t xml:space="preserve">salade de pates</t>
  </si>
  <si>
    <t xml:space="preserve">rosbeef froid</t>
  </si>
  <si>
    <t xml:space="preserve">quiche</t>
  </si>
  <si>
    <t xml:space="preserve">courgette farcie ronde</t>
  </si>
  <si>
    <t xml:space="preserve">cèleri rémoulade</t>
  </si>
  <si>
    <t xml:space="preserve">feuilleté franc comtois</t>
  </si>
  <si>
    <t xml:space="preserve">dos de cabillaud</t>
  </si>
  <si>
    <t xml:space="preserve">haricots plats</t>
  </si>
  <si>
    <t xml:space="preserve">salade de lentille</t>
  </si>
  <si>
    <t xml:space="preserve">brochette volaille</t>
  </si>
  <si>
    <t xml:space="preserve">jardinière de légumes</t>
  </si>
  <si>
    <t xml:space="preserve">hachi parmentier</t>
  </si>
  <si>
    <t xml:space="preserve">tripes</t>
  </si>
  <si>
    <t xml:space="preserve">tarte framboise</t>
  </si>
  <si>
    <t xml:space="preserve">carotte râpé</t>
  </si>
  <si>
    <t xml:space="preserve">bouchée a la reine</t>
  </si>
  <si>
    <t xml:space="preserve">semaine 32</t>
  </si>
  <si>
    <t xml:space="preserve">saucisse séche</t>
  </si>
  <si>
    <t xml:space="preserve">nems</t>
  </si>
  <si>
    <t xml:space="preserve">porc au caramel</t>
  </si>
  <si>
    <t xml:space="preserve">nouille chinoise</t>
  </si>
  <si>
    <t xml:space="preserve">dessert</t>
  </si>
  <si>
    <t xml:space="preserve">poele de legume</t>
  </si>
  <si>
    <t xml:space="preserve">sardine</t>
  </si>
  <si>
    <t xml:space="preserve">blanc de poulet</t>
  </si>
  <si>
    <t xml:space="preserve">celerie remoulade</t>
  </si>
  <si>
    <t xml:space="preserve">jambon blanc</t>
  </si>
  <si>
    <t xml:space="preserve">gardianne</t>
  </si>
  <si>
    <t xml:space="preserve">salade mexicaine</t>
  </si>
  <si>
    <t xml:space="preserve">roti de veau</t>
  </si>
  <si>
    <t xml:space="preserve">poele de champignion</t>
  </si>
  <si>
    <t xml:space="preserve">Anneaux Encornet</t>
  </si>
  <si>
    <t xml:space="preserve">salade de pate</t>
  </si>
  <si>
    <t xml:space="preserve">roti de porc froid</t>
  </si>
  <si>
    <t xml:space="preserve">coleslo</t>
  </si>
  <si>
    <t xml:space="preserve">brochette</t>
  </si>
  <si>
    <t xml:space="preserve">pastéque</t>
  </si>
  <si>
    <t xml:space="preserve">sauté de lapin</t>
  </si>
  <si>
    <t xml:space="preserve">semaine 33</t>
  </si>
  <si>
    <t xml:space="preserve">tomate</t>
  </si>
  <si>
    <t xml:space="preserve">carotte rapé</t>
  </si>
  <si>
    <t xml:space="preserve">brandade</t>
  </si>
  <si>
    <t xml:space="preserve">semaine 34</t>
  </si>
  <si>
    <t xml:space="preserve">salade piémontaise</t>
  </si>
  <si>
    <t xml:space="preserve">Aubergine farcie</t>
  </si>
  <si>
    <t xml:space="preserve">nugets</t>
  </si>
  <si>
    <t xml:space="preserve">haricots verts</t>
  </si>
  <si>
    <t xml:space="preserve">salade penne poulet</t>
  </si>
  <si>
    <t xml:space="preserve">semaine 35</t>
  </si>
  <si>
    <t xml:space="preserve">steack haché</t>
  </si>
  <si>
    <t xml:space="preserve">truffade cantal</t>
  </si>
  <si>
    <t xml:space="preserve">Tarte ognion</t>
  </si>
  <si>
    <t xml:space="preserve">rotis de veau</t>
  </si>
  <si>
    <t xml:space="preserve">Flan d'asperge carotte</t>
  </si>
  <si>
    <t xml:space="preserve">Salade crétoise à la fêta</t>
  </si>
  <si>
    <t xml:space="preserve">poelé de legume</t>
  </si>
  <si>
    <t xml:space="preserve">Hachi parmentier</t>
  </si>
  <si>
    <t xml:space="preserve">semaine 36</t>
  </si>
  <si>
    <t xml:space="preserve">paté campagne</t>
  </si>
  <si>
    <t xml:space="preserve">ommelette piperade</t>
  </si>
  <si>
    <t xml:space="preserve">asperge</t>
  </si>
  <si>
    <t xml:space="preserve">sauté de volaille</t>
  </si>
  <si>
    <t xml:space="preserve">pizza</t>
  </si>
  <si>
    <t xml:space="preserve">gigot agneaux</t>
  </si>
  <si>
    <t xml:space="preserve">choux romanesco</t>
  </si>
  <si>
    <t xml:space="preserve">tomate antiboise</t>
  </si>
  <si>
    <t xml:space="preserve">feuillé francomtois</t>
  </si>
  <si>
    <t xml:space="preserve">poireaux vignairette</t>
  </si>
  <si>
    <t xml:space="preserve">saumon</t>
  </si>
  <si>
    <t xml:space="preserve">jardiniére de legume</t>
  </si>
  <si>
    <t xml:space="preserve">pate a la bolo</t>
  </si>
  <si>
    <t xml:space="preserve">trippe</t>
  </si>
  <si>
    <t xml:space="preserve">carrotte rapé</t>
  </si>
  <si>
    <t xml:space="preserve">bouchee a la reine</t>
  </si>
  <si>
    <t xml:space="preserve">semaine 37</t>
  </si>
  <si>
    <t xml:space="preserve">pois chiche</t>
  </si>
  <si>
    <t xml:space="preserve">epinard</t>
  </si>
  <si>
    <t xml:space="preserve">semaine 38</t>
  </si>
  <si>
    <t xml:space="preserve">légume farcie</t>
  </si>
  <si>
    <t xml:space="preserve">Hachi parmentier canard</t>
  </si>
  <si>
    <t xml:space="preserve">crepe</t>
  </si>
  <si>
    <t xml:space="preserve">saussice</t>
  </si>
  <si>
    <t xml:space="preserve">tomate macedoine salade</t>
  </si>
  <si>
    <t xml:space="preserve">Rôtis de porc</t>
  </si>
  <si>
    <t xml:space="preserve">poelee de legumes</t>
  </si>
  <si>
    <t xml:space="preserve">semaine 39</t>
  </si>
  <si>
    <t xml:space="preserve">sauté de volaile</t>
  </si>
  <si>
    <t xml:space="preserve">Chou Fleur</t>
  </si>
  <si>
    <t xml:space="preserve">gaudiveau</t>
  </si>
  <si>
    <t xml:space="preserve">cote de blette</t>
  </si>
  <si>
    <t xml:space="preserve">Steack de Bœuf</t>
  </si>
  <si>
    <t xml:space="preserve">salade pémontaise</t>
  </si>
  <si>
    <t xml:space="preserve">poelé legumes</t>
  </si>
  <si>
    <t xml:space="preserve">carotte a créme</t>
  </si>
  <si>
    <t xml:space="preserve">Salade de Pâtes</t>
  </si>
  <si>
    <t xml:space="preserve">Mesclun</t>
  </si>
  <si>
    <t xml:space="preserve">tarte a l'oignon</t>
  </si>
  <si>
    <t xml:space="preserve">fish and ships</t>
  </si>
  <si>
    <t xml:space="preserve">semaine 40</t>
  </si>
  <si>
    <t xml:space="preserve">Maédoine</t>
  </si>
  <si>
    <t xml:space="preserve">PDT, carottes, poireaux</t>
  </si>
  <si>
    <t xml:space="preserve">Steack haché</t>
  </si>
  <si>
    <t xml:space="preserve">Salade verte composée</t>
  </si>
  <si>
    <t xml:space="preserve">Écrasé de pommes de terre</t>
  </si>
  <si>
    <t xml:space="preserve">Paupiette de veau</t>
  </si>
  <si>
    <t xml:space="preserve">Terrine de campagne</t>
  </si>
  <si>
    <t xml:space="preserve">Suprême de poulet</t>
  </si>
  <si>
    <t xml:space="preserve">semaine 41</t>
  </si>
  <si>
    <t xml:space="preserve">Jambon de pays</t>
  </si>
  <si>
    <t xml:space="preserve">Gratin de courge</t>
  </si>
  <si>
    <t xml:space="preserve">Salade de choux rouge aux pommes</t>
  </si>
  <si>
    <t xml:space="preserve">Rosti</t>
  </si>
  <si>
    <t xml:space="preserve">Salade de lentilles vinaigrette</t>
  </si>
  <si>
    <t xml:space="preserve">Bourgignon</t>
  </si>
  <si>
    <t xml:space="preserve">Chou-fleur</t>
  </si>
  <si>
    <t xml:space="preserve">Riz safrané</t>
  </si>
  <si>
    <t xml:space="preserve">Escalope à l'italienne</t>
  </si>
  <si>
    <t xml:space="preserve">Rôti de bœuf sauce au poivre</t>
  </si>
  <si>
    <t xml:space="preserve">Gratin de pommes de terre</t>
  </si>
  <si>
    <t xml:space="preserve">Crêpes salées</t>
  </si>
  <si>
    <t xml:space="preserve">semaine 42</t>
  </si>
  <si>
    <t xml:space="preserve">carotte rapée</t>
  </si>
  <si>
    <t xml:space="preserve">Pomme de terre farcie</t>
  </si>
  <si>
    <t xml:space="preserve">Salade de fruit</t>
  </si>
  <si>
    <t xml:space="preserve">Salade de pommes de terre à l'échalote</t>
  </si>
  <si>
    <t xml:space="preserve">Épinards en branches</t>
  </si>
  <si>
    <t xml:space="preserve">Salade de mâche aux noix</t>
  </si>
  <si>
    <t xml:space="preserve">Petits pois et carottes</t>
  </si>
  <si>
    <t xml:space="preserve">Lasagnes</t>
  </si>
  <si>
    <t xml:space="preserve">semaine 43</t>
  </si>
  <si>
    <t xml:space="preserve">Maquereau</t>
  </si>
  <si>
    <t xml:space="preserve">Pommes de terre</t>
  </si>
  <si>
    <t xml:space="preserve">Jambon blanc braisé</t>
  </si>
  <si>
    <t xml:space="preserve">Salade de ebly</t>
  </si>
  <si>
    <t xml:space="preserve">Lasagne au saumon</t>
  </si>
  <si>
    <t xml:space="preserve">Chou rouge râpé</t>
  </si>
  <si>
    <t xml:space="preserve">semaine 44</t>
  </si>
  <si>
    <t xml:space="preserve">semaine 45</t>
  </si>
  <si>
    <t xml:space="preserve">choux chinois</t>
  </si>
  <si>
    <t xml:space="preserve">semaine 46</t>
  </si>
  <si>
    <t xml:space="preserve">semaine 47</t>
  </si>
  <si>
    <t xml:space="preserve">semaine 48</t>
  </si>
  <si>
    <t xml:space="preserve">bourguinon</t>
  </si>
  <si>
    <t xml:space="preserve">semaine 49</t>
  </si>
  <si>
    <t xml:space="preserve">émincé de poulet</t>
  </si>
  <si>
    <t xml:space="preserve">gratin potimarron</t>
  </si>
  <si>
    <t xml:space="preserve">semaine 50</t>
  </si>
  <si>
    <t xml:space="preserve">semaine 51</t>
  </si>
  <si>
    <t xml:space="preserve">Stack de bœuf</t>
  </si>
  <si>
    <t xml:space="preserve">riz à la tomate</t>
  </si>
  <si>
    <t xml:space="preserve">frites PDT douce fagot de haricots verts</t>
  </si>
  <si>
    <t xml:space="preserve">Buche</t>
  </si>
  <si>
    <t xml:space="preserve">semaine 52</t>
  </si>
  <si>
    <t xml:space="preserve">Feuilleté st jacques</t>
  </si>
  <si>
    <t xml:space="preserve">pomme pins</t>
  </si>
  <si>
    <t xml:space="preserve">Entremet chocolat caramel</t>
  </si>
  <si>
    <t xml:space="preserve">toast fois gras</t>
  </si>
  <si>
    <t xml:space="preserve">Roti de dinde forestière</t>
  </si>
  <si>
    <t xml:space="preserve">Pomme dauphine H,V</t>
  </si>
  <si>
    <t xml:space="preserve">velouté potimarron</t>
  </si>
  <si>
    <t xml:space="preserve">pomme caramélisé</t>
  </si>
  <si>
    <t xml:space="preserve">Mandarine</t>
  </si>
  <si>
    <t xml:space="preserve">Cuisson longues  (12H00 à 18H00)</t>
  </si>
  <si>
    <t xml:space="preserve">Vapeur ou thermoplongeur</t>
  </si>
  <si>
    <t xml:space="preserve">Produits</t>
  </si>
  <si>
    <t xml:space="preserve">Remarques</t>
  </si>
  <si>
    <t xml:space="preserve">95°C</t>
  </si>
  <si>
    <t xml:space="preserve">Agrumes </t>
  </si>
  <si>
    <t xml:space="preserve">Sirop à 15 (1kg de sucre pour 0,5L eau)  -
 Temps de cuisson des agrumes sous vide 5H00 minimum à 18H00</t>
  </si>
  <si>
    <t xml:space="preserve">Légumineuses</t>
  </si>
  <si>
    <t xml:space="preserve">88°C</t>
  </si>
  <si>
    <t xml:space="preserve">Langue de Bœuf</t>
  </si>
  <si>
    <t xml:space="preserve">Pied de porc - veau</t>
  </si>
  <si>
    <t xml:space="preserve">85°C</t>
  </si>
  <si>
    <t xml:space="preserve">Sauté de bœuf</t>
  </si>
  <si>
    <t xml:space="preserve">Sauté de mouton</t>
  </si>
  <si>
    <t xml:space="preserve">Legumes tajine</t>
  </si>
  <si>
    <t xml:space="preserve">Cuisse de poule</t>
  </si>
  <si>
    <t xml:space="preserve">Paleron de bœuf</t>
  </si>
  <si>
    <t xml:space="preserve">74°C</t>
  </si>
  <si>
    <t xml:space="preserve">Osso Bucco</t>
  </si>
  <si>
    <t xml:space="preserve">Débuter la cuisson à 85°C pendant 2H00</t>
  </si>
  <si>
    <t xml:space="preserve">72°C</t>
  </si>
  <si>
    <t xml:space="preserve">Possibilité à 68°C</t>
  </si>
  <si>
    <t xml:space="preserve">Cuisses de canard entière</t>
  </si>
  <si>
    <t xml:space="preserve">70C</t>
  </si>
  <si>
    <t xml:space="preserve">Paleron de veau</t>
  </si>
  <si>
    <t xml:space="preserve">65°C</t>
  </si>
  <si>
    <t xml:space="preserve">Rôti de veau bas carré</t>
  </si>
  <si>
    <t xml:space="preserve">Echine de porc</t>
  </si>
  <si>
    <t xml:space="preserve">Débuter cuisson par un pic (80°C ambiance -72°C à cœur)</t>
  </si>
  <si>
    <t xml:space="preserve">62°C</t>
  </si>
  <si>
    <t xml:space="preserve">Ballotines de canard</t>
  </si>
  <si>
    <t xml:space="preserve">Ballotines épaules d'agneau</t>
  </si>
  <si>
    <t xml:space="preserve">A 65°C si un peu ferme</t>
  </si>
  <si>
    <t xml:space="preserve">VP Théorique minimum</t>
  </si>
  <si>
    <t xml:space="preserve">Préparation froide
Bac gastro + film, 0/+3°C
Vinaigrette à part</t>
  </si>
  <si>
    <t xml:space="preserve">Liaison froide 0/+3°C</t>
  </si>
  <si>
    <t xml:space="preserve">Qté recette base</t>
  </si>
  <si>
    <t xml:space="preserve">Qté production</t>
  </si>
  <si>
    <t xml:space="preserve">U</t>
  </si>
  <si>
    <t xml:space="preserve">PU</t>
  </si>
  <si>
    <t xml:space="preserve">Total €</t>
  </si>
  <si>
    <t xml:space="preserve">Mode opératoire :
Effeuiller et parer les salades, éliminer les feuilles abîmées et le trognon
Décontamination : trempage 5 min en eau + désinfectant agréé, rinçage abondant à l'eau claire
Essorer soigneusement, couper grossièrement
Vinaigrette : délayer moutarde, sel, poivre, vinaigre, monter à l'huile, ajouter échalotes et ciboulette
Conditionner la salade en bacs gastro filmés, vinaigrette à part en pot fermé
Stocker à 0/+3°C, assaisonner au dernier moment au service
Service en liaison froide, consommation dans les 24h</t>
  </si>
  <si>
    <t xml:space="preserve">Prix unitaire portion</t>
  </si>
  <si>
    <t xml:space="preserve">Poids total ou ingrédient principal</t>
  </si>
  <si>
    <t xml:space="preserve">Nombre portions recette base</t>
  </si>
  <si>
    <t xml:space="preserve">Poids net portions</t>
  </si>
  <si>
    <t xml:space="preserve">Possibilité de saisir le grammage</t>
  </si>
  <si>
    <t xml:space="preserve">Nombre portions à produire</t>
  </si>
  <si>
    <t xml:space="preserve">Effectif EHPAD + FAM (feuille Paramètres) – possibilité de saisir un autre nombre</t>
  </si>
  <si>
    <t xml:space="preserve">Cuisson 85°C four vapeur
Bac gastro 1/1 avec couvercles sans trou
Ou sauteuse fonction mijotage (compatible cuisson de nuit)</t>
  </si>
  <si>
    <t xml:space="preserve">&gt; à 10 000</t>
  </si>
  <si>
    <t xml:space="preserve">Mode opératoire :
Peser tous les ingrédients d'épicerie
Répartir les légumes surgelés et les pommes de terre dans des bacs 1/1 (H15), 2 bacs maximum par recette
Mouiller à l'eau, ajouter le fond de volaille, sel, poivre et le beurre, mélanger
Ajouter un couvercle sans trou
Cuisson : 85°C vapeur 12H00 minimum et 18H00 au maximum (programme Potage cuisson de nuit)
Le lendemain : mixer finement au mixeur plongeant, ajouter la crème, rectifier l'assaisonnement
Contrôle de la texture : allonger avec un peu de bouillon si nécessaire
Refroidir en cellule (63°C à 10°C en moins de deux heures) pour une remise en T° différée ou maintenir en étuve ≥ 63°C pour un service en liaison chaude
Sauteuse (compatible cuisson de nuit) : tous les ingrédients, couvrir, 85°C fonction mijotage 12H00 à 18H00, mixer le lendemain</t>
  </si>
  <si>
    <t xml:space="preserve">Cuisson 95°C four vapeur
Bac gastro 1/1 avec couvercles sans trou
Ou sauteuse fonction mijotage (compatible cuisson de nuit)</t>
  </si>
  <si>
    <t xml:space="preserve">Mode opératoire :
Peser tous les ingrédients d'épicerie, rincer les pois cassés
Dans des bacs 1/1 (H15) mettre pois cassés, pommes de terre, légumes, lardons, aromates
Mouiller à l'eau, ajouter le fond de volaille et le sel, mélanger
Ajouter un couvercle sans trou
Cuisson : 95°C vapeur 12H00 minimum et 18H00 au maximum
Le lendemain : retirer le laurier et le thym, mixer finement, passer au chinois si besoin
Ajouter la crème, rectifier sel et poivre, allonger au bouillon selon la texture souhaitée
Refroidir en cellule (63°C à 10°C en moins de deux heures) pour une remise en T° différée ou maintenir en étuve ≥ 63°C pour un service en liaison chaude
Sauteuse (compatible cuisson de nuit) : tous les ingrédients, couvrir, 95°C fonction mijotage 12H00 à 18H00, mixer le lendemain</t>
  </si>
  <si>
    <t xml:space="preserve">Préparation froide
Semoule hydratée à froid
Bac gastro + film, 0/+3°C</t>
  </si>
  <si>
    <t xml:space="preserve">Mode opératoire :
Peser tous les ingrédients d'épicerie
Décontaminer et rincer tomates, concombre et menthe, tailler en petits dés
Décongeler poivrons et oignons en enceinte réfrigérée la veille, bien égoutter
Mélanger la semoule avec l'eau froide, le jus de citron, l'huile d'olive et le sel, laisser gonfler 30 min au froid
Ajouter légumes, raisins secs, menthe et poivre, mélanger sans écraser
Rectifier l'assaisonnement, laisser reposer 2 heures minimum à 0/+3°C
Conditionner en bacs gastro filmés, étiqueter (date de fabrication)
Service en liaison froide, consommation dans les 48h</t>
  </si>
  <si>
    <t xml:space="preserve">Four mixte 180°C chaleur sèche
Plaques gastro + papier cuisson
15 à 20 min</t>
  </si>
  <si>
    <t xml:space="preserve">63°C à cœur</t>
  </si>
  <si>
    <t xml:space="preserve">Mode opératoire :
Disposer les feuilletés surgelés sans décongélation sur plaques gastro recouvertes de papier cuisson, espacer
Dorer au jaune d'œuf pasteurisé
Four mixte 180°C chaleur sèche 15 à 20 min jusqu'à belle coloration
Contrôle 63°C à cœur minimum, enregistrer la T°
Maintenir en étuve ≥ 63°C jusqu'au service (30 min maximum pour garder le croustillant)
Salade : décontaminer, rincer, essorer, préparer la vinaigrette
Dressage : 1 feuilleté par personne sur lit de salade assaisonnée au dernier moment
En remise en T° différée : refroidir en cellule puis régénérer 180°C 8 min, 63°C à cœur</t>
  </si>
  <si>
    <t xml:space="preserve">Préparation froide
Bac gastro + film, 0/+3°C</t>
  </si>
  <si>
    <t xml:space="preserve">Mode opératoire :
Parer les endives, retirer les premières feuilles et le cône amer à la base
Décontaminer, rincer à l'eau claire, égoutter
Émincer les endives en tronçons de 1 cm, citronner légèrement pour éviter l'oxydation
Vinaigrette : moutarde, sel, poivre, vinaigre, monter à l'huile, ajouter les échalotes
Conditionner les endives en bacs gastro filmés, vinaigrette à part
Stocker à 0/+3°C, assaisonner et parsemer de persil au moment du service
Service en liaison froide, consommation dans les 24h</t>
  </si>
  <si>
    <t xml:space="preserve">Mode opératoire :
Parer les endives, retirer le cône amer, décontaminer, rincer, égoutter
Émincer en tronçons de 1 cm, citronner
Laver les pommes, tailler en petits dés avec la peau, citronner
Concasser grossièrement les cerneaux de noix
Vinaigrette : moutarde, sel, poivre, vinaigre, monter aux huiles de noix et de tournesol
Mélanger endives et pommes, conditionner en bacs gastro filmés, noix et vinaigrette à part
Stocker à 0/+3°C, assaisonner et parsemer de noix au moment du service
Service en liaison froide, consommation dans les 24h</t>
  </si>
  <si>
    <t xml:space="preserve">Mode opératoire :
Parer les endives, retirer le cône amer, décontaminer, rincer, égoutter, émincer et citronner
Tailler les pommes en dés, citronner
Sauce au bleu : écraser le bleu à la fourchette, détendre à la crème, ajouter moutarde, vinaigre, huile, poivre, peu de sel (le bleu est salé)
Concasser les noix
Mélanger endives et pommes, conditionner en bacs gastro filmés
Sauce au bleu et noix à part en pots fermés, stocker le tout à 0/+3°C
Au service : napper de sauce au bleu, parsemer de noix
Service en liaison froide, consommation dans les 24h</t>
  </si>
  <si>
    <t xml:space="preserve">Riz cuit à l'eau puis refroidi en cellule
Assemblage en liaison froide
Bac gastro + film, 0/+3°C</t>
  </si>
  <si>
    <t xml:space="preserve">Mode opératoire :
Cuire le riz à grande eau salée bouillante 12 à 14 min, égoutter
Refroidir immédiatement en cellule (63°C à 10°C en moins de deux heures), réserver à 0/+3°C
Décontaminer et tailler les tomates, décongeler les poivrons au froid et égoutter
Émietter le thon, couper les œufs durs en quartiers, égoutter le maïs et les olives
Vinaigrette : moutarde, sel, poivre, vinaigre, monter à l'huile
Mélanger riz froid, légumes, thon, olives et vinaigrette, rectifier l'assaisonnement
Conditionner en bacs gastro, décorer avec les œufs et la ciboulette, filmer, étiqueter
Stocker à 0/+3°C, service en liaison froide, consommation dans les 48h</t>
  </si>
  <si>
    <t xml:space="preserve">Sous vide 90°C four vapeur ou thermoplongeur
Poches sous vide, 1H30 à 2H00
Refroidissement cellule, DLC J+5</t>
  </si>
  <si>
    <t xml:space="preserve">Mode opératoire :
Laver et brosser les betteraves, éplucher, tailler en cubes de 1 cm
Conditionner en poches sous vide à plat (2 kg maximum par poche), ajouter une pincée de sel, mettre sous vide
Cuisson : 90°C vapeur ou thermoplongeur 1H30 à 2H00 selon la taille, contrôle de tendreté à la pointe du couteau
Refroidir en cellule (63°C à 10°C en moins de deux heures), étiqueter, DLC 5 jours maximum (J+5) en poche fermée
Le jour du service : ouvrir les poches, égoutter les betteraves
Vinaigrette : moutarde, sel, poivre, vinaigre, monter à l'huile, ajouter les échalotes
Mélanger betteraves et vinaigrette, laisser mariner 1 heure à 0/+3°C
Conditionner en bacs gastro filmés, parsemer de persil au service, consommation dans les 48h après ouverture</t>
  </si>
  <si>
    <t xml:space="preserve">Sous vide 90°C four vapeur ou thermoplongeur
Poches sous vide, 1H30 à 2H00
Assemblage froid après refroidissement</t>
  </si>
  <si>
    <t xml:space="preserve">Mode opératoire :
Laver, brosser et éplucher les betteraves, tailler en cubes de 1 cm
Conditionner en poches sous vide à plat (2 kg maximum), mettre sous vide
Cuisson : 90°C vapeur ou thermoplongeur 1H30 à 2H00, contrôle de tendreté
Refroidir en cellule (63°C à 10°C en moins de deux heures), étiqueter, DLC J+5 en poche fermée
Le jour du service : égoutter les betteraves, égoutter et rincer le maïs
Vinaigrette : moutarde, sel, poivre, vinaigre, monter à l'huile
Mélanger betteraves, maïs, oignons rouges et vinaigrette, laisser mariner 1 heure à 0/+3°C
Conditionner en bacs gastro filmés, ciboulette au service, consommation dans les 48h</t>
  </si>
  <si>
    <t xml:space="preserve">Mode opératoire :
Peser tous les ingrédients d'épicerie
Égoutter et rincer soigneusement haricots rouges et maïs
Décongeler les poivrons au froid la veille, égoutter
Décontaminer et rincer tomates et coriandre, tailler les tomates en cubes
Sauce : jus de citron vert, sel, cumin, paprika, piment, monter à l'huile
Mélanger tous les légumes avec la sauce, laisser mariner 1 heure à 0/+3°C
Conditionner en bacs gastro filmés, étiqueter, coriandre ciselée au service
Service en liaison froide, consommation dans les 48h</t>
  </si>
  <si>
    <t xml:space="preserve">Préparation froide
Tranchage le jour même
Bac gastro + film, 0/+3°C</t>
  </si>
  <si>
    <t xml:space="preserve">Mode opératoire :
Réceptionner les melons à maturité (odeur, pédoncule), stocker à 0/+3°C
Laver et décontaminer la peau des melons avant découpe (rinçage abondant)
Couper en 4 quartiers, épépiner, laisser la peau ou détailler en billes/cubes pour les textures adaptées
Portion : 1/4 de melon (≈ 150 g net) ou 150 g de cubes
Dresser en assiettes ou bacs gastro, citronner légèrement, filmer
Option : accompagner d'une tranche de jambon cru ou d'un trait de porto, décorer de menthe
Stocker à 0/+3°C, service en liaison froide dans les 24h
Ne jamais laisser le melon tranché à température ambiante</t>
  </si>
  <si>
    <t xml:space="preserve">Mode opératoire :
Laver et décontaminer la peau de la pastèque avant découpe
Couper en tranches puis en cubes de 2 cm, retirer le maximum de pépins
Portion : 180 g de cubes (ou une tranche épaisse sans peau)
Option salée : ajouter feta en dés, huile d'olive, poivre et menthe ciselée
Option sucrée : jus de citron vert, pointe de sucre, menthe
Conditionner en bacs gastro ou ramequins, filmer, étiqueter
Stocker à 0/+3°C, service en liaison froide dans les 24h</t>
  </si>
  <si>
    <t xml:space="preserve">Mode opératoire :
Laver et décontaminer les pamplemousses
Couper en deux, détacher les quartiers de la membrane au couteau à pamplemousse
Saupoudrer d'une pointe de sucre, 1 trait de grenadine, décorer d'une cerise confite et d'une feuille de menthe
Texture modifiée : peler à vif et prélever les suprêmes, mixer ou détailler selon la texture prescrite
Dresser en coupelles ou bacs gastro, filmer, étiqueter
Stocker à 0/+3°C, service en liaison froide dans les 24h</t>
  </si>
  <si>
    <t xml:space="preserve">Sous vide 90°C four vapeur ou thermoplongeur
Poches sous vide, 45 min à 1H00
Refroidissement cellule, DLC J+5</t>
  </si>
  <si>
    <t xml:space="preserve">Mode opératoire :
Parer les poireaux, fendre en deux, laver abondamment pour éliminer le sable, tailler en tronçons de 8 cm
Ranger à plat en poches sous vide (2 kg maximum), saler, mettre sous vide
Cuisson : 90°C vapeur ou thermoplongeur 45 min à 1H00, contrôle de tendreté à la pointe du couteau
Refroidir en cellule (63°C à 10°C en moins de deux heures), étiqueter, DLC 5 jours maximum (J+5)
Le jour du service : ouvrir les poches, égoutter les poireaux sur grille
Vinaigrette : moutarde, sel, poivre, vinaigre, monter à l'huile, ajouter les échalotes
Dresser les poireaux en bacs gastro, napper de vinaigrette, parsemer d'œuf dur haché et de persil
Filmer, stocker à 0/+3°C, service en liaison froide dans les 24h</t>
  </si>
  <si>
    <t xml:space="preserve">Préparation froide
Découpe au plus près du service
Bac gastro + film, 0/+3°C</t>
  </si>
  <si>
    <t xml:space="preserve">Mode opératoire :
Réceptionner des avocats à maturité, laver et décontaminer la peau
Préparer la vinaigrette (moutarde, sel, poivre, vinaigre, huile) et la mayonnaise citronnée
Couper les avocats en deux au plus près du service, dénoyauter, citronner immédiatement la chair
Dresser 1/2 avocat par personne, garnir le creux de vinaigrette ou de mayonnaise selon le menu
Texture modifiée : écraser la chair avec citron et mayonnaise, dresser à la poche
Parsemer de ciboulette, filmer, étiqueter
Stocker à 0/+3°C, service en liaison froide dans les 4 heures (oxydation rapide)
Mayonnaise : exclusivement à base d'ovoproduits pasteurisés, conservation 0/+3°C</t>
  </si>
  <si>
    <t xml:space="preserve">Lentilles vinaigrette nuit
cuisson de nuit </t>
  </si>
  <si>
    <t xml:space="preserve">Cuisson nuit 93°C vapeur
Bac gastro avec couvercles</t>
  </si>
  <si>
    <t xml:space="preserve">Mode opératoire :
Dans des bacs  mettre tous les ingrédients (sauf ciboulette)
Mélanger et ajouter un couvercle
Cuisson : 93°C vapeur 12H00 minimum et 18h00 au maximum
Refroidir en cellule (63°C à 10°C en moins de deux heures
Finaliser l'assaisonnement avec la ciboulette avant le conditionnement
</t>
  </si>
  <si>
    <t xml:space="preserve">Cuisson 85°C four vapeur
Moules à terrine ou bacs 1/3 filmés sous vide
1H30, 75°C à cœur</t>
  </si>
  <si>
    <t xml:space="preserve">Mode opératoire :
Peser tous les ingrédients d'épicerie
Cuire les légumes vapeur 100°C 8 à 10 min, égoutter, refroidir en cellule
Appareil : mélanger œufs pasteurisés, crème, fécule délayée, sel, poivre, muscade
Mixer la moitié des carottes et des brocolis avec l'appareil, garder le reste des légumes entiers pour le visuel
Chemiser les moules à terrine ou bacs 1/3 de film cuisson, monter en couches (carottes, brocolis, haricots verts) en alternant avec l'appareil
Filmer hermétiquement puis conditionner en poche sous vide
Cuisson : 85°C vapeur 1H30, contrôle 75°C à cœur
Refroidir en cellule (63°C à 10°C en moins de deux heures), réserver 12 heures à 0/+3°C avant démoulage, DLC J+5 en poche fermée
Démouler, trancher 1 tranche de 130 g, servir avec un coulis de tomates ou une sauce fromage blanc ciboulette
Service en liaison froide, consommation dans les 24h après ouverture</t>
  </si>
  <si>
    <t xml:space="preserve">Cuisson 95°C four vapeur
Bac gastro avec couvercles
Ou cuisson sauteuse (compatible cuisson de nuit)</t>
  </si>
  <si>
    <t xml:space="preserve">Mode opératoire :
Rincer les pois chiches (trempage 12 heures facultatif, non nécessaire en cuisson de nuit)
Four : dans des bacs 1/1 (H15) mettre pois chiches, eau, sel et une pincée de bicarbonate (quantités pour un bac)
Mélanger et ajouter un couvercle sans trou
Cuisson : 95°C vapeur 12H00 minimum et 18H00 au maximum
Le lendemain : égoutter, refroidir en cellule (63°C à 10°C en moins de deux heures), réserver à 0/+3°C
Décontaminer et tailler les tomates, décongeler et égoutter les poivrons
Sauce : jus de citron, sel, cumin, poivre, monter à l'huile d'olive
Mélanger pois chiches froids, légumes, oignons rouges et sauce, laisser mariner 1 heure
Conditionner en bacs gastro filmés, herbes au service, consommation dans les 48h
Sauteuse (compatible cuisson de nuit) : tous les ingrédients, couvrir, 95°C fonction mijotage 12H00 à 18H00</t>
  </si>
  <si>
    <t xml:space="preserve">Préparation froide
Macédoine appertisée égouttée
Bac gastro + film, 0/+3°C</t>
  </si>
  <si>
    <t xml:space="preserve">Mode opératoire :
Ouvrir les boîtes, égoutter et rincer la macédoine, laisser égoutter 30 min sur grille au froid
Détendre la mayonnaise avec la moutarde, le jus de citron, sel et poivre
Mélanger délicatement la macédoine et la mayonnaise sans écraser les légumes
Rectifier l'assaisonnement
Conditionner en bacs gastro, décorer de quartiers d'œuf dur et de persil, filmer, étiqueter
Stocker à 0/+3°C, service en liaison froide dans les 24h
Mayonnaise exclusivement à base d'ovoproduits pasteurisés, ne jamais rompre la chaîne du froid</t>
  </si>
  <si>
    <t xml:space="preserve">Mode opératoire :
Trier la mâche, retirer les racines et les feuilles jaunes
Décontamination : trempage 5 min en eau + désinfectant agréé, rinçage abondant, essorage délicat
Vinaigrette : moutarde, sel, poivre, vinaigre de xérès, monter à l'huile de colza, ajouter les échalotes
Conditionner la mâche en bacs gastro filmés, vinaigrette et croûtons à part
Stocker à 0/+3°C, assaisonner et parsemer de croûtons au dernier moment
Service en liaison froide, consommation dans les 24h</t>
  </si>
  <si>
    <t xml:space="preserve">Four mixte 200°C chaleur sèche
Plaques gastro + papier cuisson
6 à 8 min</t>
  </si>
  <si>
    <t xml:space="preserve">Mode opératoire :
Trier, décontaminer, rincer et essorer la mâche, réserver à 0/+3°C
Vinaigrette : moutarde, sel, poivre, vinaigre, monter à l'huile de noix
Disposer les tranches de pain sur plaques gastro + papier cuisson, poser 1 rondelle de chèvre de 50 g par tranche, thym, poivre
Four mixte 200°C chaleur sèche 6 à 8 min jusqu'à coloration du chèvre, contrôle 63°C à cœur
Napper d'un filet de miel à la sortie du four
Dressage immédiat : mâche assaisonnée, 1 tartine chaude, noix concassées
Servir sans attente (pas de maintien prolongé, pas de refroidissement : préparation à consommer dès cuisson)
Texture modifiée : chèvre fondu sur mie de pain sans croûte, mâche hachée</t>
  </si>
  <si>
    <t xml:space="preserve">Mode opératoire :
Éplucher les carottes, décontaminer, rincer à l'eau claire
Râper au robot coupe (grille fine)
Sauce : jus de citron, moutarde, sel, sucre, poivre, monter à l'huile
Mélanger carottes, sauce et raisins secs, laisser mariner 1 heure à 0/+3°C
Rectifier l'assaisonnement
Conditionner en bacs gastro filmés, étiqueter, herbes au service
Stocker à 0/+3°C, service en liaison froide dans les 48h</t>
  </si>
  <si>
    <t xml:space="preserve">Four mixte 220°C chaleur sèche
Plaques gastro ou grilles
10 à 12 min</t>
  </si>
  <si>
    <t xml:space="preserve">Mode opératoire :
Déconditionner les pizzas surgelées, disposer sans décongélation sur plaques gastro ou grilles
Ajouter un peu de gruyère râpé et d'origan
Four mixte 220°C chaleur sèche 10 à 12 min jusqu'à coloration de la pâte et du fromage
Contrôle 63°C à cœur, enregistrer la T°
Découper en 4, maintenir en étuve ≥ 63°C jusqu'au service (30 min maximum)
Salade : décontaminer, rincer, essorer, vinaigrette à part
Dressage : 1/4 de pizza avec salade verte assaisonnée
Remise en T° différée : refroidir en cellule, régénérer 200°C 6 à 8 min, 63°C à cœur</t>
  </si>
  <si>
    <t xml:space="preserve">Mode opératoire :
Contrôler la DLC et la T° à réception, stocker à 0/+3°C
Déconditionner la rosette, trancher le jour même (ou utiliser du prétranché)
Décontaminer, rincer et essorer la salade, laver les tomates cerises
Dresser 2 tranches de rosette par assiette, 1 à 2 cornichons, 1 beurre portion, salade et tomates cerises
Filmer, étiqueter, stocker à 0/+3°C
Service en liaison froide, consommation dans les 24h après ouverture du conditionnement</t>
  </si>
  <si>
    <t xml:space="preserve">Mode opératoire :
Contrôler la DLC et la T° à réception, stocker à 0/+3°C
Retirer la peau de la saucisse sèche, trancher à la trancheuse (épaisseur 3 mm) le jour même
Décontaminer, rincer et essorer la salade, laver et équeuter les radis
Dresser 40 g de saucisse sèche par assiette, cornichons, beurre portion, salade et radis
Filmer, étiqueter, stocker à 0/+3°C
Service en liaison froide, consommation dans les 24h</t>
  </si>
  <si>
    <t xml:space="preserve">Mode opératoire :
Retirer les premières feuilles du chou, couper en quartiers, retirer le trognon, décontaminer, rincer
Éplucher et laver les carottes
Émincer finement le chou au robot coupe, râper les carottes (grille fine)
Sauce : mayonnaise, fromage blanc, moutarde, vinaigre, sucre, sel, poivre, oignons décongelés
Mélanger chou, carottes et sauce, laisser mariner 2 heures minimum à 0/+3°C pour attendrir le chou
Rectifier l'assaisonnement
Conditionner en bacs gastro filmés, étiqueter, ciboulette au service
Stocker à 0/+3°C, service en liaison froide dans les 48h</t>
  </si>
  <si>
    <t xml:space="preserve">Mode opératoire :
Retirer les feuilles extérieures du chou chinois, couper en deux, décontaminer, rincer, égoutter
Émincer finement le chou, râper les carottes
Sauce : sauce soja, vinaigre, sucre, gingembre, sel, monter aux huiles de tournesol et de sésame
Mélanger chou, carottes et sauce, laisser mariner 1 heure à 0/+3°C
Torréfier légèrement les graines de sésame à sec
Conditionner en bacs gastro filmés, étiqueter, sésame et coriandre au service
Stocker à 0/+3°C, service en liaison froide dans les 24h</t>
  </si>
  <si>
    <t xml:space="preserve">Mode opératoire :
Décontaminer et rincer les tomates, retirer le pédoncule
Couper en quartiers ou en rondelles au plus près du service (ne pas laisser dégorger trop longtemps)
Vinaigrette : moutarde, sel, poivre, vinaigre balsamique, monter à l'huile d'olive, ajouter échalotes
Dresser les tomates en bacs gastro, parsemer d'oignons rouges
Vinaigrette à part, assaisonner au moment du service, herbes ciselées
Filmer, étiqueter, stocker à 0/+3°C
Service en liaison froide, consommation dans les 24h</t>
  </si>
  <si>
    <t xml:space="preserve">Mode opératoire :
Décontaminer et rincer les tomates, retirer le pédoncule, trancher en rondelles de 1 cm
Égoutter la mozzarella, trancher en rondelles de 5 mm
Dresser en alternant tomate et mozzarella, 70 g de tomate et 40 g de mozzarella par portion
Assaisonner : sel, poivre, origan, filet d'huile d'olive et de vinaigre balsamique, olives
Basilic ciselé au moment du service
Filmer, étiqueter, stocker à 0/+3°C
Service en liaison froide, consommation dans les 24h</t>
  </si>
  <si>
    <t xml:space="preserve">Préparation froide
Tomates farcies au thon mayonnaise
Bac gastro + film, 0/+3°C</t>
  </si>
  <si>
    <t xml:space="preserve">Mode opératoire :
Décontaminer et rincer les tomates, couper un chapeau, évider à la cuillère, saler l'intérieur et retourner sur grille 20 min
Farce : émietter le thon, mélanger avec mayonnaise, œufs durs hachés, câpres, échalotes, citron, poivre, persil
Rectifier l'assaisonnement, réserver la farce à 0/+3°C
Garnir les tomates à la poche ou à la cuillère (60 g de farce par tomate), reposer le chapeau
Dresser sur lit de salade frisée décontaminée
Filmer, étiqueter, stocker à 0/+3°C
Service en liaison froide, consommation dans les 24h
Mayonnaise exclusivement à base d'ovoproduits pasteurisés</t>
  </si>
  <si>
    <t xml:space="preserve">Préparation froide
Tomates farcies à la macédoine mayonnaise
Bac gastro + film, 0/+3°C</t>
  </si>
  <si>
    <t xml:space="preserve">Mode opératoire :
Décontaminer et rincer les tomates, couper un chapeau, évider, saler l'intérieur et retourner sur grille 20 min
Égoutter et rincer la macédoine, laisser égoutter 30 min au froid
Mélanger macédoine, mayonnaise citronnée, sel, poivre et persil
Garnir les tomates (60 g de macédoine par tomate), décorer d'un quartier d'œuf dur, reposer le chapeau
Dresser sur lit de salade frisée décontaminée
Filmer, étiqueter, stocker à 0/+3°C
Service en liaison froide, consommation dans les 24h
Mayonnaise exclusivement à base d'ovoproduits pasteurisés</t>
  </si>
  <si>
    <t xml:space="preserve">Pâtes cuites à l'eau puis refroidies en cellule
Assemblage en liaison froide
Bac gastro + film, 0/+3°C</t>
  </si>
  <si>
    <t xml:space="preserve">Mode opératoire :
Cuire les pâtes à grande eau salée bouillante 9 à 11 min, égoutter, huiler légèrement
Refroidir immédiatement en cellule (63°C à 10°C en moins de deux heures), réserver à 0/+3°C
Décontaminer et tailler les tomates, égoutter le maïs, égoutter les olives
Sauce : vinaigrette (moutarde, sel, poivre, vinaigre, huile) liée avec la mayonnaise
Mélanger pâtes froides, jambon, emmental, maïs, tomates, cornichons, olives et sauce
Rectifier l'assaisonnement, ciboulette
Conditionner en bacs gastro filmés, étiqueter
Stocker à 0/+3°C, service en liaison froide dans les 48h</t>
  </si>
  <si>
    <t xml:space="preserve">Sous vide 65°C thermoplongeur ou four vapeur
Poches sous vide, 2H00
Pâtes cuites à l'eau, assemblage froid</t>
  </si>
  <si>
    <t xml:space="preserve">&gt; à 150</t>
  </si>
  <si>
    <t xml:space="preserve">Mode opératoire :
Assaisonner les filets de poulet (sel, poivre, filet d'huile d'olive), conditionner en poches sous vide à plat (1,5 kg maximum par poche)
Cuisson : 65°C thermoplongeur ou four vapeur 2H00, contrôle 65°C à cœur (pasteurisation suffisante pour public fragile)
Refroidir en cellule (63°C à 10°C en moins de deux heures), étiqueter, DLC 5 jours maximum (J+5)
Cuire les pâtes à grande eau salée 9 à 11 min, égoutter, huiler, refroidir en cellule
Le jour du service : ouvrir les poches, émincer le poulet froid en lanières
Décontaminer et couper les tomates cerises en deux, laver et essorer la roquette
Mélanger pâtes, pesto, huile d'olive, poulet, tomates cerises, rectifier sel et poivre
Conditionner en bacs gastro, parsemer de parmesan, pignons, roquette et basilic, filmer, étiqueter
Stocker à 0/+3°C, service en liaison froide dans les 24h après ouverture des poches</t>
  </si>
  <si>
    <t xml:space="preserve">Sous vide 85°C four vapeur ou thermoplongeur
Poches sous vide, 30 à 45 min
Refroidissement cellule, DLC J+5</t>
  </si>
  <si>
    <t xml:space="preserve">Mode opératoire :
Asperges fraîches : éplucher, couper le pied, laver ; asperges surgelées : utiliser sans décongélation
Ranger à plat en poches sous vide (1,5 kg maximum), saler, mettre sous vide
Cuisson : 85°C vapeur ou thermoplongeur 30 à 45 min selon le calibre (vertes : 30 min), contrôle de tendreté
Refroidir en cellule (63°C à 10°C en moins de deux heures), étiqueter, DLC 5 jours maximum (J+5)
Le jour du service : ouvrir les poches, égoutter sur grille
Vinaigrette : moutarde, sel, poivre, vinaigre, monter à l'huile, ajouter les échalotes
Dresser 4 à 5 asperges par portion en bacs gastro, napper de vinaigrette, parsemer d'œuf dur haché et de ciboulette
Filmer, stocker à 0/+3°C, service en liaison froide dans les 24h</t>
  </si>
  <si>
    <t xml:space="preserve">Mode opératoire :
Contrôler la DLC et la T° à réception, stocker à 0/+3°C
Déconditionner le pâté, trancher au couteau ou à la trancheuse (tranche de 50 g) le jour même
Décontaminer, rincer et essorer la salade, laver les tomates cerises
Dresser 1 tranche de pâté par assiette, cornichons, beurre portion, salade et tomates cerises
Filmer, étiqueter, stocker à 0/+3°C
Service en liaison froide, consommation dans les 24h après ouverture</t>
  </si>
  <si>
    <t xml:space="preserve">Préparation froide
Dressage le jour même
Bac gastro + film, 0/+3°C</t>
  </si>
  <si>
    <t xml:space="preserve">Mode opératoire :
Contrôler la DLC et la T° à réception, stocker à 0/+3°C
Déconditionner le jambon cru au plus près du service, séparer les tranches
Décontaminer, rincer et essorer la salade, laver les tomates cerises
Dresser 2 tranches de jambon cru par assiette, beurre portion, cornichons, salade et tomates cerises, filet d'huile d'olive, poivre
Filmer, étiqueter, stocker à 0/+3°C
Service en liaison froide, consommation dans les 24h après ouverture du conditionnement</t>
  </si>
  <si>
    <t xml:space="preserve">Mode opératoire :
Contrôler la DLC et la T° à réception, stocker à 0/+3°C
Déconditionner le pâté, trancher à la trancheuse ou au couteau (tranche de 50 g) le jour même
Décontaminer, rincer et essorer la salade
Dresser 1 tranche de pâté par assiette, cornichons, oignons au vinaigre, beurre portion, salade
Filmer, étiqueter, stocker à 0/+3°C
Service en liaison froide, consommation dans les 24h après ouverture</t>
  </si>
  <si>
    <t xml:space="preserve">Cuisson vapeur 100°C four mixte
Bacs gastro perforés, 8 à 10 min
Refroidissement cellule puis assemblage froid</t>
  </si>
  <si>
    <t xml:space="preserve">Mode opératoire :
Répartir le chou-fleur surgelé sans décongélation en bacs gastro perforés (3 kg maximum par bac)
Cuisson vapeur 100°C four mixte 8 à 10 min, le chou-fleur doit rester légèrement croquant
Refroidir immédiatement en cellule (63°C à 10°C en moins de deux heures), réserver à 0/+3°C
Vinaigrette : moutarde, sel, poivre, vinaigre, monter à l'huile, ajouter les échalotes
Mélanger le chou-fleur froid et la vinaigrette, laisser mariner 1 heure à 0/+3°C
Conditionner en bacs gastro, parsemer d'œuf dur haché et de persil, filmer, étiqueter
Service en liaison froide, consommation dans les 48h</t>
  </si>
  <si>
    <t xml:space="preserve">Cuisson vapeur 100°C four mixte
Bacs gastro perforés, 6 à 8 min
Refroidissement cellule puis assemblage froid</t>
  </si>
  <si>
    <t xml:space="preserve">Mode opératoire :
Répartir les haricots verts surgelés sans décongélation en bacs gastro perforés (3 kg maximum par bac)
Cuisson vapeur 100°C four mixte 6 à 8 min, les haricots doivent rester verts et légèrement croquants
Refroidir immédiatement en cellule (63°C à 10°C en moins de deux heures), réserver à 0/+3°C
Décontaminer et tailler les tomates en cubes
Vinaigrette : moutarde, sel, poivre, vinaigre, monter à l'huile, ajouter échalotes et ail
Mélanger haricots verts froids, tomates et vinaigrette, laisser mariner 30 min
Conditionner en bacs gastro filmés, étiqueter, persil au service
Service en liaison froide, consommation dans les 24h</t>
  </si>
  <si>
    <t xml:space="preserve">Mode opératoire :
Répartir les haricots beurre surgelés sans décongélation en bacs gastro perforés (3 kg maximum par bac)
Cuisson vapeur 100°C four mixte 8 à 10 min, contrôle de tendreté
Refroidir immédiatement en cellule (63°C à 10°C en moins de deux heures), réserver à 0/+3°C
Décontaminer et tailler les tomates en cubes
Vinaigrette : moutarde, sel, poivre, vinaigre, monter à l'huile, ajouter les échalotes
Mélanger haricots beurre froids, tomates et vinaigrette, laisser mariner 30 min
Conditionner en bacs gastro filmés, étiqueter, herbes au service
Service en liaison froide, consommation dans les 24h</t>
  </si>
  <si>
    <t xml:space="preserve">Cuisson 95°C four vapeur
Bac gastro avec couvercles
Assemblage en liaison froide le lendemain</t>
  </si>
  <si>
    <t xml:space="preserve">Mode opératoire :
Peser tous les ingrédients d'épicerie
Four : dans un bac 1/1 (H10) mettre les haricots rouges secs, l'eau, le sel, laurier et thym (quantités pour un bac)
Mélanger, ajouter un couvercle sans trou
Cuisson : 95°C vapeur 12H00 minimum et 18H00 maximum
Le lendemain : égoutter, refroidir en cellule (63°C à 10°C en moins de deux heures)
Blanchir les poivrons 3 min vapeur 100°C, refroidir en cellule
Réaliser la vinaigrette : moutarde, vinaigre, huile, cumin
Mélanger en liaison froide les haricots, le maïs, les poivrons, les oignons et la vinaigrette, rectifier l'assaisonnement
Conditionner en bacs gastro filmés, étiqueter, stocker 0/+3°C
Dresser au moment du service avec le persil, consommation sous 48h</t>
  </si>
  <si>
    <t xml:space="preserve">Sous vide 90°C four vapeur ou thermoplongeur
Poches sous vide
Assemblage en liaison froide</t>
  </si>
  <si>
    <t xml:space="preserve">Mode opératoire :
Peser tous les ingrédients d'épicerie
Conditionner les pommes de terre en poches sous vide de 2,5 Kg avec 10 g de sel par poche
Cuire à 90°C vapeur ou thermoplongeur 1H00 à 1H15 (contrôle : pointe du couteau sans résistance)
Refroidir en cellule (63°C à 10°C en moins de deux heures), DLC J+5 en poche fermée
Le jour du service : ouvrir les poches, arroser les pommes de terre tièdes avec le vin blanc
Réaliser la vinaigrette : moutarde, vinaigre, sel, poivre, huile
Mélanger en liaison froide pommes de terre, oignons, échalotes, cornichons et vinaigrette
Conditionner en bacs gastro filmés, étiqueter, stocker 0/+3°C
Dresser au service avec le persil, consommation sous 48h</t>
  </si>
  <si>
    <t xml:space="preserve">Mode opératoire :
Peser tous les ingrédients d'épicerie
Conditionner les pommes de terre en poches sous vide de 2,5 Kg avec 10 g de sel par poche
Cuire à 90°C vapeur ou thermoplongeur 1H00 à 1H15, pointe du couteau sans résistance
Refroidir en cellule (63°C à 10°C en moins de deux heures), DLC J+5 en poche fermée
Le jour du service : monder et épépiner les tomates, tailler en dés, couper les œufs durs en quartiers
Mélanger en liaison froide pommes de terre, jambon, cornichons, tomates, mayonnaise et moutarde
Rectifier sel et poivre, ajouter les œufs délicatement
Conditionner en bacs gastro filmés, étiqueter, stocker 0/+3°C
Dresser au service avec le persil, consommation sous 24h (produit à base de mayonnaise)</t>
  </si>
  <si>
    <t xml:space="preserve">Cuisson à l'eau bouillante salée
Marmite ou sauteuse
Refroidissement en cellule puis assemblage froid</t>
  </si>
  <si>
    <t xml:space="preserve">Mode opératoire :
Peser tous les ingrédients d'épicerie
Porter l'eau salée à ébullition, verser les perles, cuire 9 à 10 min en remuant
Égoutter, rafraîchir à l'eau froide, huiler légèrement
Refroidir en cellule (63°C à 10°C en moins de deux heures)
Blanchir les poivrons 3 min vapeur 100°C, refroidir en cellule
Laver, tailler les tomates cerises en deux et les concombres en dés
Réaliser la vinaigrette : vinaigre balsamique, sel, poivre, huile d'olive, basilic
Mélanger en liaison froide les perles, les légumes, la mozzarella et la vinaigrette
Conditionner en bacs gastro filmés, étiqueter, stocker 0/+3°C
Service sous 24h, remuer avant dressage</t>
  </si>
  <si>
    <t xml:space="preserve">Mode opératoire :
Peser tous les ingrédients d'épicerie
Porter l'eau salée à ébullition, verser le blé, cuire 10 min en remuant
Égoutter, rafraîchir à l'eau froide, huiler légèrement
Refroidir en cellule (63°C à 10°C en moins de deux heures)
Monder, épépiner les tomates et tailler en dés, tailler les concombres en dés
Réaliser la vinaigrette : moutarde, vinaigre, sel, huile
Mélanger en liaison froide le blé, le thon émietté, le maïs, les légumes, les oignons et la vinaigrette
Rectifier l'assaisonnement
Conditionner en bacs gastro filmés, étiqueter, stocker 0/+3°C
Dresser au service avec la ciboulette, consommation sous 24h</t>
  </si>
  <si>
    <t xml:space="preserve">Mode opératoire :
Peser tous les ingrédients d'épicerie
Porter l'eau salée à ébullition, verser le mélange de céréales, cuire 12 min selon indication fabricant
Égoutter, rafraîchir, huiler légèrement
Refroidir en cellule (63°C à 10°C en moins de deux heures)
Blanchir les poivrons 3 min vapeur 100°C, refroidir en cellule
Réaliser la vinaigrette : jus de citron, sel, curry, huile d'olive
Mélanger en liaison froide les céréales, carottes, pois chiches, raisins, poivrons et vinaigrette
Ajouter la feta délicatement, rectifier l'assaisonnement
Conditionner en bacs gastro filmés, étiqueter, stocker 0/+3°C
Dresser au service avec les herbes, consommation sous 24h</t>
  </si>
  <si>
    <t xml:space="preserve">Préparation froide
Produit prêt à l'emploi
Bac gastro + film, 0/+3°C</t>
  </si>
  <si>
    <t xml:space="preserve">Mode opératoire :
Contrôler la DLC et la T° à réception (0/+3°C)
Déconditionner la mousse en légumerie froide, noter la date d'ouverture
Trancher ou portionner à 50-60 g par personne (cuillère ou tranche selon présentation)
Dresser sur assiette ou en barquette avec un bouquet de salade assaisonnée, cornichons et une touche de confit d'oignons
Filmer, étiqueter, stocker 0/+3°C jusqu'au service
Servir avec pain et beurre, consommation dans les 24h après ouverture</t>
  </si>
  <si>
    <t xml:space="preserve">Cuisson 72°C four vapeur
Bac gastro avec couvercles ou poches sous vide
Effilochage et conditionnement froid le lendemain</t>
  </si>
  <si>
    <t xml:space="preserve">&gt; à 1200</t>
  </si>
  <si>
    <t xml:space="preserve">Mode opératoire :
Peser tous les ingrédients d'épicerie
Frotter les cuisses avec le sel, le poivre et le quatre-épices, laisser 2h au froid 0/+3°C
Plaquer les cuisses en bacs 1/1 avec la graisse fondue, les oignons, l'ail, le vin blanc, thym et laurier
Ajouter un couvercle sans trou (ou conditionner sous vide par 5 Kg)
Appliquer le programme : Cuisses de canard cuisson de nuit (72°C vapeur 12H00 à 18H00)
Le lendemain : décanter, récupérer le jus et la graisse, désosser et effilocher la chair encore chaude (≥ 63°C) à la fourchette ou à la feuille du batteur vitesse lente
Incorporer la graisse et le jus réduit jusqu'à texture moelleuse, rectifier l'assaisonnement
Mouler en bacs ou terrines, lisser, couvrir d'une fine couche de graisse
Refroidir en cellule (63°C à 10°C en moins de deux heures), filmer, étiqueter, DLC J+3 à 0/+3°C
Servir 60-80 g avec cornichons et pain grillé</t>
  </si>
  <si>
    <t xml:space="preserve">Préparation froide
Produit prêt à l'emploi, pain toasté au four
Assiette filmée, 0/+3°C</t>
  </si>
  <si>
    <t xml:space="preserve">Mode opératoire :
Contrôler la DLC et la T° à réception (0/+3°C), placer le bloc 24h au froid avant mise en œuvre
Toaster les tranches de pain au four mixte 200°C 4 à 5 min, refroidir à T° ambiante, stocker en boîte hermétique
Déconditionner le bloc en légumerie froide, trancher à la lyre ou au couteau chaud à 35-40 g par personne
Dresser sur assiette : toast, tranche de foie gras, quenelle de confit de figues, bouquet de mâche assaisonnée
Fleur de sel et poivre au moment du dressage
Filmer, étiqueter, stocker 0/+3°C, sortir 10 min avant service
Consommation dans les 24h après ouverture</t>
  </si>
  <si>
    <t xml:space="preserve">Mode opératoire :
Contrôler la DLC et la T° du céleri râpé à réception (0/+4°C)
Peser tous les ingrédients d'épicerie
Réaliser la sauce rémoulade : mélanger mayonnaise, moutarde, crème, jus de citron, sel et poivre
Mélanger le céleri râpé et la sauce en liaison froide (cutter ou bac inox, gants)
Rectifier l'assaisonnement, texture crémeuse et enrobante
Conditionner en bacs gastro filmés, étiqueter, stocker 0/+3°C
Laisser mariner 2h minimum au froid avant service
Dresser à 100 g avec persil, consommation sous 24h</t>
  </si>
  <si>
    <t xml:space="preserve">Four mixte 180°C
Coquilles ou ramequins sur plaques gastro
Service liaison chaude ≥ 63°C</t>
  </si>
  <si>
    <t xml:space="preserve">Mode opératoire :
Décongeler les noix 24h au froid 0/+3°C sur grille, éponger
Peser tous les ingrédients d'épicerie
Suer les échalotes au beurre, ajouter les champignons, déglacer au vin blanc, réduire de moitié
Ajouter le fumet reconstitué avec l'eau, lier au roux (beurre + farine), crémer, cuire 5 min, sel, poivre
Pocher les noix 2 min dans la sauce frémissante, stopper la chauffe
Répartir en coquilles ou ramequins (3 à 4 noix + sauce), parsemer de chapelure et d'emmental
Refroidir en cellule si fabrication J-1 (63°C à 10°C en moins de deux heures), filmer, stocker 0/+3°C
Gratiner au four mixte 180°C 10 à 12 min, contrôle 63°C à cœur
Maintenir ≥ 63°C en étuve, service sous 2h, persil au dressage</t>
  </si>
  <si>
    <t xml:space="preserve">Four mixte 190°C
Plaques gastro, feuilletés + sauce en bac
Service liaison chaude ≥ 63°C</t>
  </si>
  <si>
    <t xml:space="preserve">Mode opératoire :
Décongeler les noix 24h au froid 0/+3°C sur grille, éponger
Peser tous les ingrédients d'épicerie
Suer les échalotes et la fondue de poireaux au beurre 10 min, déglacer au vin blanc, réduire
Mouiller avec le fumet reconstitué, crémer, lier avec la fécule délayée, cuire 5 min, sel, poivre
Pocher les noix 2 min dans la sauce frémissante, stopper la chauffe
Conditionner la garniture en bacs gastro, refroidir en cellule (63°C à 10°C en moins de deux heures), stocker 0/+3°C
Le jour du service : remettre la garniture en T° au four vapeur 90°C jusqu'à 63°C à cœur
Réchauffer les bouchées feuilletées au four mixte 190°C 6 à 8 min
Garnir les feuilletés au moment du dressage, ciboulette, service immédiat ≥ 63°C</t>
  </si>
  <si>
    <t xml:space="preserve">Préparation froide
Produits prêts à l'emploi
Assiette filmée, 0/+3°C</t>
  </si>
  <si>
    <t xml:space="preserve">Mode opératoire :
Contrôler les DLC et la T° à réception (0/+3°C)
Déconditionner en légumerie froide, noter la date d'ouverture sur chaque produit
Trancher le pâté à 30 g, prévoir 1 tranche de jambon blanc, 3 rondelles de rosette, 1 tranche de jambon sec par personne
Dresser sur assiette avec cornichons et un bouquet de salade assaisonnée
Filmer, étiqueter, stocker 0/+3°C jusqu'au service
Servir avec beurre et pain, consommation dans les 24h après ouverture</t>
  </si>
  <si>
    <t xml:space="preserve">Préparation froide
Produit prêt à l'emploi
Assiette filmée, 0/+3°C</t>
  </si>
  <si>
    <t xml:space="preserve">Mode opératoire :
Contrôler la DLC et la T° à réception (0/+3°C)
Déconditionner en légumerie froide, noter la date d'ouverture
Trancher à la trancheuse ou au couteau à 60-70 g (1 tranche de 1 cm)
Dresser sur assiette avec cornichons, moutarde et bouquet de salade assaisonnée
Filmer, étiqueter, stocker 0/+3°C jusqu'au service
Consommation dans les 24h après ouverture</t>
  </si>
  <si>
    <t xml:space="preserve">Four mixte 160°C
Plaques gastro, crêpes garnies et roulées
Service liaison chaude ≥ 63°C</t>
  </si>
  <si>
    <t xml:space="preserve">Mode opératoire :
Peser tous les ingrédients d'épicerie
Réaliser une béchamel : roux beurre + farine, mouiller au lait froid, cuire 5 min, crémer, sel, poivre, muscade
Refroidir la béchamel en cellule si fabrication J-1
Garnir chaque crêpe : 1 cuillère de béchamel, 1/2 tranche de jambon, emmental râpé, rouler ou plier en 4
Ranger en plaques gastro beurrées, napper d'un voile de béchamel et d'emmental
Filmer, étiqueter, stocker 0/+3°C (fabrication J-1 possible)
Cuisson au four mixte 160°C mode mixte 15 à 18 min, contrôle 63°C à cœur
Maintenir ≥ 63°C en étuve, service sous 2h</t>
  </si>
  <si>
    <t xml:space="preserve">Mode opératoire :
Laver et désinfecter les courgettes (légumerie, bain chloré puis rinçage)
Râper les courgettes non épluchées au coupe-légumes grille moyenne
Saler, laisser dégorger 30 min en bac perforé, presser légèrement
Réaliser la sauce : fromage blanc, moutarde, jus de citron, ail, huile d'olive, poivre
Mélanger les courgettes et la sauce en liaison froide, ajouter les herbes
Rectifier l'assaisonnement
Conditionner en bacs gastro filmés, étiqueter, stocker 0/+3°C
Dresser à 100 g, consommation sous 24h</t>
  </si>
  <si>
    <t xml:space="preserve">Préparation froide
Produit prêt à l'emploi (conserve)
Assiette filmée, 0/+3°C</t>
  </si>
  <si>
    <t xml:space="preserve">Mode opératoire :
Contrôler les boîtes (aucune bombée ou cabossée), DLUO
Ouvrir les boîtes en légumerie froide, égoutter partiellement les sardines
Dresser 2 à 3 sardines par assiette (1 boîte 1/4 par personne) avec quartier de citron, rondelles de tomate et bouquet de salade assaisonnée
Persil au dressage
Filmer, étiqueter, stocker 0/+3°C jusqu'au service
Servir avec pain et beurre, consommation dans les 24h après ouverture</t>
  </si>
  <si>
    <t xml:space="preserve">Sous vide 63°C thermoplongeur ou four vapeur
Poches sous vide
Service froid en liaison froide</t>
  </si>
  <si>
    <t xml:space="preserve">Mode opératoire :
Décongeler les filets 24h au froid 0/+3°C sur grille, éponger
Peser tous les ingrédients d'épicerie
Réaliser la sauce : mélanger les moutardes, la crème, le vin blanc, le jus de citron, les échalotes, sel et poivre
Ranger les filets à plat en poches sous vide (2 Kg par poche) avec la sauce, carottes, laurier et thym, mettre sous vide
Cuire à 63°C thermoplongeur ou four vapeur 40 min (contrôle 63°C à cœur sonde)
Refroidir en cellule en poche (63°C à 10°C en moins de deux heures)
Étiqueter, stocker 0/+3°C, DLC J+5 en poche fermée
Ouvrir le jour du service, dresser 1 filet et sa sauce par assiette
Filmer, stocker 0/+3°C, service froid sous 24h après ouverture</t>
  </si>
  <si>
    <t xml:space="preserve">Four mixte 180°C
Plaques gastro ou cercles à tarte
Service chaud ≥ 63°C ou froid 0/+3°C</t>
  </si>
  <si>
    <t xml:space="preserve">Mode opératoire :
Laver et désinfecter les tomates, tailler en rondelles de 5 mm, égoutter 20 min en bac perforé
Foncer les plaques gastro avec la pâte feuilletée, piquer, précuire à blanc 10 min à 180°C
Étaler la moutarde sur le fond, parsemer d'emmental
Ranger les rondelles de tomates en les chevauchant, ajouter les rondelles de chèvre
Sel, poivre, herbes de Provence, filet d'huile d'olive
Cuisson au four mixte 180°C chaleur sèche 25 à 30 min, contrôle 63°C à cœur
Service chaud : maintenir ≥ 63°C en étuve, service sous 2h
Service froid : refroidir en cellule (63°C à 10°C en moins de deux heures), filmer, stocker 0/+3°C, service sous 24h
Portionner à 24 parts par plaque</t>
  </si>
  <si>
    <t xml:space="preserve">Four mixte 180°C
Plaques gastro
Service chaud ≥ 63°C ou froid 0/+3°C</t>
  </si>
  <si>
    <t xml:space="preserve">Mode opératoire :
Peser tous les ingrédients d'épicerie
Foncer les plaques gastro avec la pâte brisée, piquer, précuire à blanc 10 min à 180°C
Égoutter la ratatouille en bac perforé, mélanger avec le concentré de tomates et le basilic
Réaliser l'appareil : œufs, crème, sel, poivre, herbes de Provence
Répartir les légumes sur les fonds, parsemer de feta et d'olives, verser l'appareil
Cuisson au four mixte 180°C chaleur sèche 30 à 35 min, appareil pris, contrôle 63°C à cœur
Service chaud : maintenir ≥ 63°C en étuve, service sous 2h
Service froid : refroidir en cellule (63°C à 10°C en moins de deux heures), filmer, stocker 0/+3°C, service sous 24h
Portionner à 24 parts par plaque</t>
  </si>
  <si>
    <t xml:space="preserve">Four mixte 180°C
Plaques gastro
Service chaud ≥ 63°C</t>
  </si>
  <si>
    <t xml:space="preserve">Mode opératoire :
Peser tous les ingrédients d'épicerie
Compoter les oignons au beurre en sauteuse feu doux 30 min avec le thym, sans coloration, sel
Égoutter et refroidir les oignons en cellule (63°C à 10°C en moins de deux heures)
Foncer les plaques gastro avec la pâte brisée, piquer, précuire à blanc 10 min à 180°C
Réaliser l'appareil : œufs, crème, lait, sel, poivre, muscade
Répartir les oignons sur les fonds, verser l'appareil, parsemer d'emmental
Cuisson au four mixte 180°C chaleur sèche 30 à 35 min, appareil pris et doré, contrôle 63°C à cœur
Maintenir ≥ 63°C en étuve, service sous 2h, ou refroidir en cellule pour remise en T° différée
Portionner à 24 parts par plaque</t>
  </si>
  <si>
    <t xml:space="preserve">Mode opératoire :
Peser tous les ingrédients d'épicerie
Foncer les plaques gastro avec la pâte brisée, piquer, précuire à blanc 10 min à 180°C
Réaliser l'appareil : œufs, crème, lait, sel, poivre, muscade, fouetter
Répartir les fromages râpés sur les fonds, verser l'appareil
Cuisson au four mixte 180°C chaleur sèche 30 à 35 min, appareil pris et doré, contrôle 63°C à cœur
Maintenir ≥ 63°C en étuve, service sous 2h
Fabrication J-1 possible : refroidir en cellule (63°C à 10°C en moins de deux heures), stocker 0/+3°C, remise en T° four 160°C jusqu'à 63°C à cœur
Portionner à 24 parts par plaque</t>
  </si>
  <si>
    <t xml:space="preserve">Mode opératoire :
Peser tous les ingrédients d'épicerie
Blanchir les lardons 2 min à l'eau bouillante, égoutter, rissoler en sauteuse sans matière grasse, égoutter
Foncer les plaques gastro avec la pâte brisée, piquer, précuire à blanc 10 min à 180°C
Réaliser l'appareil : œufs, crème, lait, sel, poivre, muscade, fouetter
Répartir les lardons et l'emmental sur les fonds, verser l'appareil
Cuisson au four mixte 180°C chaleur sèche 30 à 35 min, appareil pris et doré, contrôle 63°C à cœur
Maintenir ≥ 63°C en étuve, service sous 2h
Fabrication J-1 possible : refroidir en cellule (63°C à 10°C en moins de deux heures), stocker 0/+3°C, remise en T° four 160°C jusqu'à 63°C à cœur
Portionner à 24 parts par plaque</t>
  </si>
  <si>
    <t xml:space="preserve">Mode opératoire :
Peser tous les ingrédients d'épicerie
Suer les oignons, ajouter les tomates concassées égouttées, réduire 10 min, refroidir en cellule
Foncer les plaques gastro avec la pâte brisée, piquer, précuire à blanc 10 min à 180°C
Réaliser l'appareil : œufs, crème, lait, sel, poivre, herbes de Provence
Répartir le thon émietté, la fondue de tomates et l'emmental sur les fonds, verser l'appareil
Cuisson au four mixte 180°C chaleur sèche 30 à 35 min, appareil pris et doré, contrôle 63°C à cœur
Maintenir ≥ 63°C en étuve, service sous 2h
Fabrication J-1 possible : refroidir en cellule (63°C à 10°C en moins de deux heures), stocker 0/+3°C, remise en T° four 160°C jusqu'à 63°C à cœur
Portionner à 24 parts par plaque</t>
  </si>
  <si>
    <t xml:space="preserve">Sous vide 65°C thermoplongeur ou four vapeur
Poches sous vide (suprêmes de volaille)
Assemblage en liaison froide</t>
  </si>
  <si>
    <t xml:space="preserve">Mode opératoire :
Peser tous les ingrédients d'épicerie
Assaisonner les suprêmes (sel, poivre, paprika), conditionner sous vide par 2,5 Kg à plat
Cuire à 65°C thermoplongeur ou four vapeur 2H00 à 2H30 (contrôle 65°C à cœur sonde)
Refroidir en cellule en poche (63°C à 10°C en moins de deux heures), stocker 0/+3°C, DLC J+5
Tailler le pain de mie en dés, huiler, toaster au four mixte 180°C 8 min, refroidir, boîte hermétique
Réaliser la sauce César : mayonnaise, yaourt, jus de citron, ail, anchois hachés, parmesan 0,2 Kg, poivre, huile d'olive
Le jour du service : émincer les suprêmes en lanières en légumerie froide
Dresser en liaison froide : salade, lanières de poulet, sauce, croûtons et copeaux de parmesan
Filmer, étiqueter, stocker 0/+3°C, service sous 24h, croûtons au dernier moment</t>
  </si>
  <si>
    <t xml:space="preserve">Mode opératoire :
Contrôler la DLC et la T° à réception (0/+3°C)
Déconditionner les bâtonnets en légumerie froide, noter la date d'ouverture
Réaliser la sauce cocktail : mayonnaise, ketchup, alcool, paprika, poivre
Dresser 4 bâtonnets (60 g) par assiette avec quartier de citron, bouquet de salade assaisonnée et sauce cocktail en ramequin
Ciboulette au dressage
Filmer, étiqueter, stocker 0/+3°C jusqu'au service
Consommation dans les 24h après ouverture</t>
  </si>
  <si>
    <t xml:space="preserve">Four mixte 200°C chaleur sèche
Plaques gastro avec papier cuisson
Service liaison chaude ≥ 63°C</t>
  </si>
  <si>
    <t xml:space="preserve">Mode opératoire :
Peser tous les ingrédients d'épicerie
Réaliser la sauce : dissoudre le sucre dans l'eau tiède, ajouter nuoc-mâm, vinaigre, jus de citron, ail et carottes râpées, stocker 0/+3°C
Ranger les nems surgelés sans décongélation sur plaques gastro avec papier cuisson, sans les coller, badigeonner d'huile
Cuisson au four mixte 200°C chaleur sèche 18 à 22 min, retourner à mi-cuisson, contrôle 63°C à cœur
Dresser 2 nems par personne sur un lit de salade avec feuilles de menthe
Servir la sauce en ramequin à part
Maintenir ≥ 63°C en étuve ventilée, service sous 1h pour conserver le croustillant</t>
  </si>
  <si>
    <t xml:space="preserve">Mode opératoire :
Contrôler la DLC et la T° du chou rouge à réception (0/+4°C)
Peser tous les ingrédients d'épicerie
Réaliser la vinaigrette : moutarde, miel, vinaigre de cidre, sel, poivre, huile
Mélanger le chou rouge et la vinaigrette, laisser mariner 2h minimum au froid pour attendrir
Laver, désinfecter les pommes, tailler en petits dés ou râper, citronner immédiatement
Mélanger en liaison froide le chou mariné, les pommes et les raisins secs, rectifier l'assaisonnement
Conditionner en bacs gastro filmés, étiqueter, stocker 0/+3°C
Dresser à 100 g, consommation sous 24h</t>
  </si>
  <si>
    <t xml:space="preserve">Four mixte 180°C
Plaques gastro
Service liaison chaude ≥ 63°C</t>
  </si>
  <si>
    <t xml:space="preserve">Mode opératoire :
Peser tous les ingrédients d'épicerie
Réaliser une béchamel épaisse : roux beurre 0,15 Kg + farine, mouiller au lait froid, cuire 5 min, sel, poivre, muscade
Beurrer légèrement les tranches de pain de mie sur une face
Monter : tranche de pain, béchamel, 1/2 tranche de jambon, emmental, tranche de pain, voile de béchamel et emmental sur le dessus
Ranger sur plaques gastro avec papier cuisson
Filmer, étiqueter, stocker 0/+3°C (fabrication J-1 possible)
Cuisson au four mixte 180°C chaleur sèche 12 à 15 min, doré, contrôle 63°C à cœur
Maintenir ≥ 63°C en étuve ventilée, service sous 1h, 1 croque par personne</t>
  </si>
  <si>
    <t xml:space="preserve">Cuisson 75°C four vapeur
Moules à terrine filmés ou poches sous vide
Service froid en liaison froide</t>
  </si>
  <si>
    <t xml:space="preserve">Mode opératoire :
Décongeler les poissons 24h au froid 0/+3°C sur grille, éponger ; décongeler et presser les épinards
Peser tous les ingrédients d'épicerie
Mixer le poisson blanc au cutter avec sel, poivre, muscade, fécule, incorporer les blancs puis la crème bien froide, jus de citron (farce &lt; 10°C)
Prélever 1/4 de la farce, la colorer avec les épinards mixés
Tailler le saumon en bâtonnets, assaisonner
Mouler en terrines ou bacs 1/2 filmés : farce blanche, bâtonnets de saumon, farce verte, farce blanche, filmer au contact (ou poches sous vide 2 Kg)
Cuire au four vapeur 75°C 1H30 à 2H00, contrôle 68°C à cœur sonde
Refroidir en cellule (63°C à 10°C en moins de deux heures), stocker 0/+3°C, DLC J+3 (J+5 en poche sous vide fermée)
Démouler, trancher à 100 g en légumerie froide, dresser avec mayonnaise à la ciboulette et aneth
Filmer, stocker 0/+3°C, service sous 24h après tranchage</t>
  </si>
  <si>
    <t xml:space="preserve">Préparation froide
Saumon fumé + saumon cuit sous vide refroidi
Bac gastro + film, 0/+3°C</t>
  </si>
  <si>
    <t xml:space="preserve">Mode opératoire :
Public fragile : pas de saumon cru ; les pavés sont cuits sous vide 63°C 30 min puis refroidis en cellule la veille (DLC J+3)
Contrôler la DLC et la T° du saumon fumé (0/+3°C)
En légumerie froide (&lt; 12°C de T° ambiante, gants) : tailler le saumon fumé en petits dés, émietter le saumon cuit
Tailler les concombres épépinés et les pommes en brunoise fine, citronner
Mélanger saumons, concombres, pommes, échalotes, huile d'olive, jus de citron, aneth, ciboulette, sel, poivre
Rectifier l'assaisonnement, texture liée
Mouler en cercle ou dresser en quenelle (100 g) avec un trait de crème à la ciboulette
Filmer, étiqueter, stocker 0/+3°C, service sous 24h avec blinis ou pain toasté</t>
  </si>
  <si>
    <t xml:space="preserve">Cuisson 85°C four vapeur
Bac gastro avec couvercles ou sauteuse
Mixage et crémage le lendemain</t>
  </si>
  <si>
    <t xml:space="preserve">Mode opératoire :
Peser tous les ingrédients d'épicerie
Suer les oignons et les cèpes au beurre en sauteuse 5 min pour la coloration
Répartir dans 2 bacs 1/1 (H15) : cèpes, châtaignes, pommes de terre, fond délayé dans l'eau, sel, thym
Ajouter un couvercle sans trou
Appliquer le programme : Potage cuisson de nuit (85°C vapeur 12H00 à 18H00) ou sauteuse 85°C fonction mijotage
Le lendemain : mixer finement au mixeur plongeant, crémer, muscade, poivre, rectifier la consistance et l'assaisonnement
Porter à 85°C 5 min, puis maintenir ≥ 63°C en étuve pour service en liaison chaude
Ou conditionner en bacs, refroidir en cellule (63°C à 10°C en moins de deux heures) pour remise en T° différée, DLC J+3
Dresser 25 cl par bol, persil au service</t>
  </si>
  <si>
    <t xml:space="preserve">Cuisson marmite ou sauteuse 30 min
Bac gastro avec couvercles
Service liaison chaude ≥ 63°C</t>
  </si>
  <si>
    <t xml:space="preserve">Mode opératoire :
Peser tous les ingrédients d'épicerie
Suer les oignons et les poireaux au beurre en marmite sans coloration 5 min
Ajouter les pommes de terre, les asperges (hors pointes), le fond délayé dans l'eau, le sel
Cuire à frémissement 25 à 30 min, pommes de terre fondantes
Mixer finement au mixeur plongeant, passer au chinois si besoin, crémer, poivre, rectifier
Ajouter les pointes d'asperges entières au moment du service, porter à 85°C 3 min
Maintenir ≥ 63°C en étuve, service sous 2h, 25 cl par bol, cerfeuil au dressage
Ou conditionner en bacs, refroidir en cellule (63°C à 10°C en moins de deux heures), stocker 0/+3°C, DLC J+3, remise en T° ≥ 63°C à cœur</t>
  </si>
  <si>
    <t xml:space="preserve">Mode opératoire :
Peser tous les ingrédients d'épicerie
Répartir dans 2 bacs 1/1 (H15) : potimarron, pommes de terre, carottes, oignons, beurre, fond délayé dans l'eau, sel
Mélanger, ajouter un couvercle sans trou
Appliquer le programme : Potage cuisson de nuit (85°C vapeur 12H00 à 18H00) ou sauteuse 85°C fonction mijotage
Le lendemain : mixer finement au mixeur plongeant, crémer, muscade, curry, poivre, rectifier la consistance et l'assaisonnement
Porter à 85°C 5 min, puis maintenir ≥ 63°C en étuve pour service en liaison chaude
Ou conditionner en bacs, refroidir en cellule (63°C à 10°C en moins de deux heures) pour remise en T° différée, DLC J+3
Dresser 25 cl par bol, graines de courge ou croûtons au service</t>
  </si>
  <si>
    <t xml:space="preserve">Cuisson marmite ou sauteuse 40 min
Bac gastro avec couvercles
Service liaison chaude ≥ 63°C</t>
  </si>
  <si>
    <t xml:space="preserve">Mode opératoire :
Peser tous les ingrédients d'épicerie
Suer les oignons, poireaux et ail à l'huile d'olive en marmite sans coloration
Ajouter les tomates concassées, le concentré, le poisson blanc encore surgelé en morceaux, laurier, fenouil
Mouiller avec la soupe de poisson et l'eau, safran, sel, poivre
Cuire à frémissement 40 min, écumer
Mixer finement au mixeur plongeant, passer au chinois, rectifier l'assaisonnement
Porter à 85°C puis maintenir ≥ 63°C en étuve, service sous 2h, 25 cl par bol
Ou conditionner en bacs, refroidir en cellule (63°C à 10°C en moins de deux heures), stocker 0/+3°C, DLC J+3, remise en T° ≥ 63°C à cœur
Servir avec croûtons, rouille et emmental râpé à part</t>
  </si>
  <si>
    <t xml:space="preserve">Cuisson 85°C four vapeur (gésiers confits)
Poches sous vide ou bac gastro avec couvercle
Assemblage en liaison froide</t>
  </si>
  <si>
    <t xml:space="preserve">Mode opératoire :
Peser tous les ingrédients d'épicerie
Parer les gésiers, saler (10 g/Kg), poivrer, thym, laurier, ail, laisser 2h au froid 0/+3°C
Conditionner les gésiers sous vide par 2 Kg avec la graisse de canard fondue (ou bac 1/1 avec couvercle sans trou)
Appliquer le programme : Gésiers confits cuisson de nuit (85°C vapeur 12H00 à 18H00)
Le lendemain : refroidir en cellule (63°C à 10°C en moins de deux heures), stocker 0/+3°C, DLC J+5 en poche fermée
Tailler le pain de mie en dés, huiler, toaster au four mixte 180°C 8 min, refroidir, boîte hermétique
Réaliser la vinaigrette : moutarde, vinaigre de Xérès, sel, poivre, huiles
Le jour du service : émincer les gésiers, les tiédir rapidement en sauteuse (≥ 63°C) ou servir froids
Dresser en liaison froide : salade assaisonnée, gésiers, tranches de magret fumé, tomates cerises, noix, croûtons
Filmer, étiqueter, stocker 0/+3°C, service sous 24h, croûtons au dernier moment</t>
  </si>
  <si>
    <t xml:space="preserve">Mode opératoire :
Peser tous les ingrédients d'épicerie
Parer les gésiers, saler (10 g/Kg), poivrer, thym, laurier, laisser 2h au froid 0/+3°C
Conditionner les gésiers sous vide par 2 Kg avec la graisse de canard fondue (ou bac 1/1 avec couvercle sans trou)
Appliquer le programme : Gésiers confits cuisson de nuit (85°C vapeur 12H00 à 18H00)
Le lendemain : refroidir en cellule (63°C à 10°C en moins de deux heures), stocker 0/+3°C, DLC J+5 en poche fermée
Tailler le pain en dés, huiler, ail, toaster au four mixte 180°C 8 min, refroidir, boîte hermétique
Rissoler les lardons blanchis, égoutter, refroidir en cellule
Réaliser la vinaigrette : moutarde, vinaigre, échalotes, sel, poivre, huile
Le jour du service : émincer les gésiers, les tiédir rapidement en sauteuse (≥ 63°C) ou servir froids
Dresser en liaison froide : salade assaisonnée, gésiers, lardons, croûtons au dernier moment
Filmer, étiqueter, stocker 0/+3°C, service sous 24h</t>
  </si>
  <si>
    <t xml:space="preserve">Cuisson œufs four vapeur 100°C 12 min
Grilles gastro, refroidissement en cellule
Dressage en liaison froide 0/+3°C</t>
  </si>
  <si>
    <t xml:space="preserve">Mode opératoire :
Contrôler les œufs (coquilles propres, non fêlées, DCR)
Ranger les œufs sur grilles gastro, cuire au four vapeur 100°C 12 min (ou eau bouillante 10 min)
Rafraîchir immédiatement en eau glacée puis refroidir en cellule (63°C à 10°C en moins de deux heures)
Écaler les œufs en légumerie froide (gants), stocker en bac filmé 0/+3°C, DLC J+2
Mélanger la mayonnaise et la moutarde, poivre
Dresser 1,5 œuf (3 demi-œufs) par assiette sur bouquet de salade assaisonnée, rondelles de tomate, napper de mayonnaise
Ciboulette et paprika au dressage
Filmer, étiqueter, stocker 0/+3°C, service sous 24h</t>
  </si>
  <si>
    <t xml:space="preserve">Mode opératoire :
Peser tous les ingrédients d'épicerie
Conditionner les fonds d'artichauts surgelés en poches sous vide de 2 Kg avec 0,05 L de jus de citron, 10 g de sel et thym par poche
Cuire à 90°C vapeur ou thermoplongeur 45 min à 1H00 (pointe du couteau sans résistance)
Refroidir en cellule en poche (63°C à 10°C en moins de deux heures), stocker 0/+3°C, DLC J+5
Le jour du service : égoutter, tailler les fonds en quartiers en légumerie froide
Monder, épépiner les tomates, tailler en dés
Réaliser la vinaigrette : moutarde, vinaigre, jus de citron restant, sel, poivre, huile d'olive
Mélanger artichauts, tomates, échalotes, olives et vinaigrette, basilic
Conditionner en bacs gastro filmés, étiqueter, stocker 0/+3°C, service sous 24h</t>
  </si>
  <si>
    <t xml:space="preserve">Sous vide 85°C four vapeur ou thermoplongeur
Poches sous vide
Service froid en liaison froide</t>
  </si>
  <si>
    <t xml:space="preserve">Mode opératoire :
Peser tous les ingrédients d'épicerie
Réaliser la marinade : suer les oignons à l'huile d'olive, ajouter tomates concassées, concentré, vin blanc, jus de citron, coriandre, thym, laurier, sel, poivre, cuire 10 min, refroidir en cellule
Conditionner les champignons encore surgelés en poches sous vide de 2,5 Kg avec la marinade froide répartie, mettre sous vide
Cuire à 85°C vapeur ou thermoplongeur 1H00 à 1H30
Refroidir en cellule en poche (63°C à 10°C en moins de deux heures), stocker 0/+3°C, DLC J+5
Le jour du service : ouvrir, rectifier l'assaisonnement, persil
Conditionner en bacs gastro filmés, étiqueter, stocker 0/+3°C
Dresser à 100 g froid, service sous 24h après ouverture</t>
  </si>
  <si>
    <t xml:space="preserve">Mode opératoire :
Laver et désinfecter tous les légumes en légumerie (bain chloré puis rinçage)
Tailler les tomates en quartiers ou gros dés, les concombres épépinés en demi-rondelles, les poivrons en lanières fines
Réaliser la vinaigrette : jus de citron, sel, poivre, origan, huile d'olive
Mélanger en liaison froide les légumes, les oignons rouges, les olives et la vinaigrette
Ajouter la feta en dés délicatement au dernier moment, rectifier l'assaisonnement
Conditionner en bacs gastro filmés, étiqueter, stocker 0/+3°C
Dresser à 120 g, consommation sous 24h (légumes qui rendent de l'eau)</t>
  </si>
  <si>
    <t xml:space="preserve">Cuisson nuit vapeur 65°C (pic 80°C jusqu'à 72°C à cœur)
Bac gastro ou grilles ou sauteuse</t>
  </si>
  <si>
    <t xml:space="preserve">Mode opératoire :
Peser les ingrédients d'épicerie, sortir les rôtis 30 min avant (1 h maxi hors froid)
Saler, poivrer, huiler les rôtis et les plaquer en bacs gastro 1/1 ou sur grilles, sonde à cœur dans le rôti le plus gros
Ajouter oignons, carottes et aromates autour ; si cuisson en bac mouiller à mi-hauteur avec l'eau et le fond de veau, sans couvercle ; en sauteuse mouiller à hauteur
Phase 1 : four 80°C ambiance vapeur jusqu'à 72°C à cœur (sauteuse : idem)
Phase 2 : four 65°C ambiance vapeur jusqu'au lendemain matin (12h à 18h au total)
Le lendemain : décanter le jus, le lier à la fécule délayée, porter à ébullition, rectifier l'assaisonnement
Trancher les rôtis à 100 g, remettre en bacs avec le jus
Refroidir en cellule (63°C à 10°C en moins de deux heures) pour une remise en T° différée ≥ 63°C à cœur ou maintenir en étuve ≥ 63°C pour un service en liaison chaude</t>
  </si>
  <si>
    <t xml:space="preserve">Four mixte 180°C air pulsé
Plaques gastro, 20 à 25 min</t>
  </si>
  <si>
    <t xml:space="preserve">Mode opératoire :
Déconditionner les cordons bleus surgelés, sans décongélation préalable, noter lot et DLC
Plaquer sur plaques gastro huilées ou papier cuisson, en une seule couche sans chevauchement
Four mixte 180°C air pulsé 20 à 25 min, retourner à mi-cuisson
Contrôler 63°C à cœur à la sonde, noter la T° sur la fiche de traçabilité
Sauce tomate : suer les oignons à l'huile, ajouter le concentré, mouiller avec l'eau et le fond de volaille, herbes, sel, poivre, cuire 20 min, lier à la fécule délayée
Dresser 1 cordon bleu par portion, sauce à part en saucière ou bac gastro
Maintenir en étuve ≥ 63°C sans couvercle (2 h maxi) ou refroidir en cellule (63°C à 10°C en moins de 2 h) pour une remise en T° différée ≥ 63°C à cœur</t>
  </si>
  <si>
    <t xml:space="preserve">Mode opératoire :
Travailler en liaison froide, produits à 0/+3°C, plan de travail et trancheuse désinfectés
Déconditionner le jambon, noter le n° de lot et la DLC sur la fiche de traçabilité
Trancher à la trancheuse en tranches de 50 g (2 tranches par portion), rouler ou plier
Dresser en bacs gastro ou à l'assiette, filmer immédiatement, étiqueter (date, heure)
Garnir : cornichons, pointe de moutarde ou mayonnaise, bouquet de salade assaisonnée au moment du service
Conserver en chambre froide 0/+3°C, service dans les 24 h après tranchage
Texture modifiée : mixer le jambon avec un peu de mayonnaise, mouler, remettre au froid</t>
  </si>
  <si>
    <t xml:space="preserve">Mode opératoire :
La veille : cuire la macédoine surgelée 100°C vapeur 8 à 10 min, refroidir en cellule à +3°C, égoutter
Travailler en liaison froide, produits à 0/+3°C, plan de travail désinfecté
Mélanger la macédoine bien égouttée avec la mayonnaise, la moutarde, sel, poivre, persil
Trancher le jambon à 50 g (2 tranches par portion), rouler chaque tranche autour d'une cuillère de macédoine ou dresser côte à côte
Décorer d'un quartier d'œuf dur, cornichon et feuille de salade
Dresser en bacs gastro ou assiettes, filmer, étiqueter (date, heure)
Conserver 0/+3°C, service dans les 24 h</t>
  </si>
  <si>
    <t xml:space="preserve">Cuisson 70°C four vapeur
Bac gastro avec couvercles ou sauteuse</t>
  </si>
  <si>
    <t xml:space="preserve">Mode opératoire :
Peser les ingrédients d'épicerie, désinfecter le plan de travail
Dégraisser légèrement les jambons, quadriller, piquer de girofle, lustrer au miel
Colorer les jambons à l'huile sur toutes les faces en sauteuse, débarrasser en bacs gastro 1/1
Suer oignons et carottes, ajouter le concentré, déglacer au madère et au vin blanc, mouiller avec l'eau et le fond brun, aromates, poivre, lier à la fécule délayée
Verser la sauce sur les jambons à mi-hauteur, couvercle sans trou
Programme : four vapeur 70°C de 12h à 18h (sauteuse : 70°C fonction mijotage, couverte)
Le lendemain : trancher à 100 g, passer la sauce au chinois, rectifier, napper
Refroidir en cellule (63°C à 10°C en moins de deux heures) pour une remise en T° différée ≥ 63°C à cœur ou maintenir en étuve pour un service en liaison chaude</t>
  </si>
  <si>
    <t xml:space="preserve">Four mixte 180°C
Bacs gastro 1/1, gratiner 20 à 25 min</t>
  </si>
  <si>
    <t xml:space="preserve">Mode opératoire :
Peser les ingrédients d'épicerie
Duxelles : suer les échalotes au beurre, ajouter les champignons, cuire à feu vif jusqu'à évaporation, saler, poivrer, crémer avec 0,5 kg de crème
Béchamel : roux beurre + farine, mouiller au lait chaud, cuire 10 min, assaisonner sel, poivre, muscade, ajouter le reste de crème
Garnir chaque crêpe d'une demi-tranche de jambon et d'une cuillère de duxelles, rouler
Ranger les crêpes en bacs gastro 1/1 beurrés, napper de béchamel, parsemer d'emmental
Four mixte 180°C 20 à 25 min jusqu'à gratinage, contrôler 63°C à cœur
Maintenir en étuve ≥ 63°C (2 h maxi) ou refroidir en cellule (63°C à 10°C en moins de 2 h), couvrir, étiqueter ; remise en T° 180°C 15 min jusqu'à 63°C à cœur
Compter 2 crêpes par portion</t>
  </si>
  <si>
    <t xml:space="preserve">Four mixte 180°C air pulsé
Plaques gastro, 18 à 22 min</t>
  </si>
  <si>
    <t xml:space="preserve">Mode opératoire :
Déconditionner le poisson pané surgelé, sans décongélation, noter lot et DLC
Plaquer sur plaques gastro huilées ou papier cuisson, en une seule couche
Four mixte 180°C air pulsé 18 à 22 min, retourner à mi-cuisson pour un panage croustillant
Contrôler 63°C à cœur à la sonde, noter la T° sur la fiche de traçabilité
Sauce tartare : mélanger mayonnaise, cornichons et câpres hachés, échalotes, persil, poivre ; conserver 0/+3°C, service dans les 24 h
Dresser 1 portion par personne avec un quartier de citron, sauce tartare à part
Maintenir en étuve ≥ 63°C sans couvercle (30 min maxi pour garder le croustillant) ; produit pané à consommer à la sortie du four</t>
  </si>
  <si>
    <t xml:space="preserve">Sous vide 64°C thermoplongeur ou four vapeur
Poches sous vide, 2h00</t>
  </si>
  <si>
    <t xml:space="preserve">Mode opératoire :
Peser les ingrédients d'épicerie, saler et poivrer les escalopes
Marquer les escalopes très rapidement à feu vif à l'huile (coloration sans cuisson à cœur), refroidir en cellule à +3°C
Sauce : suer les échalotes au beurre, ajouter les champignons, déglacer au vin blanc, mouiller avec l'eau et le fond de veau, crémer, lier à la fécule délayée, rectifier, refroidir en cellule
Conditionner les escalopes à plat en poches sous vide (10 à 12 par poche) avec 1 louche de sauce froide, vide à 99 %
Cuire 64°C au thermoplongeur ou four vapeur 64°C pendant 2h00 (2h30 pour les poches les plus épaisses)
Service direct : ouvrir, dresser 1 escalope par portion, napper de sauce
Ou refroidir en cellule en poche (63°C à 10°C en moins de 2 h), étiqueter, DLC J+5 à 0/+3°C
Remise en T° en poche au four vapeur 70°C jusqu'à 63°C à cœur, ouvrir, dresser</t>
  </si>
  <si>
    <t xml:space="preserve">Mode opératoire :
Déconditionner les escalopes panées surgelées, sans décongélation, noter lot et DLC
Plaquer sur plaques gastro huilées ou papier cuisson en une seule couche, lustrer légèrement à l'huile
Four mixte 180°C air pulsé 18 à 22 min, retourner à mi-cuisson
Contrôler 63°C à cœur à la sonde, noter sur la fiche de traçabilité
Beurre noisette : faire mousser le beurre, ajouter câpres et persil, stopper au jus de citron (servi à part, facultatif)
Dresser 1 escalope par portion avec un quartier de citron
Maintenir en étuve ≥ 63°C sans couvercle (30 min maxi) ; produit pané à consommer à la sortie du four</t>
  </si>
  <si>
    <t xml:space="preserve">Cuisson 72°C four vapeur (débuter 1h00 à 85°C)
Bac gastro avec couvercles</t>
  </si>
  <si>
    <t xml:space="preserve">Mode opératoire :
Peser les ingrédients d'épicerie, désinfecter le plan de travail
Colorer les paupiettes à l'huile à feu vif en sauteuse sur toutes les faces, débarrasser en bacs gastro 1/1 en une couche, barde dessous
Suer oignons, carottes et champignons, déglacer au vin blanc, mouiller avec l'eau et le fond de volaille, crémer, saler, poivrer, lier à la fécule délayée
Verser la sauce chaude sur les paupiettes à mi-hauteur, thym, laurier, couvercle sans trou
Programme : four vapeur 85°C pendant 1h00 puis 72°C jusqu'au lendemain matin (12h à 18h au total)
Le lendemain : contrôler 72°C à cœur mini (volaille hachée, public fragile), rectifier l'assaisonnement
Refroidir en cellule (63°C à 10°C en moins de deux heures) pour une remise en T° différée ≥ 63°C à cœur ou maintenir en étuve pour un service en liaison chaude
Dresser 1 paupiette nappée par portion</t>
  </si>
  <si>
    <t xml:space="preserve">Cuisson 74°C four vapeur (débuter 2h00 à 85°C)
Bac gastro avec couvercles</t>
  </si>
  <si>
    <t xml:space="preserve">Mode opératoire :
Peser les ingrédients d'épicerie
Colorer les paupiettes à l'huile à feu vif sur toutes les faces, débarrasser en bacs gastro 1/1 en une couche
Suer les oignons et l'ail dans la sauteuse, ajouter le concentré, déglacer au vin blanc, ajouter la pulpe de tomates, l'eau et le fond de veau, sucre, sel, poivre, herbes, lier légèrement à la fécule délayée
Verser la sauce tomate chaude sur les paupiettes à mi-hauteur, couvercle sans trou
Programme : four vapeur 85°C pendant 2h00 puis 74°C jusqu'au lendemain matin (12h à 18h au total)
Le lendemain : contrôler la T° à cœur, retirer le laurier, rectifier l'assaisonnement
Refroidir en cellule (63°C à 10°C en moins de deux heures) pour une remise en T° différée ≥ 63°C à cœur ou maintenir en étuve pour un service en liaison chaude
Dresser 1 paupiette nappée de sauce tomate par portion</t>
  </si>
  <si>
    <t xml:space="preserve">Sous vide 62°C thermoplongeur ou four vapeur
Poches sous vide, 40 à 45 min</t>
  </si>
  <si>
    <t xml:space="preserve">Mode opératoire :
Décongeler les pavés en chambre froide 0/+3°C la veille (24 h maxi), égoutter, éponger
Saler, poivrer, lustrer à l'huile d'olive, zeste de citron
Conditionner à plat en poches sous vide (8 à 10 pavés par poche, une couche), vide doux à 95 % pour ne pas écraser la chair
Cuire 62°C au thermoplongeur ou four vapeur 62°C pendant 40 à 45 min (sonde en poche témoin : 62°C à cœur mini)
Beurre blanc : réduire échalotes, vin blanc, vinaigre et fumet presque à sec, ajouter la crème, monter au beurre froid en parcelles hors du feu, sel, poivre, jus de citron ; maintenir à 60°C maxi, ne pas rebouillir
Service direct : ouvrir les poches, égoutter, dresser 1 pavé nappé de beurre blanc
Ou refroidir en cellule en poche (63°C à 10°C en moins de 2 h), étiqueter, DLC J+3 à 0/+3°C ; remise en T° en poche four vapeur 65°C 15 min jusqu'à 63°C à cœur
Beurre blanc à réaliser le jour du service, non conservé</t>
  </si>
  <si>
    <t xml:space="preserve">Sous vide 63°C thermoplongeur ou four vapeur
Poches sous vide, 35 à 40 min</t>
  </si>
  <si>
    <t xml:space="preserve">Mode opératoire :
Décongeler les pavés en chambre froide 0/+3°C la veille (24 h maxi), éponger
Saler, poivrer, huiler légèrement, zeste de citron et aneth
Conditionner à plat en poches sous vide (8 à 10 pavés par poche), vide doux à 95 %
Cuire 63°C au thermoplongeur ou four vapeur 63°C pendant 35 à 40 min (63°C à cœur : public fragile, pas de cuisson à 52-55°C)
Sauce crème citron : réduire échalotes et vin blanc, mouiller avec l'eau et le fumet, crémer, lier légèrement à la fécule, jus de citron, aneth, rectifier
Service direct : ouvrir les poches, égoutter, dresser 1 pavé nappé de sauce
Ou refroidir en cellule en poche (63°C à 10°C en moins de 2 h), étiqueter, DLC J+3 à 0/+3°C ; remise en T° en poche four vapeur 65°C 15 min jusqu'à 63°C à cœur</t>
  </si>
  <si>
    <t xml:space="preserve">Cuisson nuit vapeur
Bac gastro ou grilles ou sauteuse</t>
  </si>
  <si>
    <t xml:space="preserve">Mode opératoire :
Plaquer les échines en bacs ou sur grilles
Si cuisson en bac mouiller à mi-hauteur des rôtis et ne pas ajouter de couvercle
Pour une cuisson en sauteuse mouiller à hauteur
Phase 1 : 
Four 80°C ambiance vapeur pour le four jusqu'à 72°C à coeur.
Sauteuse : 80°C ambiance vapeur  jusqu'à 72°C à coeur.
Phase 2 :
Four 65°C ambiance vapeur jusqu'au lendemain matin 
Sauteuse : 65°C  jusqu'au lendemain matin
</t>
  </si>
  <si>
    <t xml:space="preserve">Cuisson nuit vapeur (pic 80°C puis 65°C)
Bac gastro ou grilles, service froid 0/+3°C</t>
  </si>
  <si>
    <t xml:space="preserve">Mode opératoire :
Saler, poivrer, huiler les rôtis, herbes de Provence, plaquer en bacs gastro 1/1 ou sur grilles, sonde à cœur dans le rôti le plus gros
Si cuisson en bac mouiller à mi-hauteur, sans couvercle
Phase 1 : four 80°C ambiance vapeur jusqu'à 72°C à cœur
Phase 2 : four 65°C ambiance vapeur jusqu'au lendemain matin (12h à 18h au total)
Le lendemain : refroidir les rôtis entiers en cellule (63°C à 10°C en moins de deux heures), filmer, étiqueter, stocker 0/+3°C
Trancher à froid à la trancheuse désinfectée en tranches de 50 g (2 par portion), dresser en bacs gastro, filmer, étiqueter
Garnir : cornichons, mayonnaise ou moutarde, bouquet de salade assaisonnée au moment du service
Conserver 0/+3°C, service dans les 48 h après tranchage (J+3 maxi après cuisson)</t>
  </si>
  <si>
    <t xml:space="preserve">Sauteuse puis four mixte 180°C
Bacs gastro, sauce charcutière</t>
  </si>
  <si>
    <t xml:space="preserve">Mode opératoire :
Peser les ingrédients d'épicerie, saler et poivrer les escalopes
Marquer les escalopes à l'huile en sauteuse à feu vif, 2 min par face, débarrasser en bacs gastro 1/1
Finir la cuisson au four mixte 180°C 8 à 10 min, contrôler 63°C à cœur, noter sur la fiche de traçabilité
Sauce charcutière : suer les oignons dans la sauteuse, déglacer au vin blanc, ajouter concentré, eau et fond brun, cuire 15 min, lier à la fécule délayée, hors du feu moutarde et cornichons en julienne
Napper les escalopes de sauce
Maintenir en étuve ≥ 63°C (2 h maxi) ou refroidir en cellule (63°C à 10°C en moins de 2 h) pour une remise en T° différée ≥ 63°C à cœur
Dresser 1 escalope nappée par portion</t>
  </si>
  <si>
    <t xml:space="preserve">Four mixte 180°C air pulsé
Grilles ou plaques gastro, 20 à 25 min</t>
  </si>
  <si>
    <t xml:space="preserve">Mode opératoire :
Déconditionner les saucisses, noter lot et DLC, ne pas piquer
Plaquer sur grilles au-dessus d'une plaque de récupération ou sur plaques gastro huilées
Four mixte 180°C air pulsé 20 à 25 min, retourner à mi-cuisson pour une coloration uniforme
Contrôler 72°C à cœur (viande hachée de porc, public fragile), noter sur la fiche de traçabilité
Jus aux oignons : suer les oignons à l'huile, déglacer au vin blanc, mouiller avec l'eau et le fond brun, thym, cuire 15 min, lier à la fécule, poivrer
Dresser 1 saucisse par portion, jus aux oignons et moutarde à part
Maintenir en étuve ≥ 63°C (2 h maxi) ou refroidir en cellule (63°C à 10°C en moins de 2 h) pour une remise en T° différée ≥ 63°C à cœur</t>
  </si>
  <si>
    <t xml:space="preserve">Four mixte 180°C air pulsé
Grilles ou plaques gastro, 18 à 22 min</t>
  </si>
  <si>
    <t xml:space="preserve">Mode opératoire :
Déconditionner les saucisses de volaille, noter lot et DLC, ne pas piquer
Plaquer sur grilles au-dessus d'une plaque de récupération ou sur plaques gastro huilées
Four mixte 180°C air pulsé 18 à 22 min, retourner à mi-cuisson
Contrôler 72°C à cœur (volaille hachée, public fragile), noter sur la fiche de traçabilité
Sauce tomate : suer les oignons à l'huile, ajouter la pulpe de tomates, l'eau et le fond de volaille, herbes, sucre, sel, poivre, cuire 20 min
Dresser 1 saucisse par portion, nappée ou sauce à part
Maintenir en étuve ≥ 63°C (2 h maxi) ou refroidir en cellule (63°C à 10°C en moins de 2 h) pour une remise en T° différée ≥ 63°C à cœur</t>
  </si>
  <si>
    <t xml:space="preserve">Four mixte 180°C air pulsé
Grilles ou plaques gastro, 15 à 18 min</t>
  </si>
  <si>
    <t xml:space="preserve">Mode opératoire :
Déconditionner les chipolatas, noter lot et DLC, ne pas piquer
Plaquer sur grilles au-dessus d'une plaque de récupération ou sur plaques gastro huilées, sans chevauchement
Four mixte 180°C air pulsé 15 à 18 min, retourner à mi-cuisson pour une coloration uniforme
Contrôler 72°C à cœur (viande hachée de porc, public fragile), noter sur la fiche de traçabilité
Jus aux oignons : suer les oignons à l'huile, mouiller avec l'eau et le fond brun, cuire 15 min, lier à la fécule, poivrer
Dresser 2 chipolatas par portion, jus aux oignons ; moutarde et ketchup à part
Maintenir en étuve ≥ 63°C (2 h maxi) ou refroidir en cellule (63°C à 10°C en moins de 2 h) pour une remise en T° différée ≥ 63°C à cœur</t>
  </si>
  <si>
    <t xml:space="preserve">Four mixte 180°C air pulsé
Grilles sur plaque de récupération, 15 à 18 min</t>
  </si>
  <si>
    <t xml:space="preserve">Mode opératoire :
Déconditionner les merguez, noter lot et DLC, ne pas piquer
Plaquer sur grilles au-dessus d'une plaque de récupération pour laisser s'égoutter le gras
Four mixte 180°C air pulsé 15 à 18 min, retourner à mi-cuisson
Contrôler 72°C à cœur (viande hachée, public fragile), noter sur la fiche de traçabilité
Sauce tomate douce : suer les oignons à l'huile, ajouter concentré, pulpe de tomates, eau, ras el hanout, sel, poivre, cuire 20 min, coriandre ; harissa à part pour les résidents qui le souhaitent
Dresser 2 merguez par portion, sauce à part
Maintenir en étuve ≥ 63°C (2 h maxi) ou refroidir en cellule (63°C à 10°C en moins de 2 h) pour une remise en T° différée ≥ 63°C à cœur</t>
  </si>
  <si>
    <t xml:space="preserve">Four mixte 180°C
Bacs gastro 1/1 H6,5, gratiner 25 à 30 min</t>
  </si>
  <si>
    <t xml:space="preserve">Mode opératoire :
Peser les ingrédients d'épicerie
Farce : suer les oignons et l'ail à l'huile en sauteuse, ajouter le bœuf haché, cuire à feu vif en remuant jusqu'à 72°C à cœur (viande hachée), ajouter concentré, eau et fond brun, persil, sel, poivre, cuire 10 min
Purée : porter lait + eau à ébullition avec le beurre, sel, muscade, verser sur les flocons hors du feu, laisser gonfler 3 min, lisser
Monter en bacs gastro 1/1 H6,5 : 1 couche de farce (environ 3 kg par bac), 1 couche de purée (environ 4 kg par bac), lisser, parsemer d'emmental
Four mixte 180°C 25 à 30 min jusqu'à gratinage, contrôler 63°C à cœur
Maintenir en étuve ≥ 63°C (2 h maxi) ou refroidir en cellule (63°C à 10°C en moins de 2 h), couvrir, étiqueter ; remise en T° 160°C 30 à 40 min jusqu'à 63°C à cœur
Portionner à 250 g (1 bac = 28 portions environ)</t>
  </si>
  <si>
    <t xml:space="preserve">Cuisson 72°C four vapeur (cuisses de canard)
Bac gastro avec couvercles, puis gratin four mixte 180°C</t>
  </si>
  <si>
    <t xml:space="preserve">Mode opératoire :
J-1 : saler, poivrer les cuisses de canard, ail, thym, laurier, plaquer en bacs gastro 1/1 côté peau dessus, mouiller à mi-hauteur avec l'eau et le fond de volaille, couvercle sans trou
Programme : four vapeur 72°C de 12h à 18h (cuisses de canard entières, table du chef)
Le lendemain : décanter le jus, dégraisser (réserver la graisse), effilocher la chair à chaud sans peau ni os, mélanger avec les échalotes suées dans la graisse de canard, le persil et un peu de jus réduit
Purée : porter lait + eau à ébullition avec le beurre, sel, muscade, verser sur les flocons hors du feu, laisser gonfler 3 min, lisser
Monter en bacs gastro 1/1 H6,5 : 1 couche d'effiloché de canard (environ 2,5 kg par bac), 1 couche de purée (environ 4 kg par bac), lisser, parsemer d'emmental
Four mixte 180°C 25 à 30 min jusqu'à gratinage, contrôler 63°C à cœur
Maintenir en étuve ≥ 63°C (2 h maxi) ou refroidir en cellule (63°C à 10°C en moins de 2 h), couvrir, étiqueter ; remise en T° 160°C 30 à 40 min jusqu'à 63°C à cœur
Portionner à 250 g</t>
  </si>
  <si>
    <t xml:space="preserve">Mode opératoire :
Peser les ingrédients d'épicerie
Poisson : suer les échalotes au beurre, ajouter les dés de poisson surgelés, déglacer au vin blanc, mouiller avec le fumet délayé dans l'eau, cuire 8 à 10 min à frémissement, crémer, persil, jus de citron, sel, poivre, égoutter légèrement
Purée : porter lait + eau à ébullition avec le reste de beurre, sel, muscade, verser sur les flocons hors du feu, laisser gonfler 3 min, lisser
Monter en bacs gastro 1/1 H6,5 : 1 couche de poisson à la crème (environ 2,5 kg par bac), 1 couche de purée (environ 4 kg par bac), lisser, parsemer d'emmental
Four mixte 180°C 25 à 30 min jusqu'à gratinage, contrôler 63°C à cœur
Maintenir en étuve ≥ 63°C (2 h maxi) ou refroidir en cellule (63°C à 10°C en moins de 2 h), couvrir, étiqueter ; remise en T° 160°C 30 à 40 min jusqu'à 63°C à cœur
Portionner à 250 g</t>
  </si>
  <si>
    <t xml:space="preserve">Mode opératoire :
Décongeler les dos de cabillaud en chambre froide 0/+3°C la veille (24 h maxi), éponger
Saler, poivrer, huiler légèrement, zeste de citron
Conditionner à plat en poches sous vide (8 à 10 dos par poche, une couche), vide doux à 95 %
Cuire 62°C au thermoplongeur ou four vapeur 62°C pendant 40 à 45 min (sonde en poche témoin : 62°C à cœur mini)
Beurre citron persillé : suer les échalotes, déglacer au vin blanc, mouiller avec l'eau et le fumet, réduire, monter au beurre froid, jus de citron, persil
Service direct : ouvrir les poches, égoutter, dresser 1 dos nappé de beurre citron
Ou refroidir en cellule en poche (63°C à 10°C en moins de 2 h), étiqueter, DLC J+3 à 0/+3°C ; remise en T° en poche four vapeur 65°C 15 min jusqu'à 63°C à cœur</t>
  </si>
  <si>
    <t xml:space="preserve">Sauteuse ou plaque à snacker puis four mixte 180°C
Plaques gastro, 6 à 8 min</t>
  </si>
  <si>
    <t xml:space="preserve">Mode opératoire :
Décongeler les dos de colin en chambre froide 0/+3°C la veille (24 h maxi), éponger
Saler, poivrer, fariner, tapoter pour retirer l'excédent
Marquer à l'huile en sauteuse ou plaque à snacker 2 min par face jusqu'à coloration dorée, débarrasser sur plaques gastro
Finir au four mixte 180°C 6 à 8 min, contrôler 63°C à cœur, noter sur la fiche de traçabilité
Beurre meunière : faire mousser le beurre jusqu'à la noisette, ajouter le jus de citron et le persil, stopper
Dresser 1 dos nappé de beurre meunière, quartier de citron
Service en liaison chaude, maintien en étuve ≥ 63°C 1 h maxi (texture) ; refroidissement en cellule possible, remise en T° 160°C 10 min jusqu'à 63°C à cœur</t>
  </si>
  <si>
    <t xml:space="preserve">Four mixte 180°C
Plaques ou bacs gastro, 15 à 18 min</t>
  </si>
  <si>
    <t xml:space="preserve">Mode opératoire :
Décongeler les dos de colin en chambre froide 0/+3°C la veille (24 h maxi), éponger
Chapelure bordelaise : mélanger chapelure, échalotes, persil, ail, beurre pommade, sel, poivre
Plaquer les dos sur plaques gastro huilées, saler, poivrer, arroser de vin blanc
Recouvrir chaque dos d'une couche de chapelure bordelaise, tasser légèrement, filet d'huile d'olive
Four mixte 180°C 15 à 18 min jusqu'à gratinage, contrôler 63°C à cœur, noter sur la fiche de traçabilité
Dresser 1 dos par portion avec un quartier de citron, jus de cuisson à part
Maintenir en étuve ≥ 63°C (1 h maxi) ou refroidir en cellule (63°C à 10°C en moins de 2 h), remise en T° 160°C 12 min jusqu'à 63°C à cœur</t>
  </si>
  <si>
    <t xml:space="preserve">Four mixte 160°C combiné vapeur + air pulsé
Plaques gastro huilées, 8 à 10 min</t>
  </si>
  <si>
    <t xml:space="preserve">Mode opératoire :
Décongeler les filets en chambre froide 0/+3°C la veille (24 h maxi), éponger, vérifier l'absence d'arêtes
Saler, poivrer, huiler légèrement, plaquer côté peau dessous sur plaques gastro huilées
Four mixte 160°C combiné vapeur + air pulsé 8 à 10 min, contrôler 63°C à cœur, ne pas prolonger (chair fine)
Sauce vierge : mélanger huile d'olive, dés de tomates, échalotes, olives hachées, jus de citron, basilic, sel, poivre ; conserver 0/+3°C
Dresser 1 filet par portion, napper de sauce vierge au moment du service
Service en liaison chaude, maintien en étuve ≥ 63°C 1 h maxi ; refroidissement en cellule possible, remise en T° 160°C 8 min jusqu'à 63°C à cœur</t>
  </si>
  <si>
    <t xml:space="preserve">Sous vide 57°C thermoplongeur ou four vapeur
Poches sous vide, 2h30 à 4h00 selon diamètre
VP faible : consommation rapide</t>
  </si>
  <si>
    <t xml:space="preserve">&gt; à 70</t>
  </si>
  <si>
    <t xml:space="preserve">Mode opératoire :
Peser les ingrédients d'épicerie, saler et poivrer les rôtis
Saisir les rôtis à l'huile à feu vif sur toutes les faces (coloration seule), refroidir en cellule à +3°C
Conditionner 1 rôti par poche avec ail et thym, vide à 99 %
Cuire 57°C au thermoplongeur ou four vapeur 57°C : 2h30 pour un diamètre de 8 cm, jusqu'à 4h00 pour 12 cm (sonde en poche témoin : 56-57°C à cœur)
Jus : suer les échalotes au beurre, déglacer au vin rouge, mouiller avec l'eau et le fond brun, réduire, lier à la fécule, ajouter le jus des poches passé au chinois
Service chaud : ouvrir, trancher à 100 g à la demande, napper de jus, service immédiat ; ne pas maintenir en étuve plus de 30 min (VP faible : consommation rapide)
Ou refroidir en cellule en poche (57°C à 10°C en moins de 2 h), étiqueter, DLC J+3 à 0/+3°C ; remise en T° en poche four vapeur 57°C 45 min puis trancher
Viande rosée réservée aux résidents sans restriction ; pour le public fragile prévoir des rôtis cuits à 65°C (bien cuit)</t>
  </si>
  <si>
    <t xml:space="preserve">Sous vide 56°C thermoplongeur ou four vapeur
Poches sous vide, 3h00 à 4h00, refroidir, trancher à froid
VP faible : consommation rapide, service 0/+3°C</t>
  </si>
  <si>
    <t xml:space="preserve">Mode opératoire :
J-2 : saler, poivrer, saisir les rôtis à l'huile à feu vif sur toutes les faces (coloration seule), refroidir en cellule à +3°C
Conditionner 1 rôti par poche avec le thym, vide à 99 %
Cuire 56°C au thermoplongeur ou four vapeur 56°C pendant 3h00 à 4h00 selon diamètre (sonde en poche témoin : 56°C à cœur)
Refroidir immédiatement en poche : bac d'eau glacée puis cellule (56°C à 10°C en moins de 2 h), étiqueter, stocker 0/+3°C
Jour J (J+1 à J+2 maxi) : ouvrir, éponger, trancher à froid à la trancheuse désinfectée en tranches de 50 g (2 par portion)
Dresser en bacs gastro ou assiettes, garnir de cornichons, tomates, salade assaisonnée au moment, mayonnaise ou moutarde à part, filmer, étiqueter
Conserver 0/+3°C, service dans les 24 h après tranchage ; DLC J+3 maxi après cuisson (VP faible : consommation rapide)
Viande rosée réservée aux résidents sans restriction ; pour le public fragile cuire à 65°C</t>
  </si>
  <si>
    <t xml:space="preserve">Sauté de veau colombo
cuisson de nuit </t>
  </si>
  <si>
    <t xml:space="preserve">Cuisson 74°C four vapeur
Bac gastro avec couvercles</t>
  </si>
  <si>
    <t xml:space="preserve">&gt; à  1200</t>
  </si>
  <si>
    <t xml:space="preserve">Mode opératoire :
Peser tous les ingrédients d'épicerie
Faire revenir le sauté avec la brunoises à feu vif pour obtenir une belle coloration sans ébullition
Déglacer au vin blanc et laisser réduire
Ajouter  tous les autres ingrédients
Répartir dans les bacs, ajouter un couvercle sans trou.
Cuisson vapeur 
Phase 1 : Vapeur 85°C pendant 3h00
Phase 2 : 72°C vapeur continue
Attention si sauté avec épaule et bas carré phase 2 = 66°C vapeur continue
</t>
  </si>
  <si>
    <t xml:space="preserve">Cuisson 72°C four vapeur (débuter 1h30 à 85°C)
Bac gastro avec couvercles ou sauteuse</t>
  </si>
  <si>
    <t xml:space="preserve">Mode opératoire :
Peser les ingrédients d'épicerie, saler et poivrer les morceaux de lapin
Colorer le lapin à l'huile à feu vif en sauteuse avec les lardons, débarrasser en bacs gastro 1/1
Suer les oignons et les champignons, déglacer au vin blanc, mouiller avec l'eau et le fond de volaille, ajouter moutarde et crème, lier à la fécule délayée, thym, laurier
Verser la sauce chaude sur le lapin à mi-hauteur, couvercle sans trou (ou rester en sauteuse couverte)
Programme : four vapeur 85°C pendant 1h30 puis 72°C jusqu'au lendemain matin (12h à 18h au total)
Le lendemain : contrôler la tenue des morceaux, retirer les aromates, rectifier l'assaisonnement
Refroidir en cellule (63°C à 10°C en moins de deux heures) pour une remise en T° différée ≥ 63°C à cœur ou maintenir en étuve pour un service en liaison chaude
Dresser 1 morceau nappé par portion (prévoir une version désossée pour les textures modifiées)</t>
  </si>
  <si>
    <t xml:space="preserve">Cuisson 85°C puis 72°C four vapeur
Bac gastro avec couvercles</t>
  </si>
  <si>
    <t xml:space="preserve">Mode opératoire :
Peser tous les ingrédients d'épicerie, décongeler les cuisses en chambre froide 0/+3°C (24h)
Faire colorer les cuisses à l'huile en sauteuse côté peau, à feu vif, sans ébullition, débarrasser
Suer les oignons dans la sauteuse, déglacer au vin blanc, réduire de moitié
Mouiller avec l'eau et le fond de volaille, ajouter la moutarde, la crème, sel, poivre, thym et laurier, lier avec la fécule délayée
Ranger les cuisses en bacs gastro 1/1 (H10), napper de sauce, couvercle sans trou
Programme four : Phase 1 85°C vapeur 3h00, Phase 2 72°C vapeur jusqu'au lendemain matin (12h00 à 18h00 au total)
Le lendemain : contrôler la tendreté, remuer délicatement la sauce
Refroidir en cellule (63°C à 10°C en moins de deux heures) pour une remise en T° différée (≥ 63°C à cœur) ou maintenir en étuve pour un service en liaison chaude</t>
  </si>
  <si>
    <t xml:space="preserve">Cuisson 88°C four vapeur
Bac gastro avec couvercles ou sauteuse</t>
  </si>
  <si>
    <t xml:space="preserve">Mode opératoire :
Peser tous les ingrédients d'épicerie
Rincer les têtes de veau roulées, les ranger en bacs gastro 1/1 (H15)
Préparer le blanc : délayer la farine dans l'eau froide, ajouter vinaigre, gros sel, oignons, carottes, girofle, thym, laurier, poivre en grains
Mouiller les têtes à hauteur, couvercle sans trou
Programme four : 88°C vapeur 12h00 minimum à 18h00 maximum (sauteuse : fonction mijotage 88°C, idem)
Le lendemain : égoutter, refroidir en cellule (63°C à 10°C en moins de deux heures), trancher à froid (150 g) pour une remise en T° différée ≥ 63°C à cœur dans un peu de bouillon, ou maintenir en étuve pour un service en liaison chaude
Sauce gribiche (liaison froide) : hacher œufs durs, cornichons, câpres et herbes, mélanger à la mayonnaise et à la moutarde, conditionner en bac + film, 0/+3°C, service dans les 24h
Servir la tête chaude (≥ 63°C) avec la sauce gribiche froide à part (50 g)</t>
  </si>
  <si>
    <t xml:space="preserve">Four mixte 160°C
Bac gastro 1/1</t>
  </si>
  <si>
    <t xml:space="preserve">Mode opératoire :
Peser tous les ingrédients d'épicerie
Sauce tomate : suer les oignons et l'ail à l'huile d'olive en sauteuse, ajouter la pulpe de tomates, sucre, sel, herbes et bouillon, mijoter 30 min
Pocher les raviolis frais à l'eau bouillante salée 3 à 4 min, égoutter sans rincer
Mélanger délicatement raviolis et sauce, répartir en bacs gastro 1/1 (H6), parsemer d'emmental
Four mixte 160°C chaleur mixte 20 à 25 min jusqu'à 63°C à cœur, gratiner en fin de cuisson
Maintenir en étuve ≥ 63°C pour le service en liaison chaude ou refroidir en cellule (63°C à 10°C en moins de deux heures), filmer, étiqueter, DLC J+3
Remise en T° différée : four 140°C jusqu'à 63°C à cœur
Portion : 220 g</t>
  </si>
  <si>
    <t xml:space="preserve">Mode opératoire :
Peser tous les ingrédients d'épicerie
Farce : faire revenir la viande hachée avec les oignons et l'ail à l'huile, ajouter 2 kg de pulpe de tomates, sel, poivre, herbes, cuire 15 min
Refroidir la farce en cellule jusqu'à +10°C (en moins de deux heures)
Garnir les cannellonis à la poche (env. 70 g par pièce)
Béchamel : roux blanc beurre/farine, mouiller au lait, sel, muscade, cuire 5 min
Napper le fond des bacs gastro 1/1 (H6) avec le reste de pulpe de tomates, ranger les cannellonis en une couche, couvrir de béchamel, emmental
Four mixte 160°C chaleur mixte 40 à 45 min, 63°C à cœur minimum (viande hachée)
Maintenir ≥ 63°C en étuve pour le service ou refroidir en cellule (63°C à 10°C en moins de deux heures), filmer, étiqueter, DLC J+3
Portion : 2 cannellonis nappés</t>
  </si>
  <si>
    <t xml:space="preserve">Sous vide 58°C thermoplongeur ou four vapeur
Poches sous vide puis marquage plancha
Consommation rapide</t>
  </si>
  <si>
    <t xml:space="preserve">Mode opératoire :
Assaisonner les steaks (sel, poivre), mettre sous vide à plat par 10 pièces, sans superposition
Cuire au thermoplongeur ou four vapeur 58°C pendant 2h00 (épaisseur 2 cm), 58°C à cœur
Refroidir immédiatement en cellule (10°C à cœur en moins de deux heures), étiqueter : DLC J+3 (VP faible, consommation rapide)
Jus d'échalotes : suer les échalotes au beurre, mouiller avec l'eau et le fond de veau, réduire d'un tiers, thym, monter au beurre
Le jour du service : ouvrir les poches, éponger les steaks, marquer à la plancha ou sauteuse très chaude 30 à 45 s par face à l'huile
Contrôle T° à cœur et service immédiat nappé de jus, maintien ≥ 63°C limité à 30 min
Public fragile : prolonger le marquage jusqu'à 63°C à cœur si demandé, hacher pour les textures modifiées</t>
  </si>
  <si>
    <t xml:space="preserve">Four mixte 200°C ou plancha
Plaques gastro ou grilles</t>
  </si>
  <si>
    <t xml:space="preserve">Mode opératoire :
Ne pas décongeler les steaks hachés : cuisson directe du surgelé
Plaquer sur plaques gastro huilées ou grilles sans chevauchement, saler, poivrer
Four mixte 200°C chaleur sèche 12 à 15 min (ou plancha 4 min par face), retourner à mi-cuisson
Contrôle sonde : 63°C à cœur minimum (viande hachée, public fragile : cuisson à point obligatoire)
Sauce échalotes : suer les échalotes au beurre, déglacer au vin rouge, réduire, mouiller eau + fond de veau, lier à la fécule, persil
Maintenir en étuve ≥ 63°C nappés de sauce, service dans les 2 heures
Si différé : refroidir en cellule (63°C à 10°C en moins de deux heures), DLC J+3, remise en T° ≥ 63°C à cœur
Portion : 1 steak (100 g) + 30 g de sauce</t>
  </si>
  <si>
    <t xml:space="preserve">Mode opératoire :
Peser tous les ingrédients d'épicerie
Faire revenir la viande hachée avec oignons et ail à l'huile d'olive, ajouter pulpe, concentré, sel, poivre, cannelle, origan, mijoter 20 min
Béchamel : roux beurre/farine, mouiller au lait, sel, muscade, cuire 5 min
Passer les tranches d'aubergines surgelées 5 min au four 180°C pour les décongeler et les égoutter
Monter en bacs gastro 1/1 (H6) : aubergines, viande, aubergines, béchamel, emmental
Four mixte 160°C chaleur mixte 40 min, 63°C à cœur minimum, gratiner
Maintenir ≥ 63°C en étuve pour le service ou refroidir en cellule (63°C à 10°C en moins de deux heures), filmer, étiqueter, DLC J+3
Remise en T° différée : four 140°C jusqu'à 63°C à cœur</t>
  </si>
  <si>
    <t xml:space="preserve">Mode opératoire :
Peser tous les ingrédients d'épicerie
Colorer les hauts de cuisse à l'huile d'olive en sauteuse côté peau, débarrasser
Suer oignons, ail et poivrons, déglacer au vin blanc, ajouter la pulpe, l'eau + fond de volaille, sel, piment, thym, laurier, lier avec la fécule délayée
Ranger le poulet en bacs gastro 1/1 (H10), napper de sauce, couvercle sans trou
Programme four : Phase 1 85°C vapeur 3h00, Phase 2 72°C vapeur jusqu'au lendemain matin (12h00 à 18h00 au total), 75°C à cœur atteint
Le lendemain : refroidir en cellule (63°C à 10°C en moins de deux heures) pour une remise en T° différée ou maintenir en étuve pour un service en liaison chaude
Remise en T° : four 140°C mixte jusqu'à 63°C à cœur
Portion : 1 haut de cuisse + 70 g de garniture basquaise</t>
  </si>
  <si>
    <t xml:space="preserve">Mode opératoire :
Peser tous les ingrédients d'épicerie
Bolognaise : faire revenir la viande hachée avec oignons, carottes et ail à l'huile, ajouter la pulpe de tomates, sel, poivre, origan, mijoter 30 min
Béchamel : roux beurre/farine, mouiller au lait, sel, muscade, cuire 5 min (béchamel fluide)
Montage en bacs gastro 1/1 (H6) beurrés : béchamel, plaques, bolognaise, béchamel, plaques (3 couches), terminer par béchamel et emmental
Laisser reposer 15 min pour hydrater les plaques
Four mixte 160°C chaleur mixte 45 à 50 min, 63°C à cœur minimum, gratiner
Maintenir ≥ 63°C en étuve pour le service ou refroidir en cellule (63°C à 10°C en moins de deux heures), filmer, étiqueter, DLC J+3
Remise en T° différée : four 140°C jusqu'à 63°C à cœur ; découper en portions de 300 g</t>
  </si>
  <si>
    <t xml:space="preserve">Mode opératoire :
Peser tous les ingrédients d'épicerie ; décongeler le saumon en chambre froide 0/+3°C (12h), égoutter
Épinards : suer les oignons au beurre, ajouter les épinards surgelés, dessécher 10 min, sel, poivre, muscade
Béchamel : roux beurre/farine, mouiller au lait, crème, citron, aneth, sel, cuire 5 min (béchamel fluide)
Montage en bacs gastro 1/1 (H6) : béchamel, plaques, épinards, saumon, béchamel, plaques (3 couches), terminer par béchamel et emmental
Laisser reposer 15 min pour hydrater les plaques
Four mixte 160°C chaleur mixte 45 min, 63°C à cœur minimum, gratiner
Maintenir ≥ 63°C en étuve pour le service ou refroidir en cellule (63°C à 10°C en moins de deux heures), filmer, étiqueter, DLC J+2 (poisson)
Remise en T° différée : four 140°C jusqu'à 63°C à cœur ; découper en portions de 300 g</t>
  </si>
  <si>
    <t xml:space="preserve">Pot au feu
cuisson de nuit </t>
  </si>
  <si>
    <t xml:space="preserve">Programme joue de bœuf cuisson de nuit CHV
Bac gastro avec couvercles</t>
  </si>
  <si>
    <t xml:space="preserve">Mode opératoire :
Peser tous les ingrédients d'épicerie
Laver et tailler les légumes
Répartir tous les ingrédients dans des bacs
Verser le vin blanc et mouiller à hauteur avec de l'eau froide et saler
Répartir dans les bacs, ajouter un couvercle sans trou.
Possibilité de cuire en sauteuse à la même température. Penser également à mouiller à hauteur.
Cuisson vapeur 85°C pendant 14H00 à 18H00
</t>
  </si>
  <si>
    <t xml:space="preserve">Sauteuse + marmite
Bac gastro 1/1</t>
  </si>
  <si>
    <t xml:space="preserve">Mode opératoire :
Peser tous les ingrédients d'épicerie
Sauce bolognaise : faire revenir la viande hachée à l'huile d'olive en sauteuse, ajouter oignons, carottes, ail, déglacer au vin rouge
Ajouter pulpe, concentré, sucre, sel, poivre, origan, mijoter 45 min à couvert, 63°C à cœur minimum (viande hachée)
Pâtes : cuire à l'eau bouillante salée (10 g/L) 8 à 10 min, égoutter, huiler légèrement
Dresser en bacs gastro 1/1 (H6) : pâtes, sauce dessus (ou mélangées), emmental à part
Maintenir ≥ 63°C en étuve, service dans les 2 heures
Si différé : refroidir pâtes et sauce séparément en cellule (63°C à 10°C en moins de deux heures), DLC J+3, remise en T° four vapeur 120°C jusqu'à 63°C à cœur
Portion : 180 g de pâtes cuites + 120 g de sauce</t>
  </si>
  <si>
    <t xml:space="preserve">Mode opératoire :
Peser tous les ingrédients d'épicerie
Faire rissoler les lardons à l'huile en sauteuse, ajouter les oignons, suer sans coloration, dégraisser
Ajouter la crème, sel, poivre, muscade, réduire 10 min
Hors du feu, incorporer les jaunes d'œufs pasteurisés et le parmesan au fouet (ovoproduit uniquement, public fragile), remettre à chauffer jusqu'à 75°C sans bouillir
Pâtes : cuire à l'eau bouillante salée 8 à 10 min, égoutter
Mélanger pâtes et sauce, dresser en bacs gastro 1/1 (H6), emmental au dressage
Maintenir ≥ 63°C en étuve, service dans les 2 heures (pas de remise en T° différée recommandée)
Portion : 250 g</t>
  </si>
  <si>
    <t xml:space="preserve">Mode opératoire :
Peser tous les ingrédients d'épicerie
Faire revenir le chorizo à l'huile d'olive en sauteuse, ajouter oignons, ail et poivrons, suer 10 min
Ajouter la pulpe de tomates, paprika, origan, sel, poivre, mijoter 20 min, crémer en fin de cuisson
Pâtes : cuire à l'eau bouillante salée 8 à 10 min, égoutter
Mélanger pâtes et sauce, dresser en bacs gastro 1/1 (H6), emmental au dressage
Maintenir ≥ 63°C en étuve, service dans les 2 heures
Si différé : refroidir en cellule (63°C à 10°C en moins de deux heures), DLC J+3, remise en T° four vapeur 120°C jusqu'à 63°C à cœur
Portion : 250 g</t>
  </si>
  <si>
    <t xml:space="preserve">Four mixte 170°C
Bac gastro 1/1</t>
  </si>
  <si>
    <t xml:space="preserve">Mode opératoire :
Peser tous les ingrédients d'épicerie
Pâtes : cuire à l'eau bouillante salée 7 à 8 min (al dente), égoutter, refroidir à l'eau froide si montage différé
Béchamel : roux blanc beurre/farine, mouiller au lait froid au fouet, cuire 5 min, crème, sel, poivre, muscade, ajouter 1 kg d'emmental
Mélanger pâtes, dés de jambon et béchamel, répartir en bacs gastro 1/1 (H6) beurrés
Parsemer du reste d'emmental et de chapelure
Four mixte 170°C chaleur mixte 25 à 30 min, 63°C à cœur, gratiner
Maintenir ≥ 63°C en étuve pour le service ou refroidir en cellule (63°C à 10°C en moins de deux heures), filmer, étiqueter, DLC J+3
Remise en T° différée : four 140°C jusqu'à 63°C à cœur ; portion 280 g</t>
  </si>
  <si>
    <t xml:space="preserve">Sous vide 65°C thermoplongeur ou four vapeur
Poches sous vide</t>
  </si>
  <si>
    <t xml:space="preserve">Mode opératoire :
Assaisonner les suprêmes (sel, poivre, filet d'huile), mettre sous vide à plat par 8 à 10 pièces sans chevauchement
Cuire au thermoplongeur ou four vapeur 65°C pendant 2h00 à 3h00 (65°C à cœur, pasteurisation volaille public fragile)
Refroidir immédiatement en cellule (10°C à cœur en moins de deux heures), étiqueter, DLC J+5
Sauce crème : suer les échalotes au beurre, déglacer au vin blanc, réduire, mouiller eau + fond de volaille, crème, lier à la fécule, estragon
Le jour du service : remise en T° des poches fermées au four vapeur 70°C ou thermoplongeur jusqu'à 63°C à cœur, ouvrir, récupérer le jus dans la sauce
Option : marquage rapide à la plancha pour la coloration
Dresser nappé de sauce, maintien ≥ 63°C, service dans les 2 heures
Portion : 1 suprême (140 g) + 60 g de sauce</t>
  </si>
  <si>
    <t xml:space="preserve">Mode opératoire :
Peser tous les ingrédients d'épicerie ; décongeler et dégorger les langues 2h à l'eau froide, rincer
Ranger les langues en bacs gastro 1/1 (H15) avec oignons, carottes, aromates et gros sel, mouiller à hauteur, couvercle sans trou
Programme four : 88°C vapeur 12h00 minimum à 18h00 maximum (sauteuse : fonction mijotage 88°C, idem)
Le lendemain : éplucher les langues encore chaudes (retirer la peau), réserver 3 L de bouillon filtré
Sauce piquante : suer les échalotes au beurre, déglacer vinaigre + vin blanc, réduire des 2/3, mouiller avec le bouillon + fond de veau + concentré, lier à la fécule, cornichons en rondelles en finition
Trancher les langues (120 g), ranger en bacs gastro 1/1 (H6), napper de sauce
Refroidir en cellule (63°C à 10°C en moins de deux heures) pour une remise en T° différée (≥ 63°C à cœur) ou maintenir en étuve pour un service en liaison chaude</t>
  </si>
  <si>
    <t xml:space="preserve">Cuisson 85°C four vapeur
Bac gastro avec couvercles ou sauteuse</t>
  </si>
  <si>
    <t xml:space="preserve">Mode opératoire :
Peser tous les ingrédients d'épicerie ; rincer et égoutter la choucroute, dessaler la palette 2h à l'eau froide
Suer les oignons au saindoux en sauteuse, ajouter la choucroute, le vin blanc, l'eau, genièvre, girofle, laurier, poivre
Répartir en bacs gastro 1/1 (H15), enfouir la palette et la poitrine dans la choucroute, couvercle sans trou
Programme four : 85°C vapeur 12h00 minimum à 18h00 maximum (sauteuse : fonction mijotage 85°C, idem)
Le lendemain : retirer les viandes, trancher la palette (60 g) et la poitrine (30 g), remettre sur la choucroute
Refroidir en cellule (63°C à 10°C en moins de deux heures) pour une remise en T° différée (≥ 63°C à cœur) ou maintenir en étuve pour un service en liaison chaude
Jour du service : pocher les Montbéliard 20 min et les knacks 10 min à 80°C vapeur (sans ébullition), pommes de terre vapeur 100°C 20 min
Dresser : choucroute 150 g, pommes de terre, palette, poitrine, 1 knack + 1/2 Montbéliard, maintien ≥ 63°C</t>
  </si>
  <si>
    <t xml:space="preserve">Mode opératoire :
Réception : contrôler T° (≤ +4°C) et DLC de la mortadelle, stockage 0/+3°C
Déconditionner, trancher à la trancheuse désinfectée (2 tranches de 50 g, soit 100 g par portion) en respectant la marche en avant
Dresser à plat en bacs gastro 1/1 ou à l'assiette, filmer immédiatement, retour en chambre froide
Garniture : laver et désinfecter les tomates, tailler en quartiers ; vinaigrette moutarde, huile, vinaigre, sel, poivre ; salade assaisonnée au dernier moment
Portion : 100 g de mortadelle, 2 cornichons, 10 g de beurre, salade et tomates
Conservation 0/+3°C, service dans les 24h après tranchage (étiquetage date/heure)
Texture modifiée : mixer la mortadelle avec un peu de crème pour les résidents en texture lisse</t>
  </si>
  <si>
    <t xml:space="preserve">Mode opératoire :
Peser tous les ingrédients d'épicerie
Cuire les dés de poisson surgelés au four vapeur 100°C 6 à 8 min, égoutter en bacs perforés (récupérer le jus)
Sauce : suer les oignons au beurre, déglacer au vin blanc, roux beurre/farine, mouiller lait + jus de cuisson + fumet, crème, citron, sel, poivre, muscade, cuire 5 min
Répartir le poisson en bacs gastro 1/1 (H6), napper de sauce, emmental et chapelure
Four mixte 170°C chaleur mixte 20 à 25 min, 63°C à cœur, gratiner
Maintenir ≥ 63°C en étuve pour le service ou refroidir en cellule (63°C à 10°C en moins de deux heures), filmer, étiqueter, DLC J+2 (poisson)
Remise en T° différée : four 140°C jusqu'à 63°C à cœur ; persil au dressage
Portion : 250 g</t>
  </si>
  <si>
    <t xml:space="preserve">Four mixte 180°C
Plaques gastro perforées ou grilles</t>
  </si>
  <si>
    <t xml:space="preserve">Mode opératoire :
Ne pas décongeler les nuggets : cuisson directe du surgelé
Plaquer sur plaques gastro perforées ou grilles, une seule couche, sans chevauchement
Four mixte 180°C chaleur sèche 12 à 15 min, retourner à mi-cuisson
Contrôle sonde sur 3 pièces : 63°C à cœur minimum (volaille, public fragile)
Sauce tomate maison : suer les oignons à l'huile, ajouter la pulpe, sucre, sel, herbes, mijoter 20 min ; ketchup en alternative
Maintenir en étuve ≥ 63°C, non couvert pour garder le croustillant, service dans l'heure
Pas de refroidissement / remise en T° (perte de qualité), cuire au plus près du service
Portion : 5 nuggets (100 g) + 40 g de sauce</t>
  </si>
  <si>
    <t xml:space="preserve">Mode opératoire :
Ne pas décongeler les donuts : cuisson directe du surgelé
Plaquer sur plaques gastro perforées ou grilles, une seule couche, sans chevauchement
Four mixte 180°C chaleur sèche 15 à 18 min, retourner à mi-cuisson
Contrôle sonde sur 3 pièces : 63°C à cœur minimum (volaille, public fragile)
Sauce curry : suer les oignons à l'huile, curry, mouiller eau + fond de volaille, crème, sel, lier à la fécule, cuire 5 min
Maintenir en étuve ≥ 63°C, non couvert pour garder le croustillant, sauce à part, service dans l'heure
Pas de refroidissement / remise en T° (perte de qualité), cuire au plus près du service
Portion : 2 donuts (100 g) + 40 g de sauce</t>
  </si>
  <si>
    <t xml:space="preserve">Four mixte 140°C
Bac gastro 1/1 (H4) ou plaques</t>
  </si>
  <si>
    <t xml:space="preserve">Mode opératoire :
Utiliser exclusivement des ovoproduits pasteurisés (œufs liquides), stockage 0/+3°C, déconditionner au dernier moment
Mélanger œufs, lait, crème, sel, poivre, ciboulette au fouet sans faire mousser
Beurrer/huiler des bacs gastro 1/1 (H4) ou plaques, verser 2,5 L par bac (épaisseur 2 cm)
Four mixte 140°C chaleur mixte 20 à 25 min jusqu'à prise complète, 72°C à cœur (minimum 63°C)
Option : emmental parsemé 5 min avant la fin de cuisson
Détailler en portions de 150 g, maintenir ≥ 63°C en étuve, service dans les 2 heures
Si différé : refroidir en cellule (63°C à 10°C en moins de deux heures), filmer, DLC J+2, remise en T° four vapeur 120°C jusqu'à 63°C à cœur</t>
  </si>
  <si>
    <t xml:space="preserve">Mode opératoire :
Piperade : suer oignons, ail et poivrons à l'huile d'olive en sauteuse, ajouter la pulpe de tomates, piment, thym, sel, compoter 20 min jusqu'à évaporation, refroidir en cellule jusqu'à +10°C
Utiliser exclusivement des ovoproduits pasteurisés (œufs liquides), stockage 0/+3°C
Mélanger œufs, lait, sel, poivre au fouet sans faire mousser, incorporer la piperade refroidie
Beurrer des bacs gastro 1/1 (H4) ou plaques, verser 3 L par bac (épaisseur 2 cm)
Four mixte 140°C chaleur mixte 25 min jusqu'à prise complète, 72°C à cœur (minimum 63°C)
Détailler en portions de 200 g, maintenir ≥ 63°C en étuve, service dans les 2 heures
Si différé : refroidir en cellule (63°C à 10°C en moins de deux heures), filmer, DLC J+2, remise en T° four vapeur 120°C jusqu'à 63°C à cœur</t>
  </si>
  <si>
    <t xml:space="preserve">Four vapeur 100°C puis four mixte 170°C
Bac gastro 1/1</t>
  </si>
  <si>
    <t xml:space="preserve">Mode opératoire :
Peser tous les ingrédients d'épicerie
Parer les endives (retirer le cône amer), laver, ranger en bacs gastro perforés, citron, sucre, sel
Cuisson vapeur 100°C 25 à 30 min, égoutter et presser légèrement (option : sous vide 85°C 1h00 en poche, refroidir, J+5)
Béchamel : roux blanc beurre/farine, mouiller au lait, crème, sel, poivre, muscade, cuire 5 min
Rouler chaque endive dans une tranche de jambon, ranger en bacs gastro 1/1 (H6) beurrés, napper de béchamel, emmental
Four mixte 170°C chaleur mixte 25 à 30 min, 63°C à cœur, gratiner
Maintenir ≥ 63°C en étuve pour le service ou refroidir en cellule (63°C à 10°C en moins de deux heures), filmer, étiqueter, DLC J+3
Remise en T° différée : four 140°C jusqu'à 63°C à cœur ; portion 1 endive roulée + béchamel</t>
  </si>
  <si>
    <t xml:space="preserve">Mode opératoire :
Blanchir la blanquette et décanter
Suer les oignons et la garniture, déblacer au vin blanc. Stopper la chauffe, ajouter le liant délayé dans le bouillon et la crème. Ajouter la viande. Conditionner en poche. Refroidir. Conditionner sous vide. Cuire à 75°C entre 12H00 et 18H00
</t>
  </si>
  <si>
    <t xml:space="preserve">Mode opératoire :
Peser tous les ingrédients d'épicerie
Blanchir le sauté de dinde départ eau froide, écumer, décanter et rincer
Suer les oignons et la garniture au beurre, déglacer au vin blanc, stopper la chauffe
Ajouter le liant (fécule délayée dans le bouillon + fond de volaille), la crème, sel, thym, laurier, puis la viande
Conditionner en bacs gastro 1/1 (H10), couvercle sans trou
Programme four : Phase 1 85°C vapeur 2h00, Phase 2 72°C vapeur jusqu'au lendemain matin (12h00 à 18h00 au total), 75°C à cœur atteint (volaille)
Le lendemain : refroidir en cellule (63°C à 10°C en moins de deux heures) pour une remise en T° différée (≥ 63°C à cœur) ou maintenir en étuve pour un service en liaison chaude</t>
  </si>
  <si>
    <t xml:space="preserve">Sous vide 63°C thermoplongeur ou four vapeur
Poches sous vide</t>
  </si>
  <si>
    <t xml:space="preserve">Mode opératoire :
Peser tous les ingrédients d'épicerie ; décongeler les dés de poisson en chambre froide 0/+3°C (12h), égoutter
Suer oignons, carottes, poireaux et champignons au beurre, déglacer au vin blanc, mouiller eau + fumet, crème, sel, poivre, lier à la fécule, citron, aneth
Refroidir la sauce en cellule jusqu'à +10°C
Mélanger poisson et sauce froide, conditionner en poches sous vide (2,5 kg), à plat
Cuire au thermoplongeur ou four vapeur 63°C pendant 1h00 à 1h30 (63°C à cœur, public fragile)
Refroidir immédiatement en cellule (10°C à cœur en moins de deux heures), étiqueter, DLC J+5
Remise en T° : poches fermées au four vapeur 70°C ou thermoplongeur jusqu'à 63°C à cœur, ouvrir, dresser en bacs, maintien ≥ 63°C
Service direct possible le jour de cuisson : ouvrir à 63°C et dresser aussitôt</t>
  </si>
  <si>
    <t xml:space="preserve">Four mixte 180°C
Bac gastro 1/1</t>
  </si>
  <si>
    <t xml:space="preserve">Mode opératoire :
Peser tous les ingrédients d'épicerie
Faire rissoler les lardons et les oignons à l'huile en sauteuse, déglacer au vin blanc, réduire
Pommes de terre 4ème gamme : égoutter (ou cuire à la vapeur 100°C 20 min si crues), mélanger avec lardons/oignons, crème, sel, poivre, muscade, ail
Répartir en bacs gastro 1/1 (H6), couper les reblochons en deux dans l'épaisseur et disposer croûte vers le haut
Four mixte 180°C chaleur mixte 25 à 30 min, 63°C à cœur, reblochon fondu et doré
Maintenir ≥ 63°C en étuve pour le service (2h max) ou refroidir en cellule (63°C à 10°C en moins de deux heures), filmer, étiqueter, DLC J+3
Remise en T° différée : four 150°C jusqu'à 63°C à cœur ; servir avec salade verte, portion 250 g</t>
  </si>
  <si>
    <t xml:space="preserve">Mode opératoire :
Peser tous les ingrédients d'épicerie
Crozets : cuire à l'eau bouillante salée 15 à 18 min, égoutter (poids cuit x 2,2)
Faire rissoler les lardons et les oignons à l'huile en sauteuse, déglacer au vin blanc, réduire
Mélanger crozets, lardons/oignons, crème, sel, poivre, muscade, répartir en bacs gastro 1/1 (H6)
Couper les reblochons en deux dans l'épaisseur, disposer croûte vers le haut
Four mixte 180°C chaleur mixte 25 min, 63°C à cœur, reblochon fondu et doré
Maintenir ≥ 63°C en étuve pour le service (2h max) ou refroidir en cellule (63°C à 10°C en moins de deux heures), filmer, étiqueter, DLC J+3
Remise en T° différée : four 150°C jusqu'à 63°C à cœur ; servir avec salade verte, portion 300 g cuite</t>
  </si>
  <si>
    <t xml:space="preserve">Mode opératoire :
Utiliser des œufs durs écalés pasteurisés prêts à l'emploi (ou cuire les œufs coquille 10 min à 100°C vapeur, refroidir en cellule, écaler, utiliser sous 24h)
Béchamel : roux blanc beurre/farine, mouiller au lait froid au fouet, cuire 5 min, crème, sel, poivre, muscade
Couper les œufs en deux, ranger en bacs gastro 1/1 (H6) beurrés, face coupée vers le haut
Napper de béchamel chaude, parsemer d'emmental
Four mixte 160°C chaleur mixte 15 à 20 min jusqu'à 63°C à cœur, gratiner
Maintenir ≥ 63°C en étuve, service dans les 2 heures (éviter les remises en T° répétées)
Si différé : refroidir en cellule (63°C à 10°C en moins de deux heures), filmer, DLC J+2, remise en T° four 140°C jusqu'à 63°C à cœur
Portion : 2 œufs + 100 g de béchamel</t>
  </si>
  <si>
    <t xml:space="preserve">Four mixte 180°C
Bacs gastro 1/1 (gratin)</t>
  </si>
  <si>
    <t xml:space="preserve">Mode opératoire :
Peser tous les ingrédients d'épicerie
Décongeler les épinards en bac au four vapeur 100°C 15 min, égoutter fortement, suer avec les oignons et l'ail, saler, poivrer
Réaliser la béchamel : roux beurre/farine, mouiller au lait chaud, cuire 5 min, ajouter la crème, muscade, sel, poivre
Bacs gastro 1/1 : lit d'épinards, œufs durs coupés en deux (2 par portion) face bombée dessus, napper de béchamel
Parsemer d'emmental râpé
Gratiner au four mixte 180°C 20 à 25 min, contrôle 63°C à cœur
Maintien en étuve ≥ 63°C pour un service en liaison chaude ou refroidir en cellule (63°C à 10°C en moins de 2 heures)
Remise en température différée : four 140°C jusqu'à ≥ 63°C à cœur, consommation dans les 3 jours (J+3)</t>
  </si>
  <si>
    <t xml:space="preserve">Haricots Rouges - Chili- Cuisson avaec viande
cuisson de nuit </t>
  </si>
  <si>
    <t xml:space="preserve">95°C VAPEUR
Bac gastro avec couvercles</t>
  </si>
  <si>
    <t xml:space="preserve">Mode opératoire :
Dans des bacs  mettre tous les ingrédients (colonne B = recette de base 70 portions, à répartir en bacs 1/1 H10 : environ 1,5 kg de légumineuses sèches par bac)
Mélanger et ajouter un couvercle
Cuisson : 95°C vapeur 12H00 minimum et 18h00 au maximum
Refroidir en cellule (63°C à 10°C en moins de deux heures) pour une remise en T° différée 
</t>
  </si>
  <si>
    <t xml:space="preserve">Four mixte 220°C chaleur sèche
Plaques gastro 1/1 pâtissières</t>
  </si>
  <si>
    <t xml:space="preserve">Mode opératoire :
Peser tous les ingrédients d'épicerie
Étaler la pâte finement sur plaques gastro 1/1 farinées (1 abaisse de 600 g par plaque = 8 portions)
Suer les oignons à l'huile sans coloration, blanchir les lardons 2 min à l'eau bouillante et égoutter
Mélanger fromage blanc, crème, sel, poivre, muscade ; étaler sur la pâte en couche fine
Répartir oignons et lardons
Cuire au four mixte 220°C chaleur sèche 10 à 12 min, pâte croustillante et bords dorés, contrôle 63°C à cœur sur les lardons
Découper en 8 portions par plaque, service immédiat en liaison chaude (≥ 63°C)
Reste : refroidir en cellule (63°C à 10°C en moins de 2 heures), DLC J+3, remise en température four 180°C 6 min</t>
  </si>
  <si>
    <t xml:space="preserve">Mode opératoire :
Saler et poivrer les rôtis, marquer à la sauteuse ou plancha dans l'huile très chaude sur toutes les faces (coloration)
Refroidir en cellule à +3°C avant conditionnement
Conditionner 1 rôti par poche sous vide avec thym et romarin, mise sous vide 99 %
Cuire au thermoplongeur ou four vapeur 65°C : 2h30 à 3h00 (rôti de 2 à 2,5 kg), contrôle 65°C à cœur
Refroidir en cellule (63°C à 10°C en moins de deux heures), étiqueter, DLC J+5 à 0/+3°C
Jus : suer les oignons, déglacer la sauteuse de marquage, mouiller avec le fond délayé dans l'eau, lier à la fécule, ajouter le jus des poches filtré
Le jour du service : trancher, dresser en bacs gastro, napper de jus, remise en température four 120°C vapeur jusqu'à ≥ 63°C à cœur
Maintien en étuve ≥ 63°C jusqu'au service</t>
  </si>
  <si>
    <t xml:space="preserve">Cuisson 85°C four vapeur
Bac gastro avec couvercles</t>
  </si>
  <si>
    <t xml:space="preserve">Mode opératoire :
Peser tous les ingrédients d'épicerie
Suer les oignons et les carottes à l'huile, ajouter l'ail, les tomates, le vin blanc et porter à ébullition
Ajouter le fond délayé dans l'eau, sel, poivre, aromates, lier avec la fécule délayée
Ranger les tripoux serrés dans les bacs gastro 1/1 H10, mouiller à hauteur avec la sauce, couvercle sans trou
Cuisson : 85°C vapeur 12h00 minimum et 18h00 maximum
Le lendemain : contrôler la tendreté, dégraisser la sauce, rectifier l'assaisonnement
Refroidir en cellule (63°C à 10°C en moins de deux heures) pour une remise en T° différée ou maintenir en étuve ≥ 63°C pour un service en liaison chaude
Remise en température : four 140°C vapeur jusqu'à ≥ 63°C à cœur, consommation dans les 3 jours</t>
  </si>
  <si>
    <t xml:space="preserve">Mode opératoire :
Peser tous les ingrédients d'épicerie
Rincer les tripes et les pieds de veau à l'eau froide, égoutter
Dans les bacs gastro 1/1 H15 : répartir tripes, pieds de veau, carottes, oignons, poireaux, ail et aromates
Mouiller avec le cidre, le calvados et le fond délayé dans l'eau, saler, poivrer, mélanger, couvercle sans trou
Cuisson : 88°C vapeur 12h00 minimum et 18h00 maximum (sauteuse : 88°C fonction mijotage, couvert)
Le lendemain : retirer les os des pieds de veau, dégraisser, lier au besoin avec la fécule délayée et porter 5 min à ébullition
Refroidir en cellule (63°C à 10°C en moins de deux heures) pour une remise en T° différée ou maintenir en étuve ≥ 63°C pour un service en liaison chaude
Servir très chaud (≥ 63°C), consommation dans les 3 jours</t>
  </si>
  <si>
    <t xml:space="preserve">Mode opératoire :
Peser tous les ingrédients d'épicerie
Sauce : suer les oignons et l'ail à l'huile d'olive, ajouter concentré, tomates concassées, fond délayé dans l'eau, sucre, sel, poivre, herbes
Porter à ébullition 10 min et lier avec la fécule délayée
Ranger les boulettes surgelées sans décongélation dans les bacs gastro 1/1 H10 (une couche et demie maxi), napper de sauce à hauteur
Couvercle sans trou
Cuisson : 85°C vapeur 12h00 minimum et 18h00 maximum
Le lendemain : mélanger délicatement, rectifier l'assaisonnement
Refroidir en cellule (63°C à 10°C en moins de deux heures) pour une remise en T° différée ou maintenir en étuve ≥ 63°C pour un service en liaison chaude
Viande hachée : remise en température ≥ 63°C à cœur, consommation dans les 3 jours</t>
  </si>
  <si>
    <t xml:space="preserve">Cuisson nuit vapeur 85°C puis 72°C
Grilles ou bacs perforés, coloration four 220°C au service</t>
  </si>
  <si>
    <t xml:space="preserve">Mode opératoire :
Peser tous les ingrédients d'épicerie
Masser les cuisses avec huile, sel, poivre, paprika, ail et herbes
Disposer peau dessus sur grilles ou bacs perforés, bac plein dessous pour récupérer le jus
Phase 1 : four 85°C ambiance vapeur 3h00
Phase 2 : four 72°C ambiance vapeur jusqu'au lendemain matin (contrôle ≥ 72°C à cœur)
Le lendemain : refroidir en cellule (63°C à 10°C en moins de deux heures) pour une remise en T° différée ou colorer directement
Jus : suer les oignons, mouiller avec le jus récupéré dégraissé et le fond délayé dans l'eau, lier à la fécule
Service : colorer au four mixte 220°C chaleur sèche 8 à 10 min jusqu'à ≥ 63°C à cœur, peau dorée, napper de jus, maintien en étuve ≥ 63°C</t>
  </si>
  <si>
    <t xml:space="preserve">Cuisson nuit vapeur 85°C puis 72°C
Bac gastro avec couvercles</t>
  </si>
  <si>
    <t xml:space="preserve">Mode opératoire :
Peser tous les ingrédients d'épicerie
Saler, poivrer les cuisses, les marquer à la sauteuse dans l'huile chaude côté peau (coloration) et décanter
Suer oignons et lardons, ajouter les champignons, déglacer au vin blanc, mouiller avec le fond délayé dans l'eau, aromates, lier à la fécule délayée
Ranger les cuisses peau dessus en bacs gastro 1/1 H10, napper de sauce à mi-hauteur, couvercle sans trou
Phase 1 : 85°C vapeur 3h00
Phase 2 : 72°C vapeur jusqu'au lendemain matin (contrôle ≥ 72°C à cœur)
Le lendemain : décanter, dégraisser la sauce, ajouter la crème, rectifier, remettre les cuisses
Refroidir en cellule (63°C à 10°C en moins de deux heures) pour une remise en T° différée ou maintenir en étuve ≥ 63°C pour un service en liaison chaude</t>
  </si>
  <si>
    <t xml:space="preserve">Plancha ou four mixte 200°C
Plaques gastro, assemblage à chaud</t>
  </si>
  <si>
    <t xml:space="preserve">Mode opératoire :
Peser tous les ingrédients d'épicerie, laver et désinfecter les légumes (tomates, salade), rincer
Tailler tomates et oignons rouges en rondelles, ciseler la salade, réserver à 0/+3°C
Sauce : mélanger mayonnaise, ketchup et cornichons hachés, réserver à 0/+3°C
Cuire les steaks hachés à la plancha huilée ou four mixte 200°C 8 à 10 min, retourner à mi-cuisson, saler, poivrer
Contrôle 63°C à cœur obligatoire (viande hachée, public fragile), pas de cuisson saignante
Poser une tranche de cheddar sur chaque steak en fin de cuisson
Toaster les pains 2 min au four 200°C
Assembler : pain, sauce, salade, steak au cheddar, tomate, oignon, pain ; servir aussitôt en liaison chaude (≥ 63°C) ou en version déstructurée pour les textures modifiées
Aucun reste de steak cuit réutilisé : jeter les invendus en fin de service</t>
  </si>
  <si>
    <t xml:space="preserve">Four mixte 180°C ou sauteuse
Plaques gastro, assemblage à chaud</t>
  </si>
  <si>
    <t xml:space="preserve">Mode opératoire :
Peser tous les ingrédients d'épicerie, laver et désinfecter les légumes, rincer
Sauce blanche : mélanger fromage blanc, mayonnaise, ail, jus de citron, herbes, cumin, sel, poivre ; réserver à 0/+3°C (J+1)
Tailler les tomates en rondelles, ciseler la salade, réserver au froid
Répartir la viande kebab surgelée sur plaques gastro, un filet d'huile
Cuire au four mixte 180°C 12 à 15 min ou sauter à la sauteuse jusqu'à coloration, contrôle 63°C à cœur
Chauffer les pains pita 2 min au four 180°C (ou vapeur 1 min pour une texture souple)
Assembler : pain ouvert, sauce blanche, viande 100 g, salade, tomate, oignon ; servir aussitôt ≥ 63°C
Version assiette possible : viande, crudités et sauce à part pour les résidents en texture facile
Jeter les restes de viande cuite assemblée en fin de service</t>
  </si>
  <si>
    <t xml:space="preserve">Four mixte 180°C
Plaques gastro, sauce moutarde en bac</t>
  </si>
  <si>
    <t xml:space="preserve">Mode opératoire :
Peser tous les ingrédients d'épicerie
Piquer légèrement les andouillettes, les disposer sur plaques gastro huilées sans les serrer
Cuire au four mixte 180°C 20 à 25 min, retourner à mi-cuisson, peau dorée, contrôle 63°C à cœur
Sauce moutarde : suer les échalotes au beurre, déglacer au vin blanc, réduire de moitié, mouiller avec le fond délayé dans l'eau, ajouter la crème et réduire 5 min
Hors du feu, incorporer la moutarde, sel, poivre, sans faire bouillir
Dresser 1 andouillette par portion en bacs gastro, napper de sauce
Maintien en étuve ≥ 63°C pour un service en liaison chaude ou refroidir en cellule (63°C à 10°C en moins de 2 heures), DLC J+3
Remise en température four 140°C jusqu'à ≥ 63°C à cœur</t>
  </si>
  <si>
    <t xml:space="preserve">Four mixte 160°C
Bacs gastro 1/1 H6</t>
  </si>
  <si>
    <t xml:space="preserve">Mode opératoire :
Peser tous les ingrédients d'épicerie, déconditionner les quenelles (contrôle DLC, aspect)
Sauce : suer les échalotes et les champignons au beurre, déglacer au vin blanc, singer avec la farine
Mouiller avec le fond délayé dans l'eau chaude, cuire 10 min en remuant, ajouter la crème, sel, poivre, muscade
Ranger les quenelles en bacs gastro 1/1 H6 en une seule couche (2 par portion), elles vont doubler de volume
Napper généreusement de sauce chaude, parsemer d'emmental râpé
Cuire au four mixte 160°C 30 à 35 min, quenelles gonflées, contrôle 63°C à cœur
Service immédiat en liaison chaude (≥ 63°C), ne pas laisser retomber
Si remise en T° différée : refroidir en cellule (63°C à 10°C en moins de 2 heures), remise en T° four 140°C jusqu'à ≥ 63°C à cœur, DLC J+3</t>
  </si>
  <si>
    <t xml:space="preserve">Mode opératoire :
Peser tous les ingrédients d'épicerie, déconditionner les godiveaux (contrôle DLC)
Sauce tomate : suer les oignons et l'ail à l'huile d'olive, ajouter concentré, tomates concassées, fond délayé dans l'eau, sucre, sel, poivre, herbes
Cuire 15 min, lier légèrement avec la fécule délayée, mixer si nécessaire
Ranger les godiveaux en bacs gastro 1/1 H6 en une seule couche (2 par portion)
Napper de sauce tomate chaude à hauteur, parsemer d'emmental
Cuire au four mixte 160°C 30 à 35 min, godiveaux gonflés et dorés, contrôle 63°C à cœur
Service immédiat ≥ 63°C en liaison chaude
Remise en T° différée possible : refroidir en cellule (63°C à 10°C en moins de 2 heures), four 140°C jusqu'à ≥ 63°C à cœur, DLC J+3</t>
  </si>
  <si>
    <t xml:space="preserve">Four mixte 180°C (croûtes) et sauteuse (garniture)
Plaques gastro + bacs gastro</t>
  </si>
  <si>
    <t xml:space="preserve">Mode opératoire :
Peser tous les ingrédients d'épicerie
Pocher le sauté de volaille dans l'eau avec le fond de volaille 30 min, décanter, réserver le bouillon ; tailler la volaille en dés
Velouté : roux beurre/farine, mouiller avec le bouillon chaud, cuire 10 min, ajouter le vin blanc réduit, la crème, citron, sel, poivre, muscade
Suer les champignons, ajouter volaille, champignons et quenelles tranchées au velouté, porter 5 min à frémissement, contrôle 63°C à cœur
Croûtes : dorer au four mixte 180°C 8 à 10 min sur plaques gastro, retirer le chapeau
Dressage au service : garnir chaque croûte chaude de garniture (≈ 200 g), poser le chapeau
Garniture : maintien en étuve ≥ 63°C ou refroidir en cellule (63°C à 10°C en moins de 2 heures), DLC J+3, remise en T° ≥ 63°C à cœur
Croûtes conservées à sec, réchauffées au moment du service</t>
  </si>
  <si>
    <t xml:space="preserve">Sous vide 63°C thermoplongeur ou four vapeur
Poches sous vide, sauce au cidre à part</t>
  </si>
  <si>
    <t xml:space="preserve">Mode opératoire :
Parer les filets mignons, saler, poivrer, marquer rapidement dans l'huile très chaude sur toutes les faces, refroidir en cellule à +3°C
Conditionner 2 filets par poche sous vide avec une branche de thym, vide 99 %
Cuire au thermoplongeur ou four vapeur 63°C pendant 2h00 (contrôle 63°C à cœur)
Refroidir en cellule (63°C à 10°C en moins de deux heures), étiqueter, DLC J+5 à 0/+3°C
Sauce au cidre : suer les échalotes au beurre, ajouter les pommes, déglacer au cidre, réduire de moitié
Mouiller avec le fond délayé dans l'eau, ajouter la crème, lier à la fécule, cuire 5 min, ajouter le jus des poches filtré, rectifier
Le jour du service : trancher les filets en médaillons (120 g), dresser en bacs gastro, napper de sauce
Remise en température four 120°C vapeur jusqu'à ≥ 63°C à cœur, maintien en étuve ≥ 63°C</t>
  </si>
  <si>
    <t xml:space="preserve">Sous vide 65°C thermoplongeur ou four vapeur
Poches sous vide, marquage plancha au service</t>
  </si>
  <si>
    <t xml:space="preserve">Mode opératoire :
Assaisonner les escalopes (sel, poivre, filet d'huile, citron, herbes)
Conditionner à plat en poches sous vide (6 à 8 escalopes par poche, une seule couche), vide 99 %
Cuire au thermoplongeur ou four vapeur 65°C pendant 1h30 à 2h00 (contrôle 65°C à cœur)
Refroidir en cellule (63°C à 10°C en moins de deux heures), étiqueter, DLC J+5 à 0/+3°C
Jus : récupérer le jus des poches, ajouter le fond délayé dans l'eau, lier à la fécule, monter au beurre
Le jour du service : ouvrir les poches, éponger, marquer les escalopes à la plancha ou sauteuse très chaude 1 min par face pour la coloration
Dresser en bacs gastro, napper de jus, remise en température four 120°C jusqu'à ≥ 63°C à cœur
Maintien en étuve ≥ 63°C, service dans les 2 heures</t>
  </si>
  <si>
    <t xml:space="preserve">Mode opératoire :
Peser tous les ingrédients d'épicerie
Effeuiller le chou, laver, blanchir les feuilles 3 min à l'eau bouillante salée, rafraîchir, égoutter, retirer la grosse côte
Farce : mélanger chair à saucisse, bœuf haché, oignons, ail, œufs, chapelure, persil, sel, poivre
Façonner des paupiettes de 150 g de farce enveloppées de 2 feuilles de chou, bien serrer
Ranger les choux farcis serrés en bacs gastro 1/1 H10, répartir carottes et tomates concassées
Mouiller à mi-hauteur avec le vin blanc et le fond délayé dans l'eau, thym, laurier, couvercle sans trou
Cuisson : 85°C vapeur 12h00 minimum et 14h00 maximum
Le lendemain : refroidir en cellule (63°C à 10°C en moins de deux heures) pour une remise en T° différée ou maintenir en étuve ≥ 63°C pour un service en liaison chaude
Viande hachée : remise en température ≥ 63°C à cœur, consommation dans les 3 jours</t>
  </si>
  <si>
    <t xml:space="preserve">Cuisson 72°C four vapeur
Bac gastro avec couvercles ou sauteuse</t>
  </si>
  <si>
    <t xml:space="preserve">Mode opératoire :
Peser tous les ingrédients d'épicerie
Faire revenir le sauté d'agneau à feu vif avec les oignons pour obtenir une belle coloration, sans ébullition
Ajouter l'ail, le concentré, sel, poivre, singer avec la fécule, mouiller avec le vin blanc et le fond délayé dans l'eau, aromates
Ajouter navets et carottes, porter à frémissement, le mélange doit être légèrement épais
Répartir en bacs gastro 1/1 H10, couvercle sans trou
Cuisson : 72°C vapeur 12h00 minimum et 18h00 maximum (possibilité 68°C)
Le lendemain : ajouter les petits pois décongelés, mélanger, rectifier l'assaisonnement
Refroidir en cellule (63°C à 10°C en moins de deux heures) pour une remise en T° différée ou maintenir en étuve ≥ 63°C pour un service en liaison chaude</t>
  </si>
  <si>
    <t xml:space="preserve">Mode opératoire :
Peser tous les ingrédients d'épicerie
Faire revenir le sauté d'agneau à feu vif avec les oignons pour obtenir une belle coloration sans ébullition
Ajouter carottes, ail, concentré, tomates concassées, sel, poivre, herbes et singer avec la fécule
Déglacer au vin blanc, mouiller avec le fond délayé dans l'eau, porter à frémissement, le mélange doit devenir un peu épais
Répartir en bacs gastro 1/1 H10 (2/3 de hauteur maxi), couvercle sans trou
Cuisson : 72°C vapeur 12h00 minimum et 18h00 maximum (possibilité 68°C)
Le lendemain : dégraisser, rectifier l'assaisonnement et la liaison
Refroidir en cellule (63°C à 10°C en moins de deux heures) pour une remise en T° différée ou maintenir en étuve ≥ 63°C pour un service en liaison chaude</t>
  </si>
  <si>
    <t xml:space="preserve">Cuisson nuit vapeur 80°C puis 65°C
Bac gastro ou grilles</t>
  </si>
  <si>
    <t xml:space="preserve">Mode opératoire :
Peser tous les ingrédients d'épicerie
Frotter les gigots avec huile, sel, poivre, ail et herbes ; marquer à la sauteuse ou plancha pour la coloration
Plaquer en bacs gastro ou sur grilles (bac plein dessous)
Si cuisson en bac mouiller à mi-hauteur et ne pas ajouter de couvercle
Phase 1 : four 80°C ambiance vapeur jusqu'à 72°C à cœur (public fragile)
Phase 2 : four 65°C ambiance vapeur jusqu'au lendemain matin
Jus : suer les oignons, déglacer avec le jus de cuisson dégraissé et le fond délayé dans l'eau, lier à la fécule
Le lendemain : trancher, refroidir en cellule (63°C à 10°C en moins de deux heures) pour une remise en T° différée ou maintenir en étuve ≥ 63°C</t>
  </si>
  <si>
    <t xml:space="preserve">Cuisson 72°C four vapeur
Bac gastro avec couvercles</t>
  </si>
  <si>
    <t xml:space="preserve">Mode opératoire :
Peser tous les ingrédients d'épicerie
Saler, poivrer les souris, les marquer à la sauteuse dans l'huile très chaude sur toutes les faces, décanter
Suer oignons et carottes, ajouter ail, concentré, miel, déglacer au vin blanc, mouiller avec le fond délayé dans l'eau, lier à la fécule
Ranger les souris en bacs gastro 1/1 H15, napper de sauce à mi-hauteur, aromates, couvercle sans trou
Cuisson : 72°C vapeur 12h00 minimum et 18h00 maximum (possibilité 68°C)
Le lendemain : vérifier la tendreté (la viande se détache de l'os), dégraisser et rectifier la sauce
Refroidir en cellule (63°C à 10°C en moins de deux heures) pour une remise en T° différée ou maintenir en étuve ≥ 63°C pour un service en liaison chaude
Remise en température four 140°C vapeur jusqu'à ≥ 63°C à cœur, consommation dans les 3 jours</t>
  </si>
  <si>
    <t xml:space="preserve">Sous vide 65°C thermoplongeur ou four vapeur
Poches sous vide, sauce aux cèpes à part</t>
  </si>
  <si>
    <t xml:space="preserve">Mode opératoire :
Assaisonner les aiguillettes (sel, poivre, filet d'huile)
Conditionner à plat en poches sous vide (1,5 kg par poche, une seule couche), vide 99 %
Cuire au thermoplongeur ou four vapeur 65°C pendant 1h00 à 1h30 (contrôle 65°C à cœur)
Refroidir en cellule (63°C à 10°C en moins de deux heures), étiqueter, DLC J+5 à 0/+3°C
Sauce aux cèpes : sauter cèpes et champignons au beurre à feu vif, ajouter les échalotes, déglacer au vin blanc
Mouiller avec le fond délayé dans l'eau et le jus des poches, ajouter la crème, lier à la fécule, cuire 5 min, sel, poivre, persil
Le jour du service : dresser les aiguillettes en bacs gastro, napper de sauce
Remise en température four 120°C vapeur jusqu'à ≥ 63°C à cœur, maintien en étuve ≥ 63°C</t>
  </si>
  <si>
    <t xml:space="preserve">Mode opératoire :
Quantités pour 1 bac gastro 1/1 H15 (multiplier par le nombre de bacs)
Peser tous les ingrédients d'épicerie, dessaler la poitrine 1h à l'eau froide, couper en cubes
Marquer les saucisses à la sauteuse dans la graisse de canard et les couper en tronçons de 50 g
Dans le bac : haricots secs (sans trempage), eau, oignons, ail, tomates, concentré, poitrine, aromates, sel, poivre ; mélanger
Enfoncer les saucisses et les cuisses de canard confites dans les haricots, ajouter un couvercle sans trou
Cuisson : 95°C vapeur 12h00 minimum et 18h00 maximum (sauteuse : 95°C fonction mijotage, couvert)
Le lendemain : vérifier la cuisson des haricots, rectifier, parsemer de chapelure et gratiner 15 min four 200°C pour le service
Refroidir en cellule (63°C à 10°C en moins de deux heures) pour une remise en T° différée ou maintenir en étuve ≥ 63°C pour un service en liaison chaude</t>
  </si>
  <si>
    <t xml:space="preserve">Cuisson nuit vapeur 85°C puis 72°C
Bac gastro avec couvercles ou sauteuse</t>
  </si>
  <si>
    <t xml:space="preserve">Mode opératoire :
Peser tous les ingrédients d'épicerie
Faire revenir le sauté de volaille à feu vif avec les oignons pour obtenir une belle coloration, sans ébullition
Ajouter carottes, champignons, concentré, sel, poivre, singer avec la fécule, déglacer au vin blanc
Mouiller avec le fond délayé dans l'eau, aromates, porter à frémissement, le mélange doit être légèrement épais
Répartir en bacs gastro 1/1 H10, couvercle sans trou
Phase 1 : 85°C vapeur 3h00
Phase 2 : 72°C vapeur jusqu'au lendemain matin
Le lendemain : ajouter la crème, mélanger, rectifier l'assaisonnement
Refroidir en cellule (63°C à 10°C en moins de deux heures) pour une remise en T° différée ou maintenir en étuve ≥ 63°C pour un service en liaison chaude
Volaille : remise en température ≥ 63°C à cœur, consommation dans les 3 jours</t>
  </si>
  <si>
    <t xml:space="preserve">Mode opératoire :
Peser tous les ingrédients d'épicerie, déconditionner les jambonnettes (contrôle DLC)
Marquer les jambonnettes à la sauteuse dans l'huile chaude côté peau pour la coloration, décanter
Suer oignons et lardons, ajouter les champignons, déglacer au vin blanc, mouiller avec le fond délayé dans l'eau, lier à la fécule, aromates, sel, poivre
Ranger les jambonnettes peau dessus en bacs gastro 1/1 H10, napper de sauce à mi-hauteur, couvercle sans trou
Phase 1 : 85°C vapeur 3h00
Phase 2 : 72°C vapeur jusqu'au lendemain matin (contrôle ≥ 72°C à cœur, farce comprise)
Le lendemain : décanter, dégraisser, crémer la sauce, rectifier, remettre les jambonnettes
Refroidir en cellule (63°C à 10°C en moins de deux heures) pour une remise en T° différée ou maintenir en étuve ≥ 63°C pour un service en liaison chaude</t>
  </si>
  <si>
    <t xml:space="preserve">Mode opératoire :
Peser tous les ingrédients d'épicerie
Décongeler les calamars en chambre froide 0/+3°C la veille, égoutter
Suer oignons, poivrons et ail à l'huile d'olive, ajouter le concentré, les tomates concassées, le vin blanc, le fumet, herbes, sel, poivre
Porter à ébullition 10 min, lier avec la fécule délayée
Mélanger les calamars et les olives à la sauce, répartir en bacs gastro 1/1 H10, couvercle sans trou
Cuisson : 85°C vapeur 12h00 minimum et 14h00 maximum (calamars fondants)
Le lendemain : rectifier l'assaisonnement et la liaison (les calamars rendent de l'eau)
Refroidir en cellule (63°C à 10°C en moins de deux heures) pour une remise en T° différée ou maintenir en étuve ≥ 63°C pour un service en liaison chaude
Consommation dans les 3 jours, remise en température ≥ 63°C à cœur</t>
  </si>
  <si>
    <t xml:space="preserve">Sauteuse couverte, cuisson rapide
Service immédiat en bacs gastro</t>
  </si>
  <si>
    <t xml:space="preserve">Mode opératoire :
Contrôler les moules à réception (étiquette sanitaire, coquilles fermées), conserver à 0/+3°C, cuisson le jour même
Gratter, ébarber et laver les moules à l'eau claire, éliminer les moules ouvertes ou cassées
Suer échalotes, oignons et ail au beurre sans coloration, mouiller au vin blanc, thym, laurier, poivrer, porter à ébullition
Ajouter les moules par sauteuse de 6 kg maximum, couvrir, cuire 5 à 7 min à feu vif en remuant 2 fois jusqu'à ouverture complète
Retirer les moules non ouvertes, ajouter la crème et le persil au jus, rectifier (ne pas saler)
Contrôle température du jus ≥ 63°C, dresser en bacs gastro avec le jus
Service immédiat en liaison chaude, pas de maintien prolongé (texture) ni de remise en température
Jeter les restes en fin de service, pas de refroidissement pour réutilisation
Pour les textures modifiées : décoquiller et servir dans le jus crémé</t>
  </si>
  <si>
    <t xml:space="preserve">Mode opératoire :
Peser tous les ingrédients d'épicerie, laver et désinfecter les courgettes, rincer
Couper les courgettes en deux dans la longueur (ou décalotter les rondes), évider à la cuillère, hacher la chair
Farce : suer oignons, ail et chair de courgette, refroidir ; mélanger avec chair à saucisse, bœuf haché, œufs, chapelure, herbes, sel, poivre
Garnir les courgettes (≈ 130 g de farce), ranger serrées en bacs gastro 1/1 H10 huilés
Verser les tomates concassées assaisonnées autour, filet d'huile d'olive, couvercle sans trou
Cuisson : 85°C vapeur 12h00 minimum et 14h00 maximum
Le lendemain : refroidir en cellule (63°C à 10°C en moins de deux heures) pour une remise en T° différée ou maintenir en étuve ≥ 63°C pour un service en liaison chaude
Service : parsemer d'emmental et gratiner 10 min four 200°C, ou remise en température four 140°C jusqu'à ≥ 63°C à cœur (viande hachée), consommation dans les 3 jours</t>
  </si>
  <si>
    <t xml:space="preserve">Mode opératoire :
Peser tous les ingrédients d'épicerie, laver et désinfecter les tomates, rincer
Décalotter les tomates, évider, saler l'intérieur et retourner 20 min pour dégorger ; réserver la pulpe
Farce : mélanger chair à saucisse, bœuf haché, oignons, ail, œufs, chapelure trempée dans le lait, persil, thym, sel, poivre
Garnir les tomates (≈ 100 g de farce), remettre les chapeaux
Dans les bacs gastro 1/1 H10 huilés : étaler le riz cru, la pulpe de tomates et l'eau, poser les tomates farcies dessus
Filet d'huile d'olive, couvercle sans trou
Cuisson : 85°C vapeur 12h00 minimum et 14h00 maximum
Le lendemain : refroidir en cellule (63°C à 10°C en moins de deux heures) pour une remise en T° différée ou maintenir en étuve ≥ 63°C pour un service en liaison chaude
Remise en température four 140°C vapeur jusqu'à ≥ 63°C à cœur (viande hachée), consommation dans les 3 jours</t>
  </si>
  <si>
    <t xml:space="preserve">Cuisson 85°C four vapeur (programme Aubergines)
Bac gastro avec couvercles</t>
  </si>
  <si>
    <t xml:space="preserve">Mode opératoire :
Peser tous les ingrédients d'épicerie, laver et désinfecter les aubergines, rincer
Couper les aubergines en deux dans la longueur, quadriller la chair, précuire 10 min four vapeur 100°C, évider en laissant 1 cm, hacher la chair
Farce : suer oignons, ail et chair d'aubergine à l'huile d'olive, refroidir ; mélanger avec les viandes hachées, œufs, chapelure, cumin, herbes, sel, poivre
Garnir les demi-aubergines (≈ 120 g de farce), ranger en bacs gastro 1/1 H10 huilés
Verser autour les tomates concassées mélangées au concentré, filet d'huile d'olive, couvercle sans trou
Cuisson : 85°C vapeur 12h00 minimum et 14h00 maximum (programme Aubergines)
Le lendemain : refroidir en cellule (63°C à 10°C en moins de deux heures) pour une remise en T° différée ou maintenir en étuve ≥ 63°C pour un service en liaison chaude
Service : emmental râpé et gratin 10 min four 200°C, remise en température ≥ 63°C à cœur (viande hachée), consommation dans les 3 jours</t>
  </si>
  <si>
    <t xml:space="preserve">Four mixte 180°C
Bacs gastro 1/1 H6, jus à mi-hauteur
Contrôle 63°C à cœur (farce hachée : viser 70°C)</t>
  </si>
  <si>
    <t xml:space="preserve">Mode opératoire :
Peser tous les ingrédients d'épicerie
Laver les pommes de terre, couper un chapeau, évider à la cuillère parisienne (garder la chair pour une purée)
Précuire les pommes de terre évidées 10 min vapeur 100°C
Mélanger chair à saucisse, bœuf haché, oignons, ail, persil, œufs, chapelure, sel et poivre
Farcir les pommes de terre en dôme, disposer en bacs gastro 1/1 huilés
Délayer le fond de veau et le concentré dans l'eau chaude, verser à mi-hauteur des pommes de terre, ajouter thym et laurier
Cuisson four mixte 180°C chaleur mixte 45 à 55 min, arroser à mi-cuisson
Contrôler 63°C à cœur minimum de la farce (viande hachée, public fragile : viser 70°C)
Maintenir en étuve ≥ 63°C pour le service ou refroidir en cellule (63°C à 10°C en moins de deux heures), remise en T° ≥ 63°C à cœur</t>
  </si>
  <si>
    <t xml:space="preserve">Four mixte 180°C
Plaques gastro huilées
Pommes : bac gastro couvert 160°C</t>
  </si>
  <si>
    <t xml:space="preserve">Mode opératoire :
Peser tous les ingrédients d'épicerie
Pommes : éplucher, épépiner, tailler en quartiers (ou utiliser des quartiers surgelés)
Suer les oignons au beurre en sauteuse, ajouter les pommes, le sucre, le cidre, sel, poivre, cannelle
Répartir en bacs gastro 1/1, couvrir, four 160°C 15 à 20 min : les pommes doivent rester entières
Boudins : disposer sans les piquer sur plaques gastro huilées, badigeonner d'huile
Four mixte 180°C 15 à 20 min, retourner à mi-cuisson, la peau doit être légèrement craquante
Contrôler 63°C à cœur
Dresser 1 boudin + pommes, maintenir en étuve ≥ 63°C pour le service ou refroidir en cellule (63°C à 10°C en moins de deux heures), remise en T° ≥ 63°C à cœur</t>
  </si>
  <si>
    <t xml:space="preserve">Four mixte 160°C
Plaques gastro beurrées
Sauce : sauteuse, bac gastro</t>
  </si>
  <si>
    <t xml:space="preserve">Mode opératoire :
Peser tous les ingrédients d'épicerie
Réhydrater les morilles 30 min dans l'eau tiède, égoutter, rincer, filtrer l'eau de trempage
Sauce : suer les échalotes au beurre, ajouter morilles et champignons, déglacer au vin blanc et réduire
Mouiller avec le fond délayé dans l'eau de trempage filtrée, ajouter la crème, lier à la fécule délayée, sel, poivre, cuire 10 min à frémissement
Boudins : disposer sans les piquer sur plaques gastro beurrées, four mixte 160°C 15 à 20 min, retourner à mi-cuisson sans éclater la peau
Contrôler 63°C à cœur
Dresser 1 boudin nappé de sauce en bacs gastro 1/1
Maintenir en étuve ≥ 63°C pour le service ou refroidir en cellule (63°C à 10°C en moins de deux heures), remise en T° ≥ 63°C à cœur</t>
  </si>
  <si>
    <t xml:space="preserve">Mode opératoire :
Peser tous les ingrédients d'épicerie
La veille : mariner la viande avec le vin, l'ail, le thym, le laurier, le zeste d'orange, en bac filmé 0/+3°C
Égoutter la viande, porter le vin de marinade à ébullition et écumer
Faire revenir le sauté et les lardons à feu vif pour obtenir une belle coloration sans ébullition, ajouter oignons et carottes
Ajouter le concentré, sel, poivre, singer avec la fécule, mouiller avec le vin et l'eau, ajouter les olives et le clou de girofle
Le mélange doit devenir un peu épais
Répartir en bacs gastro 1/1 H10, couvercle sans trou
Appliquer le programme de cuisson : Sauté de Bœuf Cuisson de nuit CHPV (85°C vapeur 12h à 18h)
Le lendemain : refroidir en cellule (63°C à 10°C en moins de deux heures) pour une remise en T° différée (≥ 63°C à cœur) ou maintenir en étuve pour un service en liaison chaude.</t>
  </si>
  <si>
    <t xml:space="preserve">Bourguignon cuisson de nuit </t>
  </si>
  <si>
    <t xml:space="preserve">Mode opératoire :
Peser tous les ingrédients d'épicerie
Mettre le vin à ébullition avec thym, laurier et baies
Faire revenir le sauté avec les oignons à feu vif pour obtenir une belle coloration sans ébullition
Ajouter les carottes , l'ail, le concentré, sel, poivre et singer avec la fécule, mouiller avec le vin.
Le mélange doit devenir un peu épais
Appliquer le programme de cuisson : 
Sauté de Boeuf Cuisson de nuit CHPV
</t>
  </si>
  <si>
    <t xml:space="preserve">Mode opératoire :
Peser tous les ingrédients d'épicerie
Faire revenir le sauté à feu vif pour obtenir une belle coloration sans ébullition, débarrasser
Faire blondir les oignons dans la même sauteuse, ajouter la cassonade et laisser caraméliser légèrement, déglacer au vinaigre
Remettre la viande, ajouter le fond, sel, poivre, singer avec la fécule, mouiller avec la bière et l'eau
Tartiner les tranches de pain d'épices de moutarde et les déposer sur la viande, ajouter thym et laurier
Répartir en bacs gastro 1/1 H10, couvercle sans trou
Appliquer le programme de cuisson : Sauté de Bœuf Cuisson de nuit CHPV (85°C vapeur 12h à 18h)
Le lendemain : mélanger pour fondre le pain d'épices dans la sauce, refroidir en cellule (63°C à 10°C en moins de deux heures) pour une remise en T° différée (≥ 63°C à cœur) ou maintenir en étuve pour un service en liaison chaude.</t>
  </si>
  <si>
    <t xml:space="preserve">Mode opératoire :
La veille : dessaler le petit salé 12h à l'eau froide en chambre froide 0/+3°C, changer l'eau une fois
Blanchir le petit salé 10 min départ eau froide, égoutter et rincer
Rincer les lentilles à l'eau claire
Four : dans des bacs 1/1 H15 mettre par bac 1,5 kg de lentilles, 4,5 L d'eau, carottes, oignons, ail, aromates et poivre, mélanger
Déposer les morceaux de petit salé et les saucisses sur les lentilles, ajouter un couvercle sans trou
Cuisson : 95°C vapeur 12h00 minimum et 18h00 au maximum
Le lendemain : retirer les viandes, trancher ou détailler en portions de 100 g, rectifier l'assaisonnement des lentilles, remettre en bacs avec la viande
Refroidir en cellule (63°C à 10°C en moins de deux heures) pour une remise en T° différée (≥ 63°C à cœur) ou maintenir en étuve pour un service en liaison chaude
Sauteuse ou marmite (compatible cuisson de nuit) : mettre tous les ingrédients, couvrir, 95°C fonction mijotage 12h00 à 18h00, le lendemain transférer en bacs, couvrir, refroidir en cellule</t>
  </si>
  <si>
    <t xml:space="preserve">Pochage 80°C sans ébullition
Gratin four mixte 180°C
Bacs gastro 1/1 H6</t>
  </si>
  <si>
    <t xml:space="preserve">Mode opératoire :
Peser tous les ingrédients d'épicerie
Décongeler la morue 24h en chambre froide 0/+3°C, goûter le dessalage, rincer si besoin
Pocher la morue dans 2 L de lait + eau à hauteur avec laurier et thym, 80°C sans ébullition 8 à 10 min, égoutter
Effeuiller la morue, retirer arêtes et peau, garder au chaud
Cuire les pommes de terre vapeur 100°C 30 min, passer au presse-purée
Mélanger la morue, la purée, l'ail, le persil, le lait restant chaud et la crème, monter à l'huile d'olive en filet, poivre, muscade, rectifier le sel
Dresser en bacs gastro 1/1 H6 huilés, saupoudrer de chapelure et arroser d'un filet d'huile d'olive
Gratiner four mixte 180°C 20 à 25 min, contrôler 63°C à cœur
Maintenir en étuve ≥ 63°C pour le service ou refroidir en cellule (63°C à 10°C en moins de deux heures), remise en T° ≥ 63°C à cœur</t>
  </si>
  <si>
    <t xml:space="preserve">Sauteuse puis four mixte 180°C
Bacs gastro 1/1 H10 couverts
Contrôle 63°C à cœur (volaille : 72°C)</t>
  </si>
  <si>
    <t xml:space="preserve">Mode opératoire :
Peser tous les ingrédients d'épicerie
Décongeler calamars et moules 24h en chambre froide 0/+3°C, égoutter
Faire revenir les hauts de cuisse détaillés en morceaux à l'huile d'olive à feu vif, ajouter le chorizo, les oignons, l'ail, les poivrons
Ajouter le riz et nacrer 2 min, ajouter les épices, les tomates concassées, le fond délayé dans l'eau chaude, le sel
Ajouter calamars, moules et petits pois, mélanger
Répartir en bacs gastro 1/1 H10 (riz à hauteur de liquide), couvrir
Cuisson four mixte 180°C chaleur mixte 25 à 30 min, le riz doit avoir absorbé le liquide, égrener à la fourchette
Contrôler ≥ 63°C à cœur (72°C pour la volaille)
Maintenir en étuve ≥ 63°C pour le service ou refroidir en cellule (63°C à 10°C en moins de deux heures), remise en T° ≥ 63°C à cœur</t>
  </si>
  <si>
    <t xml:space="preserve">Four mixte 160°C
Bacs gastro 1/1 H6 couverts
Gratinage 220°C 5 min</t>
  </si>
  <si>
    <t xml:space="preserve">Mode opératoire :
Peser tous les ingrédients d'épicerie
Sauter les champignons à feu vif en sauteuse pour évaporer l'eau de végétation, ajouter les oignons, égoutter
Béchamel : roux beurre-farine, mouiller au lait froid, cuire 10 min en fouettant, ajouter la crème, sel, poivre, muscade
Mélanger les champignons, la moitié de l'emmental et le persil à la béchamel, refroidir en cellule à +3°C si garnissage différé
Garnir chaque crêpe de 150 g de garniture, rouler, disposer en bacs gastro 1/1 beurrés, parsemer du reste d'emmental
Couvrir, four mixte 160°C 20 à 25 min, découvrir et gratiner 220°C 5 min
Contrôler 63°C à cœur
Maintenir en étuve ≥ 63°C pour le service ou refroidir en cellule (63°C à 10°C en moins de deux heures), remise en T° ≥ 63°C à cœur</t>
  </si>
  <si>
    <t xml:space="preserve">Pochage 80°C puis four mixte 180°C
Plaques gastro papier cuisson
Sonde 63°C à cœur</t>
  </si>
  <si>
    <t xml:space="preserve">Mode opératoire :
Peser tous les ingrédients d'épicerie
Décongeler la pâte à brioche 12h en chambre froide 0/+3°C
Pocher les saucissons sans les piquer dans l'eau à 80°C avec thym et laurier 40 min, refroidir en cellule à +3°C, retirer la peau
Abaisser la pâte à 5 mm, enrouler chaque saucisson froid dans une bande de pâte, souder à l'eau, retourner soudure dessous
Disposer sur plaques gastro beurrées ou papier cuisson, dorer au jaune d'œuf, laisser pousser 30 à 45 min à 28°C (ou en étuve tiède)
Dorer une seconde fois, inciser le dessus, four mixte 180°C 30 à 35 min, la brioche doit être dorée
Contrôler 63°C à cœur du saucisson
Trancher en parts de 2 cm, dresser avec la moutarde, maintenir en étuve ≥ 63°C ou refroidir en cellule (63°C à 10°C en moins de deux heures), remise en T° ≥ 63°C à cœur</t>
  </si>
  <si>
    <t xml:space="preserve">Cuisson 85°C four vapeur (légumes tajine et sauté de mouton)
Bac gastro avec couvercles
Merguez et semoule le jour J</t>
  </si>
  <si>
    <t xml:space="preserve">Mode opératoire :
Peser tous les ingrédients d'épicerie
Faire revenir l'agneau et le poulet à feu vif à l'huile d'olive pour une belle coloration
Ajouter oignons, ail, épices, tomates concassées, fond, sel, singer avec la fécule, mouiller avec l'eau
Ajouter les légumes encore surgelés et les pois chiches, mélanger
Répartir en bacs gastro 1/1 H15, couvercle sans trou
Appliquer le programme de cuisson : Légumes tajine / Sauté de mouton Cuisson de nuit CHPV (85°C vapeur 12h à 18h)
Le lendemain : refroidir en cellule (63°C à 10°C en moins de deux heures) pour une remise en T° différée (≥ 63°C à cœur) ou maintenir en étuve pour un service en liaison chaude
Jour J merguez : plaques gastro, four mixte 180°C 12 à 15 min, 63°C à cœur
Jour J semoule : 4 kg de semoule + 4 L d'eau bouillante salée + huile d'olive, couvrir 10 min, égrener, vapeur 100°C 10 min, maintenir ≥ 63°C</t>
  </si>
  <si>
    <t xml:space="preserve">Pochage puis mijotage sauteuse 40 min
Bacs gastro 1/1 H10 couverts
63°C à cœur</t>
  </si>
  <si>
    <t xml:space="preserve">Mode opératoire :
Peser tous les ingrédients d'épicerie
Pocher les saucisses 20 min dans l'eau frémissante à 85°C pour les dessaler et dégraisser, égoutter
Trancher les saucisses en tronçons de 3 cm
Sauteuse : suer les oignons, l'ail, le gingembre et le curcuma dans l'huile sans coloration
Ajouter les tomates concassées, le concentré, l'eau, le thym, le piment doux, laisser compoter 10 min
Ajouter les saucisses, mijoter à couvert 30 à 40 min à frémissement, rectifier sel et poivre
Contrôler ≥ 63°C à cœur
Répartir en bacs gastro 1/1 H10, couvrir
Maintenir en étuve ≥ 63°C pour le service (riz créole en accompagnement) ou refroidir en cellule (63°C à 10°C en moins de deux heures), remise en T° ≥ 63°C à cœur</t>
  </si>
  <si>
    <t xml:space="preserve">Sous vide 57°C thermoplongeur ou four vapeur 2h30
Poches sous vide
Saisie côté peau le jour J</t>
  </si>
  <si>
    <t xml:space="preserve">&gt; à 70 (consommation rapide, J+2)</t>
  </si>
  <si>
    <t xml:space="preserve">Mode opératoire :
Parer les magrets, quadriller la peau au couteau sans entamer la chair, saler, poivrer
Conditionner sous vide (99%) par 2 ou 3 magrets avec une branche de thym, étiqueter
Cuire sous vide 57°C thermoplongeur ou four vapeur 2h30 (épaisseur 3 cm, pasteurisation obtenue par le temps)
Refroidir en cellule en poche (à 10°C en moins de deux heures), stocker 0/+3°C, DLC J+2 (cuisson &lt; 63°C : consommation rapide)
Jour J : ouvrir les poches, éponger les magrets, récupérer les jus pour la sauce
Saisir côté peau à la plancha ou sauteuse très chaude 2 à 3 min jusqu'à coloration, retourner 30 s
Sauce : déglacer les sucs au vinaigre balsamique, ajouter le miel, le fond délayé dans l'eau et les jus de poche, lier à la fécule, monter au beurre
Trancher en biais, 3 à 4 tranches par portion, napper de sauce, service immédiat sans maintien prolongé
Résidents très fragiles : prolonger la saisie ou passer au four 180°C jusqu'à 63°C à cœur</t>
  </si>
  <si>
    <t xml:space="preserve">Cuisson 74°C four vapeur (débuter 2h00 à 85°C)
Bac gastro avec couvercles ou sauteuse</t>
  </si>
  <si>
    <t xml:space="preserve">Mode opératoire :
Peser tous les ingrédients d'épicerie
Faire revenir le sauté de porc à feu vif pour obtenir une belle coloration sans ébullition
Ajouter oignons, carottes, champignons et ail, suer 5 min
Ajouter le concentré, le fond, sel, poivre, singer avec la fécule, déglacer au vin blanc et mouiller avec l'eau, ajouter thym et laurier
Le mélange doit devenir un peu épais
Répartir en bacs gastro 1/1 H10, couvercle sans trou
Appliquer le programme de cuisson : Sauté de porc Cuisson de nuit CHPV (85°C vapeur 2h00 puis 74°C vapeur jusqu'au matin, 12h à 18h au total)
Le lendemain : refroidir en cellule (63°C à 10°C en moins de deux heures) pour une remise en T° différée (≥ 63°C à cœur) ou maintenir en étuve pour un service en liaison chaude.</t>
  </si>
  <si>
    <t xml:space="preserve">Mode opératoire :
Peser tous les ingrédients d'épicerie
Faire revenir le sauté de porc à feu vif pour obtenir une belle coloration sans ébullition
Ajouter oignons et ail, suer, ajouter le curry et le curcuma, torréfier 1 min
Ajouter le fond, sel, poivre, singer avec la fécule, mouiller avec l'eau, le lait de coco et la crème, ajouter pommes et raisins
Le mélange doit devenir un peu épais
Répartir en bacs gastro 1/1 H10, couvercle sans trou
Appliquer le programme de cuisson : Sauté de porc Cuisson de nuit CHPV (85°C vapeur 2h00 puis 74°C vapeur jusqu'au matin, 12h à 18h au total)
Le lendemain : mélanger délicatement, refroidir en cellule (63°C à 10°C en moins de deux heures) pour une remise en T° différée (≥ 63°C à cœur) ou maintenir en étuve pour un service en liaison chaude.</t>
  </si>
  <si>
    <t xml:space="preserve">Mode opératoire :
Peser tous les ingrédients d'épicerie
Faire revenir le sauté de porc à feu vif pour obtenir une belle coloration sans ébullition
Ajouter oignons et carottes, suer, ajouter le miel et laisser caraméliser légèrement, déglacer au vinaigre de cidre
Ajouter le fond, sel, poivre, singer avec la fécule, mouiller avec le vin blanc et l'eau, ajouter les aromates
Ajouter la moitié des pruneaux entiers, le mélange doit devenir un peu épais
Répartir en bacs gastro 1/1 H10, couvercle sans trou
Appliquer le programme de cuisson : Sauté de porc Cuisson de nuit CHPV (85°C vapeur 2h00 puis 74°C vapeur jusqu'au matin, 12h à 18h au total)
Le lendemain : ajouter le reste des pruneaux, mélanger, refroidir en cellule (63°C à 10°C en moins de deux heures) pour une remise en T° différée (≥ 63°C à cœur) ou maintenir en étuve pour un service en liaison chaude.</t>
  </si>
  <si>
    <t xml:space="preserve">Mode opératoire :
Peser tous les ingrédients d'épicerie
Caramel : cuire le sucre à sec en sauteuse jusqu'à coloration ambrée, décuire avec le vinaigre et 1 L d'eau chaude, réserver
Faire revenir le sauté de porc à feu vif pour obtenir une belle coloration sans ébullition
Ajouter oignons, ail, gingembre et carottes, suer 5 min
Ajouter le fond, poivre, anis étoilé, singer avec la fécule, mouiller avec le caramel, la sauce soja, le nuoc-mâm et le reste d'eau
Le mélange doit devenir un peu épais
Répartir en bacs gastro 1/1 H10, couvercle sans trou
Appliquer le programme de cuisson : Sauté de porc Cuisson de nuit CHPV (85°C vapeur 2h00 puis 74°C vapeur jusqu'au matin, 12h à 18h au total)
Le lendemain : rectifier sel, parsemer de coriandre au service, refroidir en cellule (63°C à 10°C en moins de deux heures) pour une remise en T° différée (≥ 63°C à cœur) ou maintenir en étuve pour un service en liaison chaude.</t>
  </si>
  <si>
    <t xml:space="preserve">Mode opératoire :
Peser tous les ingrédients d'épicerie
La veille : mariner la viande avec le vin, l'ail, les aromates et le zeste d'orange, en bac filmé 0/+3°C
Égoutter la viande, porter le vin de marinade à ébullition et écumer
Faire revenir le sauté et les lardons à l'huile d'olive à feu vif pour obtenir une belle coloration sans ébullition, ajouter oignons et carottes
Ajouter le concentré, sel, poivre, singer avec la fécule, mouiller avec le vin et l'eau, ajouter les olives
Le mélange doit devenir un peu épais
Répartir en bacs gastro 1/1 H10, couvercle sans trou
Appliquer le programme de cuisson : Sauté de Bœuf Cuisson de nuit CHPV (85°C vapeur 12h à 18h)
Le lendemain : refroidir en cellule (63°C à 10°C en moins de deux heures) pour une remise en T° différée (≥ 63°C à cœur) ou maintenir en étuve pour un service en liaison chaude (riz de Camargue en accompagnement).</t>
  </si>
  <si>
    <t xml:space="preserve">Four mixte 200°C air pulsé
Plaques gastro huilées
Volaille : 72°C à cœur</t>
  </si>
  <si>
    <t xml:space="preserve">Mode opératoire :
Peser tous les ingrédients d'épicerie
Décongeler les brochettes 24h en chambre froide 0/+3°C (ou utiliser des brochettes fraîches)
Marinade : mélanger huile, jus de citron, paprika, curry, ail, herbes, sel, poivre, enrober les brochettes, filmer, 2h minimum à 0/+3°C
Disposer sur plaques gastro huilées sans les superposer
Four mixte 200°C air pulsé 15 à 18 min, retourner à mi-cuisson
Contrôler ≥ 72°C à cœur (volaille, public fragile)
Jus : délayer le fond dans l'eau bouillante avec les sucs des plaques, lier à la fécule, 5 min
Dresser 1 brochette + jus en bacs gastro, maintenir en étuve ≥ 63°C pour le service ou refroidir en cellule (63°C à 10°C en moins de deux heures), remise en T° ≥ 63°C à cœur</t>
  </si>
  <si>
    <t xml:space="preserve">Four mixte 220°C air pulsé ou plancha
Plaques gastro huilées
Sauce au poivre en bac gastro</t>
  </si>
  <si>
    <t xml:space="preserve">Mode opératoire :
Peser tous les ingrédients d'épicerie
Décongeler les brochettes 24h en chambre froide 0/+3°C si surgelées
Huiler, saler, poivrer, parsemer d'herbes et d'ail, disposer sur plaques gastro sans les superposer
Four mixte 220°C air pulsé 10 à 12 min (ou marquage plancha puis four), retourner à mi-cuisson
Contrôler ≥ 63°C à cœur (public fragile : pas de cuisson saignante)
Sauce au poivre : suer les échalotes au beurre, ajouter le poivre vert écrasé, mouiller avec le fond délayé dans l'eau, réduire, crémer, lier à la fécule, 5 min
Dresser 1 brochette nappée de sauce en bacs gastro
Maintenir en étuve ≥ 63°C pour le service ou refroidir en cellule (63°C à 10°C en moins de deux heures), remise en T° ≥ 63°C à cœur</t>
  </si>
  <si>
    <t xml:space="preserve">Cuisson 85°C four vapeur (programme aubergines)
Bac gastro avec couvercles
Gratinage 220°C le jour J</t>
  </si>
  <si>
    <t xml:space="preserve">Mode opératoire :
Peser tous les ingrédients d'épicerie
Laver, tailler les aubergines en tranches de 1 cm, saler, laisser dégorger 20 min, rincer et éponger (ou utiliser des tranches grillées surgelées)
Sauce : suer oignons et ail à l'huile d'olive, ajouter tomates concassées, concentré, sucre, sel, poivre, origan, basilic, lier à la fécule délayée
Monter en bacs gastro 1/1 H10 huilés : couche de sauce, couche d'aubergines, parmesan, répéter, finir par la sauce
Ajouter un couvercle sans trou
Appliquer le programme : Aubergines Cuisson de nuit CHPV (85°C vapeur 12h à 18h)
Le lendemain : refroidir en cellule (63°C à 10°C en moins de deux heures) pour une remise en T° différée ou maintenir en étuve pour un service en liaison chaude
Au service : remise en T° ≥ 63°C à cœur, parsemer mozzarella, reste de parmesan et chapelure, gratiner four 220°C 8 à 10 min</t>
  </si>
  <si>
    <t xml:space="preserve">Mode opératoire :
Peser tous les ingrédients d'épicerie
Faire revenir le bœuf à feu vif pour obtenir une belle coloration sans ébullition
Ajouter les oignons, l'ail et le gingembre, faire blondir
Ajouter le sucre, le fond, poivre, singer avec la fécule, mouiller avec la sauce soja, la sauce huître et l'eau
Le mélange doit devenir un peu épais
Répartir en bacs gastro 1/1 H10, couvercle sans trou
Appliquer le programme de cuisson : Sauté de Bœuf Cuisson de nuit CHPV (85°C vapeur 12h à 18h)
Le lendemain : rectifier le sel, parsemer de coriandre au service, refroidir en cellule (63°C à 10°C en moins de deux heures) pour une remise en T° différée (≥ 63°C à cœur) ou maintenir en étuve pour un service en liaison chaude (riz en accompagnement).</t>
  </si>
  <si>
    <t xml:space="preserve">Sous vide 66°C thermoplongeur ou four vapeur 2h30 à 3h
Poches sous vide 2,5 kg</t>
  </si>
  <si>
    <t xml:space="preserve">Mode opératoire :
Peser tous les ingrédients d'épicerie
Faire sauter les sot-l'y-laisse à feu vif par petites quantités pour colorer sans cuire à cœur, débarrasser en bac
Sauce : suer échalotes et champignons au beurre, déglacer au vin blanc et réduire, mouiller avec le fond délayé dans l'eau, ajouter crème et moutarde, lier à la fécule, sel, poivre, cuire 5 min
Refroidir la sauce en cellule à +3°C, mélanger avec la viande froide
Conditionner en poches sous vide par 2,5 kg (vide 99%), étiqueter
Cuire sous vide 66°C thermoplongeur ou four vapeur 2h30 à 3h (65-66°C à cœur, volaille pasteurisée)
Refroidir en cellule en poche (à 10°C en moins de deux heures), stocker 0/+3°C, DLC J+5
Remise en T° en poche au bain-marie ou four vapeur 85°C jusqu'à ≥ 63°C à cœur, ouvrir, dresser en bacs gastro, parsemer d'herbes
Maintenir en étuve ≥ 63°C pour le service</t>
  </si>
  <si>
    <t xml:space="preserve">Sauteuse puis four mixte 180°C
Plaques gastro
Service immédiat (feuilletage)</t>
  </si>
  <si>
    <t xml:space="preserve">Mode opératoire :
Peser tous les ingrédients d'épicerie
Égoutter et rincer les escargots
Beurre d'escargot : mélanger le beurre pommade avec l'ail, les échalotes, le persil, sel, poivre
Sauteuse : suer la moitié des échalotes, ajouter les escargots, déglacer au vin blanc, réduire, ajouter la crème puis le beurre d'escargot, 5 min à frémissement
Chauffer les croustades sur plaques gastro four 180°C 5 min
Garnir chaque croustade de 6 escargots et de sauce, saupoudrer de chapelure
Four mixte 180°C 5 à 8 min, contrôler ≥ 63°C à cœur
Service immédiat en liaison chaude, pas de maintien prolongé ni de refroidissement (feuilletage)</t>
  </si>
  <si>
    <t xml:space="preserve">Four mixte 180°C
Bacs gastro 1/1 H6
Viande hachée : viser 70°C à cœur</t>
  </si>
  <si>
    <t xml:space="preserve">Mode opératoire :
Peser tous les ingrédients d'épicerie
Cuire les courgettes vapeur 100°C 5 min, égoutter soigneusement en bac perforé
Sauteuse : suer les oignons et l'ail à l'huile d'olive, ajouter la viande hachée et saisir en émiettant, ajouter les tomates concassées, herbes, sel, poivre, mijoter 10 min
Appareil : mélanger œufs, crème, muscade, la moitié de l'emmental, sel, poivre
Monter en bacs gastro 1/1 H6 huilés : courgettes, viande, courgettes, verser l'appareil, parsemer emmental et chapelure
Four mixte 180°C chaleur mixte 35 à 40 min
Contrôler ≥ 63°C à cœur (viande hachée, public fragile : viser 70°C)
Portionner en parts, maintenir en étuve ≥ 63°C pour le service ou refroidir en cellule (63°C à 10°C en moins de deux heures), remise en T° ≥ 63°C à cœur</t>
  </si>
  <si>
    <t xml:space="preserve">Four mixte 180°C
Plaques ou bacs gastro 1/1 H4
Dorure, cheminée</t>
  </si>
  <si>
    <t xml:space="preserve">Mode opératoire :
Peser tous les ingrédients d'épicerie
Sauter les champignons et le mélange forestier à feu vif en sauteuse pour évaporer l'eau de végétation, ajouter les oignons, égoutter
Béchamel épaisse : roux beurre-farine, mouiller au lait froid, cuire 10 min, ajouter la crème, l'emmental, sel, poivre, muscade
Mélanger champignons, persil et béchamel, refroidir en cellule à +3°C
Foncer les bacs gastro 1/1 H4 (ou plaques) avec une abaisse de pâte, garnir sur 3 cm, couvrir d'une seconde abaisse, souder les bords
Dorer au jaune d'œuf, rayer, faire une cheminée
Four mixte 180°C chaleur sèche 35 à 40 min, la pâte doit être dorée et le fond cuit
Contrôler ≥ 63°C à cœur, portionner en parts
Maintenir en étuve ≥ 63°C pour le service (sans couvercle pour garder le croustillant) ou refroidir en cellule (63°C à 10°C en moins de deux heures), remise en T° au four 160°C ≥ 63°C à cœur</t>
  </si>
  <si>
    <t xml:space="preserve">Pochage Morteau 85°C puis four mixte 180°C
Plaques gastro papier cuisson
Dorure</t>
  </si>
  <si>
    <t xml:space="preserve">Mode opératoire :
Peser tous les ingrédients d'épicerie
Pocher les Morteau sans les piquer dans l'eau frémissante à 85°C 30 à 40 min, refroidir en cellule, retirer la peau, trancher en rondelles de 5 mm
Cuire les pommes de terre vapeur 100°C 15 min, égoutter
Suer les oignons au beurre, déglacer au vin blanc, ajouter la crème, réduire 5 min, ajouter le comté, poivre, muscade, persil
Mélanger pommes de terre, Morteau et sauce, rectifier le sel, refroidir en cellule à +3°C
Monter sur plaques gastro : abaisse de pâte, garniture sur 3 cm, seconde abaisse, souder, dorer au jaune d'œuf, rayer, cheminée
Four mixte 180°C chaleur sèche 35 à 40 min, pâte dorée et fond cuit
Contrôler ≥ 63°C à cœur, portionner en parts
Maintenir en étuve ≥ 63°C pour le service ou refroidir en cellule (63°C à 10°C en moins de deux heures), remise en T° au four 160°C ≥ 63°C à cœur</t>
  </si>
  <si>
    <t xml:space="preserve">Riz pilaf four vapeur 100°C puis sauteuse
Bacs gastro 1/1 H10
Œufs : ovoproduits pasteurisés</t>
  </si>
  <si>
    <t xml:space="preserve">Mode opératoire :
Peser tous les ingrédients d'épicerie
Riz pilaf : riz + 1,5 fois son volume d'eau salée en bacs gastro 1/1 H10 couverts, four vapeur 100°C 20 à 25 min, égrener à la fourchette, étaler sur plaques et refroidir en cellule si cuisson différée
Œufs : cuire les œufs pasteurisés en omelette fine sur sauteuse huilée, détailler en lanières
Cuire petits pois et carottes vapeur 100°C 5 min, sauter les crevettes décongelées 3 min à feu vif
Sauteuse : chauffer l'huile, suer les oignons, ajouter le jambon, le riz, les petits pois, les carottes, les œufs et les crevettes
Assaisonner avec la sauce soja et le poivre, sauter 5 min en mélangeant
Contrôler ≥ 63°C à cœur
Répartir en bacs gastro, parsemer de ciboulette, maintenir en étuve ≥ 63°C pour le service ou refroidir en cellule (63°C à 10°C en moins de deux heures), remise en T° ≥ 63°C à cœur</t>
  </si>
  <si>
    <t xml:space="preserve">Four mixte 160°C ou vapeur 100°C
Bac gastro 1/1 avec couvercle sans trou</t>
  </si>
  <si>
    <t xml:space="preserve">Mode opératoire :
Peser tous les ingrédients d'épicerie
Suer les oignons à l'huile en sauteuse sans coloration
Ajouter le riz, nacrer 2 min en remuant
Mouiller avec l'eau bouillante additionnée du fond de volaille, sel, thym, laurier (1,5 volume d'eau pour 1 volume de riz)
Répartir en bacs gastro 1/1 H6,5 (4 kg maxi par bac), couvercle sans trou
Cuisson four mixte 160°C 20 à 25 min (ou vapeur 100°C 25 min) jusqu'à absorption totale
Égrener à la fourchette, ajouter le beurre en parcelles
Contrôle 63°C à cœur, maintien en étuve ≥ 63°C 2h maximum
Sinon refroidir en cellule (63°C à 10°C en moins de deux heures), filmer, étiqueter, stocker 0/+3°C, J+3
Remise en T° four mixte 140°C jusqu'à ≥ 63°C à cœur</t>
  </si>
  <si>
    <t xml:space="preserve">Four mixte 160°C
Bac gastro 1/1 avec couvercle sans trou</t>
  </si>
  <si>
    <t xml:space="preserve">Mode opératoire :
Peser tous les ingrédients d'épicerie
Suer les oignons et l'ail à l'huile d'olive en sauteuse
Ajouter le concentré, le laisser pincer 1 min, puis le riz, nacrer 2 min
Mouiller avec l'eau bouillante + fond de volaille, ajouter la pulpe de tomates, sel, sucre, herbes de Provence
Répartir en bacs gastro 1/1 H6,5 (4 kg maxi par bac), couvercle sans trou
Cuisson four mixte 160°C 22 à 25 min jusqu'à absorption du liquide
Égrener à la fourchette, rectifier l'assaisonnement
Contrôle 63°C à cœur, maintien en étuve ≥ 63°C 2h maximum
Sinon refroidir en cellule (63°C à 10°C en moins de deux heures), filmer, étiqueter, 0/+3°C, J+3</t>
  </si>
  <si>
    <t xml:space="preserve">Four vapeur 100°C
Bac gastro 1/1 avec couvercle</t>
  </si>
  <si>
    <t xml:space="preserve">Mode opératoire :
Peser tous les ingrédients d'épicerie
Verser la semoule en bacs gastro 1/1 H10 (3 kg maxi par bac), arroser d'huile d'olive et mélanger pour enrober les grains
Porter l'eau à ébullition avec le sel et le fond de volaille (1,25 volume d'eau pour 1 volume de semoule)
Verser l'eau bouillante sur la semoule, ajouter les raisins, mélanger, couvrir, laisser gonfler 10 min
Égrener à la fourchette, ajouter le beurre en parcelles et le ras el hanout
Cuisson four vapeur 100°C 10 min, couvercle posé
Égrener à nouveau, contrôle 63°C à cœur
Maintien en étuve ≥ 63°C 2h maximum
Sinon refroidir en cellule (63°C à 10°C en moins de deux heures), filmer, étiqueter, 0/+3°C, J+3</t>
  </si>
  <si>
    <t xml:space="preserve">Four vapeur 100°C
Bac gastro 1/1 perforé</t>
  </si>
  <si>
    <t xml:space="preserve">Mode opératoire :
Répartir les haricots surgelés sans décongélation en bacs gastro 1/1 perforés (3 kg maxi par bac)
Cuisson four vapeur 100°C 8 à 12 min : les haricots doivent rester verts et légèrement croquants
Suer les oignons et l'ail au beurre + huile en sauteuse sans coloration
Ajouter les haricots égouttés, le persil, sel, poivre ; mélanger délicatement
Contrôle 63°C à cœur
Maintien en étuve ≥ 63°C 2h maximum pour un service en liaison chaude
Sinon refroidir en cellule (63°C à 10°C en moins de deux heures), bacs filmés, étiquetés, 0/+3°C, J+3
Remise en T° four mixte 140°C jusqu'à ≥ 63°C à cœur</t>
  </si>
  <si>
    <t xml:space="preserve">Sous vide 88°C four vapeur ou thermoplongeur
Poches sous vide</t>
  </si>
  <si>
    <t xml:space="preserve">Mode opératoire :
Peser tous les ingrédients d'épicerie, délayer le fond de volaille dans l'eau
Déconditionner les salsifis surgelés, répartir 2,5 kg par poche sous vide
Ajouter dans chaque poche le beurre en parcelles, le fond délayé, le jus de citron, sel, poivre
Mettre sous vide (99 %), souder, étiqueter (produit, date)
Cuisson 88°C vapeur ou thermoplongeur 1h15 à 1h30 (pointe de couteau sans résistance)
Refroidir les poches en cellule (63°C à 10°C en moins de deux heures), stocker 0/+3°C, DLC J+5
Jour J : remettre en T° les poches fermées au four vapeur 85°C 20 min ou ouvrir et chauffer en sauteuse
Ajouter la crème et le persil, rectifier l'assaisonnement, contrôle ≥ 63°C à cœur
Maintien en étuve ≥ 63°C 2h maximum</t>
  </si>
  <si>
    <t xml:space="preserve">Mode opératoire :
Peser tous les ingrédients d'épicerie
Répartir les petits pois surgelés sans décongélation en bacs gastro 1/1 perforés (3 kg maxi par bac)
Cuisson four vapeur 100°C 6 à 8 min
Suer les oignons au beurre en sauteuse sans coloration, mouiller avec l'eau + fond de volaille, ajouter le sucre
Ajouter les petits pois égouttés, sel, poivre ; mélanger et laisser mijoter 2 min
Contrôle 63°C à cœur, maintien en étuve ≥ 63°C 2h maximum
Sinon refroidir en cellule (63°C à 10°C en moins de deux heures), bacs filmés, étiquetés, 0/+3°C, J+3
Remise en T° four mixte 140°C jusqu'à ≥ 63°C à cœur</t>
  </si>
  <si>
    <t xml:space="preserve">Four vapeur 100°C puis sauteuse
Bac gastro 1/1 perforé</t>
  </si>
  <si>
    <t xml:space="preserve">Mode opératoire :
Peser tous les ingrédients d'épicerie
Cuire les carottes rondelles en bacs perforés au four vapeur 100°C 12 min
Ajouter les petits pois surgelés sur les carottes, poursuivre 6 à 8 min
Suer les oignons au beurre en sauteuse, mouiller avec l'eau + fond de volaille, sucre
Ajouter les légumes égouttés, sel, poivre, persil ; mélanger délicatement, mijoter 2 min
Contrôle 63°C à cœur, maintien en étuve ≥ 63°C 2h maximum
Sinon refroidir en cellule (63°C à 10°C en moins de deux heures), bacs filmés, étiquetés, 0/+3°C, J+3
Remise en T° four mixte 140°C jusqu'à ≥ 63°C à cœur</t>
  </si>
  <si>
    <t xml:space="preserve">Mode opératoire :
Peser tous les ingrédients d'épicerie, délayer le fond de volaille dans l'eau
Répartir les carottes surgelées 2,5 kg par poche sous vide
Ajouter dans chaque poche beurre en parcelles, sucre, sel, poivre et le fond délayé
Mettre sous vide (99 %), souder, étiqueter (produit, date)
Cuisson 88°C vapeur ou thermoplongeur 1h00 à 1h15 (carottes fondantes)
Refroidir les poches en cellule (63°C à 10°C en moins de deux heures), stocker 0/+3°C, DLC J+5
Jour J : remise en T° des poches fermées au four vapeur 85°C 20 min ou en sauteuse après ouverture
Ajouter le persil, laisser réduire le jus pour glacer, contrôle ≥ 63°C à cœur
Maintien en étuve ≥ 63°C 2h maximum</t>
  </si>
  <si>
    <t xml:space="preserve">Sous vide 88°C four vapeur ou thermoplongeur
Poches sous vide puis finition sauteuse</t>
  </si>
  <si>
    <t xml:space="preserve">Mode opératoire :
Peser tous les ingrédients d'épicerie
Répartir les carottes surgelées 2,5 kg par poche sous vide avec beurre, oignons, sel, poivre et un peu d'eau
Mettre sous vide (99 %), souder, étiqueter (produit, date)
Cuisson 88°C vapeur ou thermoplongeur 1h00 à 1h15
Refroidir les poches en cellule (63°C à 10°C en moins de deux heures), stocker 0/+3°C, DLC J+5
Jour J : ouvrir les poches, verser carottes et jus en sauteuse
Ajouter la crème, lier avec la fécule délayée dans un peu d'eau froide, muscade, porter à frémissement 3 min
Ajouter le persil, rectifier l'assaisonnement, contrôle ≥ 63°C à cœur
Maintien en étuve ≥ 63°C 2h maximum, bacs gastro avec couvercle</t>
  </si>
  <si>
    <t xml:space="preserve">Mode opératoire :
Répartir les haricots beurre surgelés sans décongélation en bacs gastro 1/1 perforés (3 kg maxi par bac)
Cuisson four vapeur 100°C 10 à 14 min : haricots tendres mais tenus
Suer les échalotes et l'ail au beurre + huile en sauteuse sans coloration
Ajouter les haricots égouttés, persil, sel, poivre ; mélanger délicatement
Contrôle 63°C à cœur
Maintien en étuve ≥ 63°C 2h maximum pour un service en liaison chaude
Sinon refroidir en cellule (63°C à 10°C en moins de deux heures), bacs filmés, étiquetés, 0/+3°C, J+3
Remise en T° four mixte 140°C jusqu'à ≥ 63°C à cœur</t>
  </si>
  <si>
    <t xml:space="preserve">Mode opératoire :
Peser tous les ingrédients d'épicerie
Répartir les haricots plats surgelés en bacs gastro 1/1 perforés (3 kg maxi par bac)
Cuisson four vapeur 100°C 12 à 15 min (haricots plats plus longs à cuire que les verts)
Suer les oignons et l'ail à l'huile d'olive en sauteuse, ajouter la pulpe de tomates, mijoter 5 min
Ajouter les haricots égouttés, persil, sel, poivre ; mélanger, mijoter 3 min
Contrôle 63°C à cœur, maintien en étuve ≥ 63°C 2h maximum
Sinon refroidir en cellule (63°C à 10°C en moins de deux heures), bacs filmés, étiquetés, 0/+3°C, J+3
Remise en T° four mixte 140°C jusqu'à ≥ 63°C à cœur</t>
  </si>
  <si>
    <t xml:space="preserve">Cuisson 85°C four vapeur
Bac gastro 1/1 avec couvercle sans trou
Gratinage 200°C le jour du service</t>
  </si>
  <si>
    <t xml:space="preserve">Mode opératoire :
Peser tous les ingrédients d'épicerie
Déconditionner les pommes de terre lamelles, rincer rapidement, égoutter
Mélanger lait, crème, ail, sel, poivre, muscade (appareil)
Beurrer les bacs gastro 1/1 H6,5, répartir les pommes de terre (4 kg maxi par bac), verser l'appareil à hauteur
Ajouter un couvercle sans trou
Programme cuisson de nuit : 85°C vapeur 12h00 minimum à 18h00 maximum
Le lendemain, service liaison chaude : parsemer d'emmental, gratiner four mixte 200°C 10 à 15 min, contrôle ≥ 63°C à cœur, maintien en étuve
Ou refroidir en cellule (63°C à 10°C en moins de deux heures), filmer, étiqueter, 0/+3°C, J+3
Remise en T° différée : emmental, four mixte 180°C 25 à 30 min jusqu'à ≥ 63°C à cœur et gratinage</t>
  </si>
  <si>
    <t xml:space="preserve">Four vapeur 100°C ou marmite eau bouillante salée
Bac gastro 1/1 H10 avec couvercle</t>
  </si>
  <si>
    <t xml:space="preserve">Mode opératoire :
Peser tous les ingrédients d'épicerie
Four vapeur : répartir les pâtes en bacs gastro 1/1 H10 (2,5 kg maxi par bac), verser l'eau bouillante salée (1,8 L par kg), ajouter l'huile
Cuisson vapeur 100°C 12 à 15 min selon la forme, remuer à mi-cuisson, couvercle posé
Marmite : cuire dans un grand volume d'eau bouillante salée 9 à 11 min, égoutter
Ajouter le beurre en parcelles, poivre, mélanger ; emmental à part ou mélangé
Contrôle 63°C à cœur, maintien en étuve ≥ 63°C 2h maximum
Sinon rafraîchir sous l'eau froide, égoutter, huiler légèrement, refroidir en cellule (10°C en moins de deux heures), 0/+3°C, J+3
Remise en T° four vapeur 100°C 8 à 10 min, beurre à la sortie, ≥ 63°C à cœur</t>
  </si>
  <si>
    <t xml:space="preserve">Mode opératoire :
Peser tous les ingrédients d'épicerie
Four vapeur : pâtes en bacs gastro 1/1 H10 (2,5 kg maxi par bac), eau bouillante salée (1,8 L par kg), un filet d'huile
Cuisson vapeur 100°C 12 à 15 min, remuer à mi-cuisson, couvercle posé
Marmite : cuire dans un grand volume d'eau bouillante salée 9 à 11 min, égoutter en gardant un peu d'eau de cuisson
Détendre le pesto avec l'huile d'olive et une louche d'eau de cuisson, mélanger aux pâtes chaudes hors du feu
Ajouter parmesan, basilic, poivre
Contrôle 63°C à cœur, maintien en étuve ≥ 63°C 2h maximum, couvercle posé pour éviter le dessèchement
Sinon refroidir en cellule (63°C à 10°C en moins de deux heures), filmer, étiqueter, 0/+3°C, J+3
Remise en T° four mixte 140°C couvert jusqu'à ≥ 63°C à cœur, pesto ajouté à la sortie</t>
  </si>
  <si>
    <t xml:space="preserve">Marmite eau bouillante puis sauteuse
Bac gastro 1/1 avec couvercle</t>
  </si>
  <si>
    <t xml:space="preserve">Mode opératoire :
Peser tous les ingrédients d'épicerie
Plonger les nouilles dans l'eau bouillante légèrement salée, cuire 3 à 4 min en démêlant
Égoutter, rafraîchir rapidement, huiler légèrement pour éviter le collage
Sauteuse : chauffer l'huile de tournesol, sauter oignons, ail, julienne de légumes 5 min à feu vif
Ajouter les nouilles, sauce soja, huile de sésame, gingembre ; sauter 3 à 4 min en remuant
Ajouter la coriandre, rectifier l'assaisonnement
Contrôle 63°C à cœur, conditionner en bacs gastro avec couvercle, maintien en étuve ≥ 63°C 2h maximum
Sinon refroidir en cellule (63°C à 10°C en moins de deux heures), filmer, étiqueter, 0/+3°C, J+3
Remise en T° four mixte 140°C couvert jusqu'à ≥ 63°C à cœur</t>
  </si>
  <si>
    <t xml:space="preserve">Four vapeur 100°C puis gratinage 200°C
Bac gastro 1/1 perforé puis plaque gastro</t>
  </si>
  <si>
    <t xml:space="preserve">Mode opératoire :
Peser tous les ingrédients d'épicerie
Déconditionner les gnocchis, répartir en bacs gastro 1/1 perforés (3 kg maxi par bac)
Cuisson four vapeur 100°C 5 à 6 min (ou eau bouillante salée jusqu'à remontée en surface)
Chauffer la pulpe de tomates avec l'huile d'olive, sel, poivre, basilic, 5 min
Plaquer les gnocchis en bacs gastro beurrés, napper de sauce tomate, parsemer d'emmental
Gratiner four mixte 200°C 10 min
Contrôle 63°C à cœur, maintien en étuve ≥ 63°C 2h maximum
Sinon refroidir en cellule (63°C à 10°C en moins de deux heures), filmer, étiqueter, 0/+3°C, J+3
Remise en T° four mixte 160°C jusqu'à ≥ 63°C à cœur</t>
  </si>
  <si>
    <t xml:space="preserve">Four mixte 160°C façon pilaf
Bac gastro 1/1 avec couvercle sans trou</t>
  </si>
  <si>
    <t xml:space="preserve">Mode opératoire :
Peser tous les ingrédients d'épicerie
Suer les oignons à l'huile d'olive en sauteuse sans coloration
Ajouter les perles, nacrer 2 min
Mouiller avec l'eau bouillante + fond de volaille, sel (1,8 volume d'eau pour 1 volume de perles)
Répartir en bacs gastro 1/1 H6,5 (4 kg maxi par bac), couvercle sans trou
Cuisson four mixte 160°C 15 à 18 min jusqu'à absorption
Égrener à la fourchette, ajouter beurre, persil, poivre
Contrôle 63°C à cœur, maintien en étuve ≥ 63°C 2h maximum
Sinon refroidir en cellule (63°C à 10°C en moins de deux heures), filmer, étiqueter, 0/+3°C, J+3</t>
  </si>
  <si>
    <t xml:space="preserve">Mode opératoire :
Répartir les fleurettes surgelées sans décongélation en bacs gastro 1/1 perforés (3 kg maxi par bac)
Cuisson four vapeur 100°C 6 à 8 min : brocolis verts et tenus, ne pas surcuire
Faire fondre le beurre avec l'huile d'olive et l'ail, ajouter le jus de citron
Arroser les brocolis égouttés, sel, poivre, persil ; mélanger délicatement
Contrôle 63°C à cœur
Maintien en étuve ≥ 63°C 2h maximum pour un service en liaison chaude
Sinon refroidir en cellule (63°C à 10°C en moins de deux heures), bacs filmés, étiquetés, 0/+3°C, J+3
Remise en T° four vapeur 100°C 5 min jusqu'à ≥ 63°C à cœur</t>
  </si>
  <si>
    <t xml:space="preserve">Four vapeur 100°C puis mixage
Bac gastro 1/1 perforé puis bac avec couvercle</t>
  </si>
  <si>
    <t xml:space="preserve">Mode opératoire :
Peser tous les ingrédients d'épicerie
Cuire les pommes de terre en bacs perforés four vapeur 100°C 20 min
Ajouter les brocolis surgelés, poursuivre 10 min jusqu'à ce que tout soit tendre
Égoutter soigneusement, mixer au mixeur plongeant avec le lait chaud et la crème
Ajouter le beurre, sel, poivre, muscade ; lisser, texture adaptée (mixée lisse pour les textures modifiées)
Contrôle 63°C à cœur, conditionner en bacs gastro avec couvercle
Maintien en étuve ≥ 63°C 2h maximum
Sinon refroidir en cellule (63°C à 10°C en moins de deux heures), filmer, étiqueter, 0/+3°C, J+3
Remise en T° four mixte 140°C couvert jusqu'à ≥ 63°C à cœur, remuer</t>
  </si>
  <si>
    <t xml:space="preserve">Mode opératoire :
Répartir les fleurettes surgelées sans décongélation en bacs gastro 1/1 perforés (3 kg maxi par bac)
Cuisson four vapeur 100°C 8 à 10 min : fleurettes tendres mais entières
Faire fondre le beurre avec l'huile d'olive et l'ail, ajouter le jus de citron et le persil
Arroser le chou égoutté, sel, poivre ; mélanger délicatement sans casser les fleurettes
Contrôle 63°C à cœur
Maintien en étuve ≥ 63°C 2h maximum pour un service en liaison chaude
Sinon refroidir en cellule (63°C à 10°C en moins de deux heures), bacs filmés, étiquetés, 0/+3°C, J+3
Remise en T° four vapeur 100°C 5 min jusqu'à ≥ 63°C à cœur</t>
  </si>
  <si>
    <t xml:space="preserve">Lentilles
cuisson de nuit </t>
  </si>
  <si>
    <t xml:space="preserve">Programme Légumineuse nuit  CHV
Bac gastro avec couvercles</t>
  </si>
  <si>
    <t xml:space="preserve">Mode opératoire :
Dans des bacs  mettre tous les ingrédients (colonne B = recette de base 70 portions, à répartir en bacs 1/1 H10 : environ 1,5 kg de légumineuses sèches par bac)
Mélanger et ajouter un couvercle
Cuisson : 95°C vapeur 12H00 minimum et 18h00 au maximum
Refroidir en cellule (63°C à 10°C en moins de deux heures) pour une remise en T° différée )
</t>
  </si>
  <si>
    <t xml:space="preserve">Haricots blancs
cuisson de nuit </t>
  </si>
  <si>
    <t xml:space="preserve">Cuisson 95°C four vapeur
Bac gastro avec couvercles
Ou
Cuisson sauteuse (compatible cuisson de nuit)</t>
  </si>
  <si>
    <t xml:space="preserve">Mode opératoire :
Four :
Dans des bacs  1/1 (H10 ou 15) mettre tous les ingrédients (colonne B = recette de base 70 portions, à répartir en bacs 1/1 H10 : environ 1,5 kg de légumineuses sèches par bac)
Mélanger et ajouter un couvercle
Cuisson : 95°C vapeur 12H00 minimum et 18h00 au maximum
Le lendemain :
Refroidir en cellule (63°C à 10°C en moins de deux heures) pour une remise en T° différée ) ou maintenir en étuve pour un service en liaison chaude.
Sauteuse ou marmite (compatible cuisson de nuit)
Mettre tous les ingrédients (colonne C = quantité de production)
Mélanger et ajouter et couvrir
Cuisson : 95°C fonction mijotage, 12H00 minimum et 18h00 au maximum
Le lendemain :
Transférer en bacs et couvrir 
Refroidir en cellule (63°C à 10°C en moins de deux heures) pour une remise en T° différée ) ou maintenir en étuve pour un service en liaison chaude.
</t>
  </si>
  <si>
    <t xml:space="preserve">Mode opératoire :
Four : dans des bacs 1/1 (H10 ou 15) mettre flageolets non trempés, eau, oignons, carottes, ail, fond de volaille, beurre, sel, laurier, thym (quantités pour un bac)
Mélanger et ajouter un couvercle sans trou
Cuisson : 95°C vapeur 12h00 minimum et 18h00 au maximum
Le lendemain : retirer le laurier, ajouter la crème et le persil, mélanger délicatement, rectifier l'assaisonnement
Refroidir en cellule (63°C à 10°C en moins de deux heures) pour une remise en T° différée ou maintenir en étuve ≥ 63°C pour un service en liaison chaude
Sauteuse ou marmite (compatible cuisson de nuit) : mettre tous les ingrédients, couvrir, 95°C fonction mijotage 12h00 à 18h00
Le lendemain transférer en bacs, couvrir, refroidir en cellule, étiqueter, 0/+3°C, J+3
Remise en T° four mixte 140°C couvert jusqu'à ≥ 63°C à cœur</t>
  </si>
  <si>
    <t xml:space="preserve">Four mixte 200°C air pulsé
Plaques gastro avec papier cuisson</t>
  </si>
  <si>
    <t xml:space="preserve">Mode opératoire :
Préchauffer le four mixte à 200°C air pulsé
Déconditionner les pommes dauphine surgelées sans décongélation
Disposer sur plaques gastro avec papier cuisson, en une seule couche, sans chevauchement (1 kg par plaque maxi)
Huiler très légèrement au pinceau ou vaporisateur
Cuisson 200°C air pulsé 15 à 20 min jusqu'à coloration dorée et gonflement
Saler, poivrer, parsemer de persil à la sortie du four
Contrôle 63°C à cœur
Service immédiat de préférence (6 pièces par portion) ; maintien en étuve ≥ 63°C 30 min maximum, sans couvercle pour garder le croustillant
Pas de refroidissement pour remise en T° différée : produit à consommer après cuisson</t>
  </si>
  <si>
    <t xml:space="preserve">Mode opératoire :
Préchauffer le four mixte à 200°C air pulsé
Déconditionner les pommes duchesse surgelées sans décongélation
Disposer sur plaques gastro avec papier cuisson, en une seule couche (1 kg par plaque maxi)
Dorer au pinceau avec les jaunes pasteurisés mélangés au beurre fondu, pointe de muscade
Cuisson 200°C air pulsé 15 à 18 min jusqu'à coloration dorée
Saler légèrement, parsemer de persil à la sortie
Contrôle 63°C à cœur
Service rapide (4 à 5 pièces par portion) ; maintien en étuve ≥ 63°C 45 min maximum, sans couvercle
Pas de refroidissement pour remise en T° différée : produit à consommer après cuisson</t>
  </si>
  <si>
    <t xml:space="preserve">Four mixte 220°C air pulsé
Plaques gastro perforées ou papier cuisson</t>
  </si>
  <si>
    <t xml:space="preserve">Mode opératoire :
Préchauffer le four mixte à 220°C air pulsé, sans vapeur
Déconditionner les frites surgelées sans décongélation
Étaler sur plaques gastro perforées ou papier cuisson, en une seule couche (1 kg par plaque maxi)
Vaporiser légèrement d'huile
Cuisson 220°C air pulsé 18 à 22 min, retourner à mi-cuisson, jusqu'à coloration dorée et croustillante
Saler, poivrer, paprika facultatif à la sortie du four
Contrôle 63°C à cœur
Service immédiat ; maintien en étuve ≥ 63°C 30 min maximum, bac sans couvercle pour conserver le croustillant
Cuire en plusieurs fournées décalées selon le rythme du service ; pas de refroidissement pour remise en T° différée</t>
  </si>
  <si>
    <t xml:space="preserve">Four mixte 210°C air pulsé
Plaques gastro perforées ou papier cuisson</t>
  </si>
  <si>
    <t xml:space="preserve">Mode opératoire :
Préchauffer le four mixte à 210°C air pulsé, sans vapeur
Déconditionner les frites de patate douce surgelées sans décongélation
Étaler sur plaques gastro perforées ou papier cuisson, en une seule couche bien espacée (0,8 kg par plaque maxi : la patate douce ramollit si elle est trop chargée)
Vaporiser légèrement d'huile d'olive
Cuisson 210°C air pulsé 15 à 20 min, retourner à mi-cuisson, jusqu'à coloration sans brûler les pointes
Assaisonner à la sortie : sel, poivre, paprika fumé, cumin
Contrôle 63°C à cœur
Service immédiat ; maintien en étuve ≥ 63°C 30 min maximum, bac sans couvercle
Cuire en fournées décalées selon le service ; pas de refroidissement pour remise en T° différée</t>
  </si>
  <si>
    <t xml:space="preserve">Mode opératoire :
Préchauffer le four mixte à 200°C air pulsé
Déconditionner les rösti surgelés sans décongélation
Disposer les galettes sur plaques gastro avec papier cuisson, à plat, sans chevauchement (12 pièces par plaque)
Huiler légèrement au pinceau
Cuisson 200°C air pulsé 18 à 22 min, retourner à mi-cuisson, jusqu'à coloration dorée des deux faces
Saler, poivrer, parsemer de persil à la sortie
Contrôle 63°C à cœur
Service rapide (1 galette par portion) ; maintien en étuve ≥ 63°C 45 min maximum, sans couvercle
Pas de refroidissement pour remise en T° différée : produit à consommer après cuisson</t>
  </si>
  <si>
    <t xml:space="preserve">Four mixte 200°C air pulsé
Plaques gastro huilées</t>
  </si>
  <si>
    <t xml:space="preserve">Mode opératoire :
Peser tous les ingrédients d'épicerie
Déconditionner les pommes de terre râpées, presser pour retirer l'excédent d'eau (si fraîches : râper et presser aussitôt pour éviter l'oxydation)
Mélanger avec les œufs pasteurisés, farine, oignons, emmental, persil, sel, poivre, muscade
Huiler généreusement les plaques gastro, étaler l'appareil sur 2 cm (2,5 kg par plaque), lisser, huiler le dessus
Cuisson four mixte 200°C air pulsé 25 à 30 min jusqu'à coloration dorée
Possibilité de retourner à mi-cuisson ou de passer sous la voûte pour colorer
Contrôle 63°C à cœur, détailler en portions
Maintien en étuve ≥ 63°C 1h maximum, sans couvercle
Sinon refroidir en cellule (63°C à 10°C en moins de deux heures), filmer, étiqueter, 0/+3°C, J+3 ; remise en T° four 180°C jusqu'à ≥ 63°C à cœur</t>
  </si>
  <si>
    <t xml:space="preserve">Sous vide 88°C four vapeur ou thermoplongeur
Poches sous vide puis rissolage four 220°C</t>
  </si>
  <si>
    <t xml:space="preserve">Mode opératoire :
Peser tous les ingrédients d'épicerie
Déconditionner les pommes de terre cubes, rincer, égoutter, répartir 2,5 kg par poche sous vide avec le sel
Mettre sous vide (99 %), souder, étiqueter (produit, date)
Cuisson 88°C vapeur ou thermoplongeur 45 min à 1h00 : cubes cuits mais tenus
Refroidir les poches en cellule (63°C à 10°C en moins de deux heures), stocker 0/+3°C, DLC J+5
Jour J : ouvrir les poches, égoutter, étaler sur plaques gastro (2 kg par plaque), arroser d'huile et de beurre fondu, ail, thym, romarin, poivre
Rissoler four mixte 220°C air pulsé 20 à 25 min, remuer à mi-cuisson, jusqu'à coloration dorée
Parsemer de persil, contrôle ≥ 63°C à cœur
Maintien en étuve ≥ 63°C 1h maximum, sans couvercle pour garder le croustillant</t>
  </si>
  <si>
    <t xml:space="preserve">Sous vide 90°C four vapeur ou thermoplongeur
Poches sous vide (ou bac gastro avec couvercle sans trou)</t>
  </si>
  <si>
    <t xml:space="preserve">Mode opératoire :
Réceptionner les PDT 4ème gamme, contrôler DLC et intégrité des sachets, rincer à l'eau claire et égoutter
Répartir 5 kg par poche sous vide avec le sel, le beurre en parcelles, laurier et thym (ou bac 1/1 H10 avec 0,5 L d'eau et couvercle sans trou)
Mettre sous vide (99 %), étiqueter : produit, date, heure de mise sous vide
Cuisson : four vapeur 90°C (ou thermoplongeur 90°C) 1h00 à 1h30 selon calibre, contrôle à la pointe du couteau sans résistance
Service direct : ouvrir les poches, égoutter, dresser en bac gastro, parsemer de persil, maintien en étuve ≥ 63°C
Service différé : refroidir en cellule (63°C à 10°C en moins de deux heures), stocker 0/+3°C, DLC J+5
Remise en température : poches fermées au four vapeur 90°C 20 à 30 min, contrôle 63°C à cœur noté sur la fiche de suivi
Dresser en bac gastro avec le persil, maintien ≥ 63°C, service dans les 2 heures</t>
  </si>
  <si>
    <t xml:space="preserve">Cuisson 85°C four vapeur
Bac gastro avec couvercles sans trou
Gratinage 200°C four mixte au service</t>
  </si>
  <si>
    <t xml:space="preserve">Mode opératoire :
Peser tous les ingrédients d'épicerie, reconstituer le bouillon (0,1 kg pour 4 L d'eau chaude)
Suer les oignons et l'ail dans l'huile en sauteuse sans coloration
Dans des bacs 1/1 H10, alterner les couches de PDT en rondelles et d'oignons, saler, poivrer, thym, laurier
Mouiller avec le bouillon à mi-hauteur, parsemer de beurre en parcelles
Ajouter un couvercle sans trou, étiqueter (produit, date)
Cuisson : programme cuisson de nuit 85°C vapeur, 12h00 minimum à 18h00 maximum
Le lendemain : refroidir en cellule (63°C à 10°C en moins de deux heures) pour une remise en T° différée ou maintenir en étuve ≥ 63°C pour la liaison chaude
Au service : retirer le couvercle, gratiner 10 min à 200°C four mixte, contrôler 63°C à cœur, maintien ≥ 63°C</t>
  </si>
  <si>
    <t xml:space="preserve">Sous vide 90°C four vapeur ou thermoplongeur
Poches sous vide puis finition en sauteuse</t>
  </si>
  <si>
    <t xml:space="preserve">Mode opératoire :
Rincer les PDT 4ème gamme, tailler en gros cubes réguliers, répartir 5 kg par poche sous vide avec 0,03 kg de sel
Mettre sous vide (99 %), étiqueter : produit, date, heure
Cuisson : four vapeur 90°C (ou thermoplongeur 90°C) 1h30, contrôle à la pointe du couteau
Ouvrir les poches encore chaudes, égoutter, passer au presse-purée ou au tamis (jamais au mixeur : purée collante)
Incorporer le beurre, le lait chaud et la crème, sel, poivre, muscade ; monter à la spatule en sauteuse, T° ≥ 63°C
Service direct : bac gastro 1/1 avec couvercle, maintien en étuve ≥ 63°C, service dans les 2 heures
Service différé : refroidir en cellule (63°C à 10°C en moins de deux heures), stocker 0/+3°C, DLC J+3
Remise en température au four mixte 120°C avec couvercle, mélanger, contrôle 63°C à cœur noté
Variante : PDT cuites sous vide la veille et refroidies (DLC J+5), purée montée le jour du service</t>
  </si>
  <si>
    <t xml:space="preserve">Mode opératoire :
Rincer les PDT, tailler en gros cubes ; contrôler les châtaignes (DLC, absence de peau résiduelle)
Conditionner séparément : PDT 3 kg par poche avec 0,02 kg de sel ; châtaignes 2 kg par poche avec le bouillon déshydraté
Mettre sous vide, étiqueter (produit, date, heure)
Cuisson : four vapeur 90°C, PDT 1h30, châtaignes 45 min (enfourner les châtaignes 45 min après les PDT)
Ouvrir à chaud, passer les PDT au presse-purée, mixer les châtaignes avec le lait chaud, mélanger les deux
Incorporer beurre et crème à la spatule, sel, poivre, muscade ; monter en sauteuse à ≥ 63°C
Service direct : bac gastro 1/1 avec couvercle, maintien en étuve ≥ 63°C
Service différé : refroidir en cellule (63°C à 10°C en moins de deux heures), 0/+3°C, DLC J+3
Remise en température four mixte 120°C avec couvercle, contrôle 63°C à cœur</t>
  </si>
  <si>
    <t xml:space="preserve">Sous vide 85°C four vapeur
Poches sous vide puis finition en sauteuse</t>
  </si>
  <si>
    <t xml:space="preserve">Mode opératoire :
Peser tous les ingrédients d'épicerie ; tailler les PDT en cubes de la taille du potiron
Répartir potiron, PDT et oignons dans des poches de 4 kg avec le sel
Mettre sous vide, étiqueter (produit, date, heure)
Cuisson : four vapeur 85°C, 1h00 à 1h30 selon taille des cubes (chair fondante)
Ouvrir les poches, égoutter le jus de cuisson (le réserver), mixer les légumes au mixeur plongeant
Lier en sauteuse avec la fécule délayée dans un peu de jus, ajouter crème et beurre, muscade, rectifier ; T° ≥ 63°C
Service direct : bac gastro 1/1 avec couvercle, maintien en étuve ≥ 63°C
Service différé : refroidir en cellule (63°C à 10°C en moins de deux heures), 0/+3°C, DLC J+3
Remise en température four mixte 120°C couvert, contrôle 63°C à cœur noté sur la fiche</t>
  </si>
  <si>
    <t xml:space="preserve">Sous vide 90°C four vapeur
Poches sous vide puis finition en sauteuse</t>
  </si>
  <si>
    <t xml:space="preserve">Mode opératoire :
Peser tous les ingrédients d'épicerie ; si patate douce fraîche : laver, éplucher, tailler en cubes de 3 cm
Répartir patate douce et PDT dans des poches de 4 kg avec le sel
Mettre sous vide, étiqueter (produit, date, heure)
Cuisson : four vapeur 90°C 1h00 à 1h30, contrôle à la pointe du couteau
Ouvrir à chaud, égoutter, passer au presse-purée ou mixer rapidement
Incorporer lait chaud, beurre, crème, curry doux, poivre, muscade ; monter en sauteuse à ≥ 63°C
Service direct : bac gastro 1/1 avec couvercle, maintien en étuve ≥ 63°C
Service différé : refroidir en cellule (63°C à 10°C en moins de deux heures), 0/+3°C, DLC J+3
Remise en température four mixte 120°C couvert, contrôle 63°C à cœur</t>
  </si>
  <si>
    <t xml:space="preserve">Four vapeur 100°C
Bac gastro perforé puis sauteuse ou bac gastro avec couvercle</t>
  </si>
  <si>
    <t xml:space="preserve">Mode opératoire :
Peser tous les ingrédients d'épicerie, sortir les choux du congélateur au dernier moment (pas de décongélation)
Répartir les choux en bacs gastro perforés 1/1, 3 kg maximum par bac
Cuisson : four vapeur 100°C 12 à 15 min, les choux doivent rester légèrement fermes
Pendant ce temps, rissoler les lardons et suer les oignons au beurre en sauteuse
Égoutter les choux, les ajouter en sauteuse, mélanger, saler, poivrer, muscade, persil
Contrôler 63°C à cœur, dresser en bacs gastro 1/1 avec couvercle
Liaison chaude : maintien en étuve ≥ 63°C, service dans les 2 heures
Liaison froide : refroidir en cellule (63°C à 10°C en moins de deux heures), 0/+3°C, DLC J+3, remise en T° four mixte 140°C jusqu'à 63°C à cœur</t>
  </si>
  <si>
    <t xml:space="preserve">Cuisson de nuit au Vario
85°C fonction mijotage à couvert
Ou four vapeur 85°C bac gastro avec couvercles</t>
  </si>
  <si>
    <t xml:space="preserve">Mode opératoire :
Peser tous les ingrédients d'épicerie
Préchauffer la cuve du Vario à 140°C, ajouter le beurre ; suer les poireaux surgelés (sans décongélation) et les oignons 10 min sans coloration avec le mélangeur automatique
Déglacer au vin blanc, laisser réduire 2 à 3 min
Ajouter la crème, le sel, le poivre, la muscade et la fécule délayée dans un peu d'eau froide ; mélanger
Fermer le couvercle et appliquer le programme cuisson de nuit : fonction mijotage 85°C, 10H00 minimum et 14H00 maximum, sans brassage
Alternative four : répartir en bacs gastro 1/1 (H10) avec couvercle sans trou, vapeur 85°C 10H00 à 14H00
Le lendemain : mélanger délicatement, rectifier l'assaisonnement et la texture (allonger avec un peu de crème si besoin), contrôle T° ≥ 63°C notée sur la fiche de traçabilité
Maintenir en étuve ≥ 63°C pour un service en liaison chaude (2 h maximum)
Ou refroidir en cellule (63°C à 10°C en moins de deux heures) pour une remise en T° différée : bacs filmés, étiquetés, 0/+3°C, J+3
Remise en température : four mixte 120°C vapeur jusqu'à ≥ 63°C à cœur</t>
  </si>
  <si>
    <t xml:space="preserve">Four vapeur 100°C puis sauteuse
Bac gastro perforé puis bac gastro avec couvercle</t>
  </si>
  <si>
    <t xml:space="preserve">Mode opératoire :
Peser tous les ingrédients d'épicerie, sortir les épinards du congélateur au dernier moment
Cuisson des épinards : bacs gastro perforés 1/1, four vapeur 100°C 10 à 12 min sans décongélation
Égoutter et presser fortement les épinards pour retirer l'eau de végétation
Réaliser un roux blanc (beurre + farine), mouiller avec le lait et la crème, cuire 5 min, ail, sel, poivre, muscade
Mélanger les épinards à la sauce en sauteuse, chauffer en remuant jusqu'à 63°C à cœur minimum
Dresser en bacs gastro 1/1 avec couvercle
Liaison chaude : maintien en étuve ≥ 63°C, service dans les 2 heures
Liaison froide : refroidir en cellule (63°C à 10°C en moins de deux heures), 0/+3°C, DLC J+3, remise en T° four mixte 140°C jusqu'à 63°C à cœur</t>
  </si>
  <si>
    <t xml:space="preserve">Sous vide 85°C four vapeur
Poches sous vide, finition sauce crème en sauteuse</t>
  </si>
  <si>
    <t xml:space="preserve">Mode opératoire :
Si blettes fraîches : laver, désinfecter, effiler les cardes et tailler en tronçons de 4 cm ; surgelées : utiliser sans décongélation
Répartir 4 kg par poche avec le jus de citron, le bouillon déshydraté et le sel
Mettre sous vide, étiqueter (produit, date, heure)
Cuisson : four vapeur 85°C 1h30 (cardes fondantes, contrôle à la pointe du couteau)
Réaliser une sauce crème : roux blanc beurre + farine, mouiller lait et crème, cuire 5 min, poivre, muscade
Service direct : ouvrir les poches, égoutter, mélanger à la sauce en sauteuse, ≥ 63°C, persil, maintien en étuve ≥ 63°C
Service différé : refroidir les poches en cellule (63°C à 10°C en moins de deux heures), 0/+3°C, DLC J+5
Remise en température : poches au four vapeur 90°C 25 min, mélanger à la sauce chaude, contrôle 63°C à cœur</t>
  </si>
  <si>
    <t xml:space="preserve">Four mixte 180°C
Plaques gastro huilées</t>
  </si>
  <si>
    <t xml:space="preserve">Mode opératoire :
Laver et désinfecter les tomates (bain chloré puis rinçage), retirer le pédoncule
Couper en deux, évider légèrement, saler et retourner sur grille 15 min pour dégorger
Mélanger chapelure, persil, ail, échalotes, herbes de Provence, poivre et la moitié de l'huile
Disposer les demi-tomates sur plaques gastro huilées, garnir de persillade, arroser du reste d'huile
Cuisson : four mixte 180°C 20 à 25 min (tomates fondantes, persillade dorée)
Contrôler 63°C à cœur, dresser en bacs gastro 1/1
Liaison chaude : maintien en étuve ≥ 63°C, service dans les 2 heures
Liaison froide : refroidir en cellule (63°C à 10°C en moins de deux heures), 0/+3°C, DLC J+3, remise en T° four mixte 160°C 15 min jusqu'à 63°C à cœur</t>
  </si>
  <si>
    <t xml:space="preserve">Four vapeur 100°C
Bac gastro perforé puis bac gastro avec couvercle</t>
  </si>
  <si>
    <t xml:space="preserve">Mode opératoire :
Peser tous les ingrédients d'épicerie, sortir le chou-fleur du congélateur au dernier moment
Répartir les fleurettes en bacs gastro perforés 1/1, 3 kg maximum par bac
Cuisson : four vapeur 100°C 10 à 12 min, fleurettes tendres mais tenues
Faire fondre le beurre en sauteuse avec l'ail, ajouter le persil et le jus de citron
Égoutter le chou-fleur, l'enrober du beurre persillé, saler, poivrer
Contrôler 63°C à cœur, dresser en bacs gastro 1/1 avec couvercle
Liaison chaude : maintien en étuve ≥ 63°C, service dans les 2 heures
Liaison froide : refroidir en cellule (63°C à 10°C en moins de deux heures), 0/+3°C, DLC J+3, remise en T° four vapeur 100°C 10 min jusqu'à 63°C à cœur</t>
  </si>
  <si>
    <t xml:space="preserve">Four vapeur 100°C puis four mixte 180°C
Bac gastro perforé puis bac gastro 1/1 H6,5</t>
  </si>
  <si>
    <t xml:space="preserve">Mode opératoire :
Peser tous les ingrédients d'épicerie
Cuire le chou-fleur en bacs gastro perforés au four vapeur 100°C 10 min, bien égoutter (sinon gratin aqueux)
Béchamel : roux blanc beurre + farine, mouiller avec le lait froid en fouettant, cuire 5 min, ajouter la crème, sel, poivre, muscade
Répartir le chou-fleur en bacs gastro 1/1 H6,5 beurrés, napper de béchamel, parsemer d'emmental
Cuisson : four mixte 180°C 25 à 30 min jusqu'à coloration, contrôle 63°C à cœur
Liaison chaude : maintien en étuve ≥ 63°C, service dans les 2 heures
Liaison froide : préparer les gratins non cuits la veille, filmer, 0/+3°C, cuire le jour du service
Alternative : gratin cuit, refroidi en cellule (63°C à 10°C en moins de deux heures), remise en T° four mixte 160°C jusqu'à 63°C à cœur</t>
  </si>
  <si>
    <t xml:space="preserve">Sous vide 90°C four vapeur (pommes de terre)
Poches sous vide puis montage en sauteuse</t>
  </si>
  <si>
    <t xml:space="preserve">Mode opératoire :
Rincer les PDT, tailler en gros cubes, répartir 5 kg par poche avec 0,04 kg de sel
Mettre sous vide, étiqueter (produit, date, heure)
Cuisson : four vapeur 90°C 1h30 (possible la veille : refroidir en cellule, 0/+3°C, DLC J+5)
Tailler la tome fraîche en fines lamelles, la laisser à température de la cuisine 30 min avant montage
Ouvrir les poches chaudes, passer les PDT au presse-purée, incorporer beurre, crème, lait chaud et ail en sauteuse
Ajouter la tome par poignées à feu doux (80°C maximum) en étirant à la spatule jusqu'au filage, poivrer, rectifier
Contrôler ≥ 63°C, dresser en bacs gastro 1/1 avec couvercle, maintien en étuve ≥ 63°C
Service immédiat dans les 2 heures : pas de refroidissement ni de remise en température (le fromage tranche)</t>
  </si>
  <si>
    <t xml:space="preserve">Sauteuse ou four mixte 180°C
Bac gastro 1/1 avec couvercle</t>
  </si>
  <si>
    <t xml:space="preserve">Mode opératoire :
Peser tous les ingrédients d'épicerie, rincer et égoutter les PDT, tailler le cantal en lamelles
Rissoler les lardons et les oignons dans l'huile en sauteuse
Ajouter les PDT, l'ail, saler légèrement (lardons et cantal salés), poivrer
Cuire à couvert 25 à 30 min en remuant régulièrement, PDT fondantes et colorées (ou four mixte 180°C 35 min en bacs)
Baisser la chauffe, ajouter le cantal en lamelles, mélanger jusqu'au filage sans ébullition
Contrôler 63°C à cœur, parsemer de persil, dresser en bacs gastro 1/1 avec couvercle
Liaison chaude : maintien en étuve ≥ 63°C, service dans les 2 heures
Liaison froide possible sans fromage : refroidir en cellule (63°C à 10°C en moins de deux heures), 0/+3°C, DLC J+3, ajouter le cantal à la remise en T° (63°C à cœur)</t>
  </si>
  <si>
    <t xml:space="preserve">Sauteuse ou four mixte 220°C
Plaques gastro puis bac gastro avec couvercle</t>
  </si>
  <si>
    <t xml:space="preserve">Mode opératoire :
Peser tous les ingrédients d'épicerie, sortir les légumes du congélateur au dernier moment (pas de décongélation)
Sauteuse : chauffer huile et beurre, suer les oignons et l'ail, ajouter les légumes surgelés par 5 kg maximum
Sauter à feu vif 12 à 15 min en remuant, l'eau doit s'évaporer, légumes légèrement croquants
Alternative four : plaques gastro huilées, légumes en couche fine, four mixte 220°C 15 min, remuer à mi-cuisson
Assaisonner sel, poivre, herbes de Provence, contrôler 63°C à cœur
Dresser en bacs gastro 1/1 avec couvercle
Liaison chaude : maintien en étuve ≥ 63°C, service dans les 2 heures
Liaison froide : refroidir en cellule (63°C à 10°C en moins de deux heures), 0/+3°C, DLC J+3, remise en T° four mixte 160°C jusqu'à 63°C à cœur</t>
  </si>
  <si>
    <t xml:space="preserve">Mode opératoire :
Peser tous les ingrédients d'épicerie, sortir les légumes surgelés au dernier moment
Rissoler les lardons et les oignons dans l'huile en sauteuse, réserver
Cuire les PDT cubes sur plaques gastro au four mixte 220°C 15 min pour une belle coloration
En sauteuse à feu vif : champignons (évaporer l'eau), puis carottes et haricots verts, 10 min
Réunir PDT, légumes, lardons et oignons, ajouter l'ail, sel, poivre, persil, mélanger
Contrôler 63°C à cœur, dresser en bacs gastro 1/1 avec couvercle
Liaison chaude : maintien en étuve ≥ 63°C, service dans les 2 heures
Liaison froide : refroidir en cellule (63°C à 10°C en moins de deux heures), 0/+3°C, DLC J+3, remise en T° four mixte 180°C sans couvercle jusqu'à 63°C à cœur</t>
  </si>
  <si>
    <t xml:space="preserve">Sauteuse feu vif ou four mixte 220°C
Plaques gastro perforées puis bac gastro avec couvercle</t>
  </si>
  <si>
    <t xml:space="preserve">Mode opératoire :
Peser tous les ingrédients d'épicerie, sortir les champignons au dernier moment (pas de décongélation)
Pré-cuisson : champignons en bacs gastro perforés, four mixte 220°C 10 min pour évacuer l'eau de végétation, égoutter
En sauteuse bien chaude, huile + beurre, sauter les champignons par petites quantités pour colorer
Ajouter échalotes et ail, poursuivre 5 min, saler, poivrer
Facultatif : crémer, réduire 3 min, ajouter le persil
Contrôler 63°C à cœur, dresser en bacs gastro 1/1 avec couvercle
Liaison chaude : maintien en étuve ≥ 63°C, service dans les 2 heures
Liaison froide : refroidir en cellule (63°C à 10°C en moins de deux heures), 0/+3°C, DLC J+3, remise en T° four mixte 160°C jusqu'à 63°C à cœur</t>
  </si>
  <si>
    <t xml:space="preserve">Mode opératoire :
Peser tous les ingrédients d'épicerie, reconstituer le bouillon (0,05 kg pour 1 L d'eau chaude)
Sortir la jardinière au dernier moment, répartir en bacs gastro perforés 1/1, 3 kg maximum par bac
Cuisson : four vapeur 100°C 10 à 12 min sans décongélation, légumes tendres mais tenus
Suer les oignons au beurre en sauteuse, ajouter le bouillon et le sucre, réduire de moitié
Ajouter les légumes égouttés, mélanger pour glacer, saler, poivrer, persil
Contrôler 63°C à cœur, dresser en bacs gastro 1/1 avec couvercle
Liaison chaude : maintien en étuve ≥ 63°C, service dans les 2 heures
Liaison froide : refroidir en cellule (63°C à 10°C en moins de deux heures), 0/+3°C, DLC J+3, remise en T° four mixte 140°C couvert jusqu'à 63°C à cœur</t>
  </si>
  <si>
    <t xml:space="preserve">Mode opératoire :
Peser tous les ingrédients d'épicerie, sortir la macédoine au dernier moment (pas de décongélation)
Répartir en bacs gastro perforés 1/1, 3 kg maximum par bac
Cuisson : four vapeur 100°C 8 à 10 min, légumes tendres mais tenus
Suer les oignons au beurre en sauteuse, ajouter la macédoine égouttée, enrober de beurre
Saler, poivrer, muscade, persil
Contrôler 63°C à cœur, dresser en bacs gastro 1/1 avec couvercle
Liaison chaude : maintien en étuve ≥ 63°C, service dans les 2 heures
Liaison froide : refroidir en cellule (63°C à 10°C en moins de deux heures), 0/+3°C, DLC J+3, remise en T° four vapeur 100°C 8 min jusqu'à 63°C à cœur</t>
  </si>
  <si>
    <t xml:space="preserve">Four vapeur 100°C puis four mixte 180°C
Bac gastro 1/1 H6,5</t>
  </si>
  <si>
    <t xml:space="preserve">Mode opératoire :
Peser tous les ingrédients d'épicerie ; si potimarron frais : laver, désinfecter, épépiner, tailler en cubes avec la peau
Pré-cuire potimarron et oignons en bacs gastro perforés au four vapeur 100°C 15 min, bien égoutter
Appareil : mélanger crème, lait, œufs pasteurisés, sel, poivre, muscade et la moitié de l'emmental
Répartir le potimarron en bacs gastro 1/1 H6,5 beurrés, verser l'appareil, parsemer du reste d'emmental et de chapelure
Cuisson : four mixte 180°C 30 à 35 min, appareil pris et surface dorée, contrôle 63°C à cœur
Liaison chaude : maintien en étuve ≥ 63°C, service dans les 2 heures
Liaison froide : refroidir en cellule (63°C à 10°C en moins de deux heures), 0/+3°C, DLC J+3
Remise en température four mixte 160°C 20 min, contrôle 63°C à cœur noté sur la fiche</t>
  </si>
  <si>
    <t xml:space="preserve">Four vapeur 90°C ou four mixte 120°C
Bacs gastro 1/1 H6,5 ou moules individuels</t>
  </si>
  <si>
    <t xml:space="preserve">Mode opératoire :
Peser tous les ingrédients d'épicerie, utiliser exclusivement des ovoproduits pasteurisés
Cuire les légumes en bacs gastro perforés au four vapeur 100°C 10 min, égoutter et presser (pas d'eau dans l'appareil)
Appareil : fouetter œufs, crème, lait, sel, poivre, muscade, ajouter l'emmental
Répartir les légumes en bacs gastro 1/1 H6,5 beurrés (ou moules individuels), verser l'appareil à 3 cm de hauteur
Cuisson : four vapeur 90°C 40 à 45 min (ou four mixte 120°C), flan pris, lame sèche, contrôle 63°C à cœur minimum
Liaison chaude : maintien en étuve ≥ 63°C, service dans les 2 heures, portionner en carrés
Liaison froide : refroidir en cellule (63°C à 10°C en moins de deux heures), 0/+3°C, DLC J+3
Remise en température four mixte 140°C couvert 20 min, contrôle 63°C à cœur ; possible service froid en entrée</t>
  </si>
  <si>
    <t xml:space="preserve">Programme ratatouille cuisson de nuit
Bac gastro avec couvercles</t>
  </si>
  <si>
    <t xml:space="preserve">Mode opératoire :
Peser tous les ingrédients d'épicerie
Laver tailler les légumes et les dispôser dans un bac por assaisonnement
Ajouter tous les ingrédients et mélanger
Répartir dans les bacs cuisson  ajouter un couvercle sans trou.
Cuisson vapeur 83°C pendant 14H00 à 18H00
</t>
  </si>
  <si>
    <t xml:space="preserve">taouille</t>
  </si>
  <si>
    <t xml:space="preserve">Four mixte 200°C chaleur sèche
Plaques gastro puis bac gastro avec couvercle</t>
  </si>
  <si>
    <t xml:space="preserve">Mode opératoire :
Peser tous les ingrédients d'épicerie ; si pommes fraîches : laver, éplucher, épépiner, tailler en quartiers, citronner
Faire fondre beurre et miel, mélanger aux quartiers de pommes avec le sucre, la cannelle et une pincée de sel
Étaler en couche fine sur plaques gastro, 3 kg maximum par plaque
Cuisson : four mixte 200°C chaleur sèche 20 à 25 min, remuer à mi-cuisson, pommes dorées et fondantes
Contrôler 63°C à cœur, dresser en bacs gastro 1/1 avec couvercle avec le jus de cuisson
Liaison chaude : maintien en étuve ≥ 63°C, service dans les 2 heures (accompagnement boudin, rôti de porc)
Liaison froide : refroidir en cellule (63°C à 10°C en moins de deux heures), 0/+3°C, DLC J+3
Remise en température four mixte 160°C 15 min, contrôle 63°C à cœur</t>
  </si>
  <si>
    <t xml:space="preserve">Sauteuse feu vif ou four mixte 220°C
Plaques gastro puis bac gastro avec couvercle</t>
  </si>
  <si>
    <t xml:space="preserve">Mode opératoire :
Peser tous les ingrédients d'épicerie, sortir les courgettes au dernier moment (pas de décongélation)
Sauteuse bien chaude avec l'huile d'olive, sauter les courgettes par 4 kg maximum à feu vif 8 à 10 min pour évaporer l'eau
Ajouter oignons, ail, thym, poursuivre 5 min, courgettes colorées et tenues
Alternative four : plaques gastro huilées, couche fine, four mixte 220°C 15 min, remuer à mi-cuisson
Saler, poivrer, persil, contrôler 63°C à cœur
Dresser en bacs gastro 1/1 avec couvercle
Liaison chaude : maintien en étuve ≥ 63°C, service dans les 2 heures
Liaison froide : refroidir en cellule (63°C à 10°C en moins de deux heures), 0/+3°C, DLC J+3, remise en T° four mixte 160°C jusqu'à 63°C à cœur</t>
  </si>
  <si>
    <t xml:space="preserve">Four mixte 220°C (pré-cuisson) puis 180°C
Bac gastro 1/1 H6,5</t>
  </si>
  <si>
    <t xml:space="preserve">Mode opératoire :
Peser tous les ingrédients d'épicerie, utiliser des ovoproduits pasteurisés
Pré-cuire les courgettes et les oignons sur plaques gastro huilées, four mixte 220°C 15 min, égoutter l'eau rendue (indispensable)
Appareil : fouetter œufs, crème, lait, ail, sel, poivre, muscade, ajouter la moitié de l'emmental
Répartir les courgettes en bacs gastro 1/1 H6,5, verser l'appareil, parsemer du reste d'emmental
Cuisson : four mixte 180°C 30 min, appareil pris et surface dorée, contrôle 63°C à cœur
Liaison chaude : maintien en étuve ≥ 63°C, service dans les 2 heures
Liaison froide : refroidir en cellule (63°C à 10°C en moins de deux heures), 0/+3°C, DLC J+3
Remise en température four mixte 160°C 20 min, contrôle 63°C à cœur noté sur la fiche</t>
  </si>
  <si>
    <t xml:space="preserve">Cuisson 85°C four vapeur
Bac gastro avec couvercles sans trou ou sauteuse (compatible cuisson de nuit)</t>
  </si>
  <si>
    <t xml:space="preserve">Mode opératoire :
Peser tous les ingrédients d'épicerie, reconstituer le bouillon (0,1 kg pour 5 L d'eau chaude), peut être remplacé par le bouillon du pot-au-feu
Répartir les légumes dans des bacs 1/1 H10 : carottes, navets, céleri et PDT au fond, poireaux et oignons dessus
Ajouter sel, poivre en grains, clous de girofle, bouquet garni, mouiller avec le bouillon à hauteur
Ajouter un couvercle sans trou, étiqueter (produit, date)
Cuisson : programme cuisson de nuit 85°C vapeur, 12h00 minimum à 18h00 maximum (sauteuse : 85°C fonction mijotage, couvert)
Le lendemain : contrôler la tenue des légumes, rectifier l'assaisonnement
Refroidir en cellule (63°C à 10°C en moins de deux heures) pour une remise en T° différée (DLC J+3) ou maintenir en étuve ≥ 63°C pour le service en liaison chaude
Remise en température four mixte 140°C couvert dans le bouillon, contrôle 63°C à cœur</t>
  </si>
  <si>
    <t xml:space="preserve">Sauteuse ou four mixte 160°C
Bac gastro 1/1 avec couvercle</t>
  </si>
  <si>
    <t xml:space="preserve">Mode opératoire :
Peser tous les ingrédients d'épicerie, reconstituer le bouillon (0,18 kg pour 9 L d'eau) et le maintenir chaud
Suer les oignons à l'huile d'olive en sauteuse, ajouter le riz, nacrer 2 min en remuant
Déglacer au vin blanc, laisser absorber
Mouiller avec le bouillon chaud louche par louche en remuant (sauteuse) ou en une fois en bacs gastro couverts au four mixte 160°C 20 à 25 min
Riz cuit mais tenu, lier hors du feu avec beurre, crème et parmesan, poivrer, rectifier le sel
Contrôler 63°C à cœur, dresser en bacs gastro 1/1 avec couvercle
Liaison chaude : maintien en étuve ≥ 63°C, service dans l'heure (le riz continue de gonfler)
Liaison froide : arrêter la cuisson aux 3/4, refroidir en cellule (63°C à 10°C en moins de deux heures), 0/+3°C, DLC J+3, terminer à la remise en T° avec bouillon, crème et parmesan, 63°C à cœur</t>
  </si>
  <si>
    <t xml:space="preserve">Sauteuse puis four mixte 180°C
Bac gastro 1/1 H6,5</t>
  </si>
  <si>
    <t xml:space="preserve">Mode opératoire :
Peser tous les ingrédients d'épicerie
Pâte à crumble : sabler du bout des doigts farine, beurre froid en dés, fromage râpé, chapelure, une pincée de sel ; réserver 0/+3°C
Suer oignons et ail à l'huile d'olive en sauteuse, ajouter carottes puis courgettes, poivrons et tomates, cuire 15 min, évaporer l'eau
Assaisonner sel, poivre, herbes de Provence
Répartir les légumes en bacs gastro 1/1 H6,5, 4 cm d'épaisseur, parsemer de crumble sur 1 cm
Cuisson : four mixte 180°C 25 à 30 min, crumble doré, contrôle 63°C à cœur
Liaison chaude : maintien en étuve ≥ 63°C sans couvercle (crumble croustillant), service dans les 2 heures
Liaison froide : refroidir en cellule (63°C à 10°C en moins de deux heures), 0/+3°C, DLC J+3, remise en T° four mixte 170°C sans couvercle jusqu'à 63°C à cœur</t>
  </si>
  <si>
    <t xml:space="preserve">Sous vide 85°C four vapeur
Poches sous vide</t>
  </si>
  <si>
    <t xml:space="preserve">Mode opératoire :
Peser tous les ingrédients d'épicerie ; si fruits frais : laver, éplucher, épépiner, tailler en quartiers, citronner
Répartir les fruits en poches de 3 kg avec sucre, jus de citron, eau, vanille et cannelle
Mettre sous vide, étiqueter (produit, date, heure)
Cuisson : four vapeur 85°C 1h00 à 1h30 (ou thermoplongeur 85°C), fruits fondants
Ouvrir les poches à chaud, écraser à la fourchette (compote rustique) ou mixer (texture lisse pour textures modifiées)
Refroidir en cellule (63°C à 10°C en moins de deux heures)
Conditionner en ramequins ou bacs gastro filmés, étiqueter, stocker 0/+3°C, DLC J+5 (poches fermées) / J+3 après ouverture
Service froid, possible tiède pour accompagner boudin ou crêpes</t>
  </si>
  <si>
    <t xml:space="preserve">Mode opératoire :
Laver et désinfecter tous les fruits (bain chloré puis rinçage), lavage des mains, plan de travail désinfecté, travail en liaison froide
Éplucher et tailler en cubes réguliers de 1,5 cm : pommes, poires, ananas, kiwis ; oranges en suprêmes ; raisin coupé en deux et épépiné
Citronner immédiatement pommes, poires et bananes pour éviter l'oxydation
Mélanger délicatement les fruits avec le sucre et le jus d'orange, menthe ciselée
Conditionner en bacs gastro 1/1 filmés ou en coupelles individuelles, étiqueter (produit, date)
Stocker 0/+3°C, service dans les 24h (48h maximum), ajouter les bananes au dernier moment si préparation la veille
Contrôler la T° de service ≤ 3°C, pas de retour en chambre froide après service</t>
  </si>
  <si>
    <t xml:space="preserve">Crêpière ou plaque 200°C
Plaques gastro + film, 0/+3°C</t>
  </si>
  <si>
    <t xml:space="preserve">Mode opératoire :
Peser tous les ingrédients d'épicerie, utiliser des ovoproduits pasteurisés
Pâte : mélanger farine, sucre et sel, creuser un puits, ajouter les œufs puis le lait progressivement au fouet, sans grumeaux
Incorporer le beurre fondu et la vanille ou le rhum, passer au chinois, laisser reposer 1h à 0/+3°C
Cuisson : crêpière ou plaque à 200°C légèrement huilée, 1 louche de 60 g par crêpe, 1 min par face, crêpe dorée
Empiler sur plaques gastro, 2 crêpes de 60 g par portion, sucrer
Service chaud : maintien en étuve ≥ 63°C sous film ou couvercle, service dans les 2 heures
Service froid ou différé : refroidir en cellule (63°C à 10°C en moins de deux heures), filmer, 0/+3°C, DLC J+2
Remise en température four mixte 140°C couvert 10 min, contrôle 63°C à cœur ; garnir au service (sucre, confiture, chocolat)</t>
  </si>
  <si>
    <t xml:space="preserve">Préparation froide (montage)
Plaques gastro + film, 0/+3°C</t>
  </si>
  <si>
    <t xml:space="preserve">Mode opératoire :
La veille : ganache montée, porter 1,5 kg de crème à ébullition, verser sur le chocolat haché, lisser, ajouter le reste de crème froide, filmer, 0/+3°C 12h
Préparer le sirop d'imbibage (eau + sucre portés à ébullition, parfumé rhum ou vanille), refroidir
Le jour : travail en liaison froide, lavage des mains, plan de travail désinfecté, ovoproduits et produits laitiers sortis au dernier moment
Monter la ganache au batteur jusqu'à consistance souple, réserver 1/3 pour le masquage
Dérouler les génoises, imbiber au pinceau, garnir de 2/3 de la ganache en couche régulière, rouler serré dans le papier
Masquer les bûches avec le reste de ganache, strier à la fourchette, décorer : cacao, vermicelles, sucre glace
Filmer, étiqueter (produit, date), stocker 0/+3°C 4h minimum, DLC J+2
Trancher au service (portions de 3 cm), contrôler T° ≤ 3°C, dresser en assiette</t>
  </si>
  <si>
    <t xml:space="preserve">Préparation froide
Cadres inox ou verrines, 0/+3°C</t>
  </si>
  <si>
    <t xml:space="preserve">Mode opératoire :
Travail en liaison froide, lavage des mains, plan de travail désinfecté, peser tous les ingrédients
Croustillant : fondre le chocolat au lait au bain-marie, mélanger au praliné et aux crêpes dentelle émiettées
Étaler le croustillant en fond de cadres inox (ou verrines) sur 0,5 cm, bloquer 0/+3°C 20 min
Mousse : ramollir la gélatine à l'eau froide, chauffer le lait avec le sucre, dissoudre la gélatine, verser sur le chocolat noir haché, lisser, laisser tiédir à 35°C
Monter la crème bien froide en crème fouettée souple, incorporer délicatement à la ganache tiède
Couler la mousse sur le croustillant, lisser, filmer, étiqueter (produit, date)
Stocker 0/+3°C 6h minimum (de préférence la veille), DLC J+2
Démouler, saupoudrer de cacao, portionner en carrés de 6 cm, service à T° ≤ 3°C</t>
  </si>
  <si>
    <t xml:space="preserve">Mode opératoire :
Travail en liaison froide, lavage des mains, plan de travail désinfecté, peser tous les ingrédients
Coulis : mixer 0,8 kg de fruits rouges décongelés 0/+3°C avec le sucre, passer au chinois
Chemiser les cadres inox de biscuit, imbiber légèrement de coulis
Crème pâtissière à froid : fouetter la préparation avec le lait froid 3 min, vanille ; ramollir la gélatine, la dissoudre dans 0,2 L de lait tiède, incorporer
Monter la crème bien froide avec le sucre, incorporer délicatement à la pâtissière (crème diplomate)
Couler une couche de diplomate, répartir 1,2 kg de fruits rouges, recouvrir de diplomate, lisser
Stocker 0/+3°C 6h minimum (de préférence la veille), napper de nappage neutre mélangé au reste de coulis, filmer, étiqueter
DLC J+2, portionner en carrés de 6 cm, service à T° ≤ 3°C</t>
  </si>
  <si>
    <t xml:space="preserve">Mode opératoire :
Travail en liaison froide, lavage des mains, plan de travail désinfecté, peser tous les ingrédients
Chemiser les cadres inox de génoise chocolat, étaler 0,8 kg de caramel beurre salé en couche fine, pointe de fleur de sel, bloquer 0/+3°C
Mousse : ramollir la gélatine, chauffer lait + sucre, dissoudre la gélatine, verser sur le chocolat haché avec le beurre, lisser, tiédir à 35°C
Monter la crème bien froide souple, incorporer délicatement à la ganache tiède
Couler la mousse sur le caramel, lisser, filmer, étiqueter (produit, date)
Stocker 0/+3°C 6h minimum (de préférence la veille)
Glacer avec le glaçage chocolat tiédi (30°C), décorer de filets du caramel restant, 0/+3°C 1h
DLC J+2, portionner en carrés de 6 cm, service à T° ≤ 3°C</t>
  </si>
  <si>
    <t xml:space="preserve">Préparation froide (sans cuisson)
Cadres inox ou verrines, 0/+3°C</t>
  </si>
  <si>
    <t xml:space="preserve">Mode opératoire :
Travail en liaison froide, lavage des mains, plan de travail désinfecté, peser tous les ingrédients
Base : mixer les spéculoos, mélanger au beurre fondu, tasser en fond de cadres inox (ou verrines) sur 1 cm, bloquer 0/+3°C 30 min
Ramollir 0,05 kg de gélatine, la dissoudre dans le jus de citron chauffé
Lisser le fromage frais avec le sucre et la vanille, incorporer la gélatine, puis la crème montée souple
Couler sur la base, lisser, 0/+3°C 4h minimum
Miroir mangue : chauffer 0,3 kg de purée, dissoudre le reste de gélatine, mélanger au reste de purée froide, couler sur le cheesecake pris
Décorer de cubes de mangue décongelés 0/+3°C, napper, filmer, étiqueter (produit, date)
Stocker 0/+3°C (de préférence la veille), DLC J+2, portionner en carrés de 6 cm, service à T° ≤ 3°C</t>
  </si>
  <si>
    <t xml:space="preserve">Four mixte 180°C chaleur sèche (choux)
Crème pâtissière à ébullition 2 min puis 0/+3°C</t>
  </si>
  <si>
    <t xml:space="preserve">Mode opératoire :
Peser tous les ingrédients, utiliser des ovoproduits pasteurisés
Pâte à choux : porter eau, lait, beurre, sel, sucre à ébullition, ajouter la farine en une fois, dessécher 2 min, incorporer les œufs progressivement
Dresser à la poche sur plaques : gros choux (5 cm) et petits choux (2,5 cm), 1 de chaque par portion
Cuisson : four mixte 180°C chaleur sèche, oura ouvert, 30 à 35 min sans ouvrir la porte, refroidir sur grille
Crème pâtissière : blanchir jaunes, sucre, poudre à crème, verser le lait bouillant, cuire à ébullition 2 min en fouettant, parfumer chocolat ou café
Débarrasser en bac gastro, filmer au contact, refroidir en cellule (63°C à 10°C en moins de deux heures), 0/+3°C
Garnir les choux à la poche par le dessous, glacer au fondant tiédi à 37°C parfumé, poser le petit chou sur le gros
Stocker 0/+3°C, DLC J+1, service à T° ≤ 3°C</t>
  </si>
  <si>
    <t xml:space="preserve">Four mixte 170°C chaleur sèche (pâte cuite à blanc)
Crème pâtissière à ébullition 2 min puis 0/+3°C</t>
  </si>
  <si>
    <t xml:space="preserve">Mode opératoire :
Peser tous les ingrédients, utiliser des ovoproduits pasteurisés
Foncer les cadres ou plaques gastro de pâte sucrée, piquer, 0/+3°C 30 min
Cuisson à blanc : four mixte 170°C chaleur sèche 20 à 25 min (billes de cuisson 15 min puis 10 min à nu), fond doré, refroidir sur grille
Crème pâtissière : blanchir jaunes, sucre, poudre à crème, verser le lait bouillant vanillé, cuire à ébullition 2 min, incorporer le beurre
Débarrasser en bac gastro, filmer au contact, refroidir en cellule (63°C à 10°C en moins de deux heures), 0/+3°C
Garnir les fonds de crème pâtissière lissée sur 1,5 cm, disposer les framboises (surgelées : décongelées 0/+3°C sur grille et égouttées)
Napper au pinceau, saupoudrer de sucre glace sur les bords, étiqueter (produit, date)
Stocker 0/+3°C, DLC J+1, portionner en carrés de 7 cm, service à T° ≤ 3°C</t>
  </si>
  <si>
    <t xml:space="preserve">Joue de bœuf aubergine et chorizo 
cuisson de nuit </t>
  </si>
  <si>
    <t xml:space="preserve">Mode opératoire :
Peser tous les ingrédients d'épicerie
Faire revenir le sauté avec les oignons à feu vif pour obtenir une belle coloration sans ébullition
Déglacer auvin blanc et laisser réduire
Ajouter aubergines, fenouil ail et tous les ingrédients d'épicerie
Le mélange doit devenir un peu épais
Répartir dans les bacs, ajouter un couvercle sans trou.
Cuisson vapeur 83°C pendant 14H00 à 18H00
</t>
  </si>
  <si>
    <t xml:space="preserve">Haricots Rouges Chili
cuisson de nuit </t>
  </si>
  <si>
    <t xml:space="preserve">Mode opératoire :
Dans des bacs  mettre tous les ingrédients (colonne B = recette de base 70 portions, à répartir en bacs 1/1 H10 : environ 1,5 kg de légumineuses sèches par bac)
Mélanger et ajouter un couvercle
Cuisson : 
1)95°C vapeur pendant 2HOO
2)Intégrer une phase à 100°C vapeur pendant 45 minutes après les deux premières heures, 
3)Cuison 90°C vapeur en continu
Refroidir en cellule (63°C à 10°C en moins de deux heures) pour une remise en T° différée 
</t>
  </si>
  <si>
    <t xml:space="preserve">Haricots Rouges - Chili- viande à part
cuisson de nuit </t>
  </si>
  <si>
    <t xml:space="preserve">Coco Catalans
cuisson de nuit </t>
  </si>
  <si>
    <t xml:space="preserve">Mode opératoire :
Passer les calamars 15 minus à 85 en vapeur
Dans des bacs  mettre tous les ingrédients  y compris les calamars(colonne B = recette de base 70 portions, à répartir en bacs 1/1 H10 : environ 1,5 kg de légumineuses sèches par bac)
Mélanger et ajouter un couvercle
Cuisson : 95°C vapeur 12H00 minimum et 18h00 au maximum
Refroidir en cellule (63°C à 10°C en moins de deux heures) pour une remise en T° différée )
</t>
  </si>
  <si>
    <t xml:space="preserve">Etiquette rôti Porc</t>
  </si>
  <si>
    <t xml:space="preserve">Rôti+jus</t>
  </si>
  <si>
    <t xml:space="preserve">Rôti</t>
  </si>
  <si>
    <t xml:space="preserve">Etiquette gigot</t>
  </si>
  <si>
    <t xml:space="preserve">Pois chiches
cuisson de nuit </t>
  </si>
  <si>
    <t xml:space="preserve">Cuisson 95°C
Bac gastro avec couvercles</t>
  </si>
</sst>
</file>

<file path=xl/styles.xml><?xml version="1.0" encoding="utf-8"?>
<styleSheet xmlns="http://schemas.openxmlformats.org/spreadsheetml/2006/main">
  <numFmts count="7">
    <numFmt numFmtId="164" formatCode="General"/>
    <numFmt numFmtId="165" formatCode="General"/>
    <numFmt numFmtId="166" formatCode="#,##0.00&quot; €&quot;"/>
    <numFmt numFmtId="167" formatCode="dd/mm/yyyy"/>
    <numFmt numFmtId="168" formatCode="0.00"/>
    <numFmt numFmtId="169" formatCode="0.000"/>
    <numFmt numFmtId="170" formatCode="0.00%"/>
  </numFmts>
  <fonts count="32">
    <font>
      <sz val="12"/>
      <color theme="1"/>
      <name val="Calibri"/>
      <family val="2"/>
      <charset val="1"/>
    </font>
    <font>
      <sz val="10"/>
      <name val="Arial"/>
      <family val="0"/>
    </font>
    <font>
      <sz val="10"/>
      <name val="Arial"/>
      <family val="0"/>
    </font>
    <font>
      <sz val="10"/>
      <name val="Arial"/>
      <family val="0"/>
    </font>
    <font>
      <b val="true"/>
      <sz val="18"/>
      <name val="Calibri"/>
      <family val="0"/>
      <charset val="1"/>
    </font>
    <font>
      <b val="true"/>
      <sz val="12"/>
      <color rgb="FFFFFFFF"/>
      <name val="Calibri"/>
      <family val="0"/>
      <charset val="1"/>
    </font>
    <font>
      <sz val="11"/>
      <name val="Calibri"/>
      <family val="0"/>
      <charset val="1"/>
    </font>
    <font>
      <u val="single"/>
      <sz val="11"/>
      <color rgb="FF0563C1"/>
      <name val="Calibri"/>
      <family val="0"/>
      <charset val="1"/>
    </font>
    <font>
      <b val="true"/>
      <sz val="16"/>
      <name val="Calibri"/>
      <family val="0"/>
      <charset val="1"/>
    </font>
    <font>
      <sz val="12"/>
      <name val="Calibri"/>
      <family val="0"/>
      <charset val="1"/>
    </font>
    <font>
      <b val="true"/>
      <sz val="14"/>
      <color rgb="FF0000FF"/>
      <name val="Calibri"/>
      <family val="0"/>
      <charset val="1"/>
    </font>
    <font>
      <i val="true"/>
      <sz val="10"/>
      <name val="Calibri"/>
      <family val="0"/>
      <charset val="1"/>
    </font>
    <font>
      <b val="true"/>
      <sz val="12"/>
      <name val="Calibri"/>
      <family val="0"/>
      <charset val="1"/>
    </font>
    <font>
      <b val="true"/>
      <sz val="14"/>
      <color rgb="FF000000"/>
      <name val="Calibri"/>
      <family val="0"/>
      <charset val="1"/>
    </font>
    <font>
      <sz val="11"/>
      <color rgb="FF0000FF"/>
      <name val="Calibri"/>
      <family val="0"/>
      <charset val="1"/>
    </font>
    <font>
      <b val="true"/>
      <sz val="11"/>
      <name val="Calibri"/>
      <family val="0"/>
      <charset val="1"/>
    </font>
    <font>
      <sz val="10"/>
      <name val="Calibri"/>
      <family val="0"/>
      <charset val="1"/>
    </font>
    <font>
      <u val="single"/>
      <sz val="10"/>
      <color rgb="FF0563C1"/>
      <name val="Calibri"/>
      <family val="0"/>
      <charset val="1"/>
    </font>
    <font>
      <b val="true"/>
      <sz val="28"/>
      <color theme="0"/>
      <name val="Calibri"/>
      <family val="2"/>
      <charset val="1"/>
    </font>
    <font>
      <b val="true"/>
      <sz val="20"/>
      <color rgb="FFC00000"/>
      <name val="Calibri"/>
      <family val="2"/>
      <charset val="1"/>
    </font>
    <font>
      <b val="true"/>
      <sz val="16"/>
      <color rgb="FF002060"/>
      <name val="Calibri"/>
      <family val="2"/>
      <charset val="1"/>
    </font>
    <font>
      <b val="true"/>
      <sz val="16"/>
      <color theme="0"/>
      <name val="Calibri"/>
      <family val="2"/>
      <charset val="1"/>
    </font>
    <font>
      <b val="true"/>
      <sz val="18"/>
      <color rgb="FF002060"/>
      <name val="Calibri"/>
      <family val="2"/>
      <charset val="1"/>
    </font>
    <font>
      <sz val="16"/>
      <color theme="1"/>
      <name val="Calibri"/>
      <family val="2"/>
      <charset val="1"/>
    </font>
    <font>
      <b val="true"/>
      <sz val="18"/>
      <color theme="1"/>
      <name val="Calibri"/>
      <family val="2"/>
      <charset val="1"/>
    </font>
    <font>
      <b val="true"/>
      <sz val="12"/>
      <color theme="1"/>
      <name val="Calibri"/>
      <family val="2"/>
      <charset val="1"/>
    </font>
    <font>
      <b val="true"/>
      <sz val="16"/>
      <color theme="1"/>
      <name val="Calibri"/>
      <family val="2"/>
      <charset val="1"/>
    </font>
    <font>
      <b val="true"/>
      <sz val="11"/>
      <color theme="1"/>
      <name val="Calibri"/>
      <family val="2"/>
      <charset val="1"/>
    </font>
    <font>
      <sz val="14"/>
      <color theme="1"/>
      <name val="Calibri"/>
      <family val="2"/>
      <charset val="1"/>
    </font>
    <font>
      <b val="true"/>
      <sz val="14"/>
      <color theme="1"/>
      <name val="Calibri"/>
      <family val="2"/>
      <charset val="1"/>
    </font>
    <font>
      <sz val="10"/>
      <color theme="1"/>
      <name val="Calibri"/>
      <family val="2"/>
      <charset val="1"/>
    </font>
    <font>
      <sz val="11"/>
      <color theme="1"/>
      <name val="Calibri"/>
      <family val="2"/>
      <charset val="1"/>
    </font>
  </fonts>
  <fills count="18">
    <fill>
      <patternFill patternType="none"/>
    </fill>
    <fill>
      <patternFill patternType="gray125"/>
    </fill>
    <fill>
      <patternFill patternType="solid">
        <fgColor rgb="FF1F4E78"/>
        <bgColor rgb="FF0563C1"/>
      </patternFill>
    </fill>
    <fill>
      <patternFill patternType="solid">
        <fgColor rgb="FFE2EFDA"/>
        <bgColor rgb="FFEDEDED"/>
      </patternFill>
    </fill>
    <fill>
      <patternFill patternType="solid">
        <fgColor rgb="FFFCE4D6"/>
        <bgColor rgb="FFFFF2CC"/>
      </patternFill>
    </fill>
    <fill>
      <patternFill patternType="solid">
        <fgColor rgb="FFDDEBF7"/>
        <bgColor rgb="FFEDEDED"/>
      </patternFill>
    </fill>
    <fill>
      <patternFill patternType="solid">
        <fgColor rgb="FFFFF2CC"/>
        <bgColor rgb="FFFCE4D6"/>
      </patternFill>
    </fill>
    <fill>
      <patternFill patternType="solid">
        <fgColor rgb="FFEDEDED"/>
        <bgColor rgb="FFE2EFDA"/>
      </patternFill>
    </fill>
    <fill>
      <patternFill patternType="solid">
        <fgColor rgb="FFFFFF00"/>
        <bgColor rgb="FFFFFF00"/>
      </patternFill>
    </fill>
    <fill>
      <patternFill patternType="solid">
        <fgColor rgb="FF002060"/>
        <bgColor rgb="FF000080"/>
      </patternFill>
    </fill>
    <fill>
      <patternFill patternType="solid">
        <fgColor rgb="FF0070C0"/>
        <bgColor rgb="FF0563C1"/>
      </patternFill>
    </fill>
    <fill>
      <patternFill patternType="solid">
        <fgColor theme="0"/>
        <bgColor rgb="FFEDEDED"/>
      </patternFill>
    </fill>
    <fill>
      <patternFill patternType="solid">
        <fgColor theme="5" tint="0.5999"/>
        <bgColor rgb="FFFCE4D6"/>
      </patternFill>
    </fill>
    <fill>
      <patternFill patternType="solid">
        <fgColor theme="8" tint="0.3999"/>
        <bgColor rgb="FFB4C7E7"/>
      </patternFill>
    </fill>
    <fill>
      <patternFill patternType="solid">
        <fgColor theme="9" tint="0.5999"/>
        <bgColor rgb="FFE2EFDA"/>
      </patternFill>
    </fill>
    <fill>
      <patternFill patternType="solid">
        <fgColor theme="7" tint="0.3999"/>
        <bgColor rgb="FFF8CBAD"/>
      </patternFill>
    </fill>
    <fill>
      <patternFill patternType="solid">
        <fgColor theme="4" tint="0.5999"/>
        <bgColor rgb="FF9DC3E6"/>
      </patternFill>
    </fill>
    <fill>
      <patternFill patternType="solid">
        <fgColor theme="4" tint="0.3999"/>
        <bgColor rgb="FF9DC3E6"/>
      </patternFill>
    </fill>
  </fills>
  <borders count="12">
    <border diagonalUp="false" diagonalDown="false">
      <left/>
      <right/>
      <top/>
      <bottom/>
      <diagonal/>
    </border>
    <border diagonalUp="false" diagonalDown="false">
      <left style="thin">
        <color rgb="FF999999"/>
      </left>
      <right style="thin">
        <color rgb="FF999999"/>
      </right>
      <top style="thin">
        <color rgb="FF999999"/>
      </top>
      <bottom style="thin">
        <color rgb="FF999999"/>
      </bottom>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style="thin"/>
      <right/>
      <top style="thin"/>
      <bottom/>
      <diagonal/>
    </border>
    <border diagonalUp="false" diagonalDown="false">
      <left style="medium"/>
      <right/>
      <top style="medium"/>
      <bottom/>
      <diagonal/>
    </border>
    <border diagonalUp="false" diagonalDown="false">
      <left/>
      <right/>
      <top style="medium"/>
      <bottom/>
      <diagonal/>
    </border>
    <border diagonalUp="false" diagonalDown="false">
      <left style="medium"/>
      <right style="medium"/>
      <top style="medium"/>
      <bottom/>
      <diagonal/>
    </border>
    <border diagonalUp="false" diagonalDown="false">
      <left style="medium"/>
      <right/>
      <top/>
      <bottom/>
      <diagonal/>
    </border>
    <border diagonalUp="false" diagonalDown="false">
      <left style="medium"/>
      <right style="medium"/>
      <top/>
      <bottom style="medium"/>
      <diagonal/>
    </border>
    <border diagonalUp="false" diagonalDown="false">
      <left style="medium"/>
      <right/>
      <top/>
      <bottom style="medium"/>
      <diagonal/>
    </border>
    <border diagonalUp="false" diagonalDown="false">
      <left style="thin"/>
      <right style="thin"/>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center" vertical="center" textRotation="0" wrapText="false" indent="0" shrinkToFit="false"/>
      <protection locked="true" hidden="false"/>
    </xf>
    <xf numFmtId="164" fontId="6" fillId="3" borderId="1" xfId="0" applyFont="true" applyBorder="true" applyAlignment="false" applyProtection="false">
      <alignment horizontal="general" vertical="bottom" textRotation="0" wrapText="fals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64" fontId="6" fillId="4" borderId="1" xfId="0" applyFont="true" applyBorder="true" applyAlignment="false" applyProtection="false">
      <alignment horizontal="general" vertical="bottom" textRotation="0" wrapText="false" indent="0" shrinkToFit="false"/>
      <protection locked="true" hidden="false"/>
    </xf>
    <xf numFmtId="164" fontId="7" fillId="4" borderId="1" xfId="0" applyFont="true" applyBorder="true" applyAlignment="false" applyProtection="false">
      <alignment horizontal="general" vertical="bottom" textRotation="0" wrapText="false" indent="0" shrinkToFit="false"/>
      <protection locked="true" hidden="false"/>
    </xf>
    <xf numFmtId="164" fontId="6" fillId="5" borderId="1" xfId="0" applyFont="true" applyBorder="true" applyAlignment="false" applyProtection="false">
      <alignment horizontal="general" vertical="bottom" textRotation="0" wrapText="false" indent="0" shrinkToFit="false"/>
      <protection locked="true" hidden="false"/>
    </xf>
    <xf numFmtId="164" fontId="7" fillId="5" borderId="1" xfId="0" applyFont="true" applyBorder="true" applyAlignment="false" applyProtection="false">
      <alignment horizontal="general" vertical="bottom" textRotation="0" wrapText="false" indent="0" shrinkToFit="false"/>
      <protection locked="true" hidden="false"/>
    </xf>
    <xf numFmtId="164" fontId="6" fillId="6" borderId="1" xfId="0" applyFont="true" applyBorder="true" applyAlignment="false" applyProtection="false">
      <alignment horizontal="general" vertical="bottom" textRotation="0" wrapText="false" indent="0" shrinkToFit="false"/>
      <protection locked="true" hidden="false"/>
    </xf>
    <xf numFmtId="164" fontId="7" fillId="6" borderId="1" xfId="0" applyFont="true" applyBorder="true" applyAlignment="false" applyProtection="false">
      <alignment horizontal="general" vertical="bottom" textRotation="0" wrapText="false" indent="0" shrinkToFit="false"/>
      <protection locked="true" hidden="false"/>
    </xf>
    <xf numFmtId="164" fontId="6" fillId="7" borderId="1" xfId="0" applyFont="true" applyBorder="true" applyAlignment="false" applyProtection="false">
      <alignment horizontal="general" vertical="bottom" textRotation="0" wrapText="false" indent="0" shrinkToFit="false"/>
      <protection locked="true" hidden="false"/>
    </xf>
    <xf numFmtId="164" fontId="7" fillId="7"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5" borderId="1" xfId="0" applyFont="true" applyBorder="true" applyAlignment="true" applyProtection="false">
      <alignment horizontal="center"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0" fillId="8" borderId="1" xfId="0" applyFont="true" applyBorder="true" applyAlignment="true" applyProtection="false">
      <alignment horizontal="center"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5" fontId="13" fillId="5" borderId="1" xfId="0" applyFont="true" applyBorder="true" applyAlignment="true" applyProtection="false">
      <alignment horizontal="center" vertical="bottom" textRotation="0" wrapText="fals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6" fontId="14" fillId="0" borderId="1" xfId="0" applyFont="true" applyBorder="true" applyAlignment="false" applyProtection="false">
      <alignment horizontal="general" vertical="bottom" textRotation="0" wrapText="false" indent="0" shrinkToFit="false"/>
      <protection locked="true" hidden="false"/>
    </xf>
    <xf numFmtId="166" fontId="14" fillId="8" borderId="1" xfId="0" applyFont="true" applyBorder="true" applyAlignment="false" applyProtection="false">
      <alignment horizontal="general" vertical="bottom" textRotation="0" wrapText="false" indent="0" shrinkToFit="false"/>
      <protection locked="true" hidden="false"/>
    </xf>
    <xf numFmtId="167" fontId="6" fillId="8" borderId="1" xfId="0" applyFont="true" applyBorder="true" applyAlignment="false" applyProtection="false">
      <alignment horizontal="general" vertical="bottom" textRotation="0" wrapText="false" indent="0" shrinkToFit="false"/>
      <protection locked="true" hidden="false"/>
    </xf>
    <xf numFmtId="164" fontId="6" fillId="8" borderId="1" xfId="0" applyFont="true" applyBorder="true" applyAlignment="false" applyProtection="false">
      <alignment horizontal="general" vertical="bottom" textRotation="0" wrapText="false" indent="0" shrinkToFit="false"/>
      <protection locked="true" hidden="false"/>
    </xf>
    <xf numFmtId="166" fontId="15" fillId="0" borderId="1" xfId="0" applyFont="true" applyBorder="true" applyAlignment="false" applyProtection="false">
      <alignment horizontal="general" vertical="bottom" textRotation="0" wrapText="false" indent="0" shrinkToFit="false"/>
      <protection locked="true" hidden="false"/>
    </xf>
    <xf numFmtId="164" fontId="5" fillId="2" borderId="1"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6" fontId="0" fillId="0" borderId="1" xfId="0" applyFont="false" applyBorder="true" applyAlignment="false" applyProtection="false">
      <alignment horizontal="general" vertical="bottom" textRotation="0" wrapText="false" indent="0" shrinkToFit="false"/>
      <protection locked="true" hidden="false"/>
    </xf>
    <xf numFmtId="164" fontId="16" fillId="0" borderId="1" xfId="0" applyFont="true" applyBorder="true" applyAlignment="false" applyProtection="false">
      <alignment horizontal="general" vertical="bottom" textRotation="0" wrapText="false" indent="0" shrinkToFit="false"/>
      <protection locked="true" hidden="false"/>
    </xf>
    <xf numFmtId="164" fontId="17" fillId="0" borderId="1" xfId="0" applyFont="true" applyBorder="true" applyAlignment="false" applyProtection="false">
      <alignment horizontal="general" vertical="bottom" textRotation="0" wrapText="false" indent="0" shrinkToFit="false"/>
      <protection locked="true" hidden="false"/>
    </xf>
    <xf numFmtId="164" fontId="18" fillId="9" borderId="0" xfId="0" applyFont="true" applyBorder="true" applyAlignment="true" applyProtection="false">
      <alignment horizontal="center" vertical="center" textRotation="0" wrapText="false" indent="0" shrinkToFit="false"/>
      <protection locked="true" hidden="false"/>
    </xf>
    <xf numFmtId="164" fontId="19" fillId="0" borderId="0" xfId="0" applyFont="true" applyBorder="true" applyAlignment="true" applyProtection="false">
      <alignment horizontal="center" vertical="bottom" textRotation="0" wrapText="false" indent="0" shrinkToFit="false"/>
      <protection locked="true" hidden="false"/>
    </xf>
    <xf numFmtId="164" fontId="20" fillId="0" borderId="0" xfId="0" applyFont="true" applyBorder="false" applyAlignment="true" applyProtection="false">
      <alignment horizontal="center" vertical="center" textRotation="0" wrapText="false" indent="0" shrinkToFit="false"/>
      <protection locked="true" hidden="false"/>
    </xf>
    <xf numFmtId="164" fontId="20" fillId="0" borderId="0" xfId="0" applyFont="true" applyBorder="false" applyAlignment="true" applyProtection="false">
      <alignment horizontal="center" vertical="center" textRotation="0" wrapText="true" indent="0" shrinkToFit="false"/>
      <protection locked="true" hidden="false"/>
    </xf>
    <xf numFmtId="164" fontId="21" fillId="10" borderId="2" xfId="0" applyFont="true" applyBorder="true" applyAlignment="true" applyProtection="false">
      <alignment horizontal="center" vertical="center" textRotation="0" wrapText="false" indent="0" shrinkToFit="false"/>
      <protection locked="true" hidden="false"/>
    </xf>
    <xf numFmtId="164" fontId="20" fillId="0" borderId="2" xfId="0" applyFont="true" applyBorder="true" applyAlignment="true" applyProtection="false">
      <alignment horizontal="center" vertical="center" textRotation="0" wrapText="false" indent="0" shrinkToFit="false"/>
      <protection locked="true" hidden="false"/>
    </xf>
    <xf numFmtId="164" fontId="20" fillId="0" borderId="2" xfId="0" applyFont="true" applyBorder="true" applyAlignment="true" applyProtection="false">
      <alignment horizontal="left" vertical="center" textRotation="0" wrapText="true" indent="0" shrinkToFit="false"/>
      <protection locked="true" hidden="false"/>
    </xf>
    <xf numFmtId="164" fontId="22" fillId="11" borderId="2" xfId="0" applyFont="true" applyBorder="true" applyAlignment="true" applyProtection="false">
      <alignment horizontal="general" vertical="center" textRotation="0" wrapText="false" indent="0" shrinkToFit="false"/>
      <protection locked="true" hidden="false"/>
    </xf>
    <xf numFmtId="164" fontId="21" fillId="10" borderId="3" xfId="0" applyFont="true" applyBorder="true" applyAlignment="true" applyProtection="false">
      <alignment horizontal="center" vertical="center" textRotation="0" wrapText="false" indent="0" shrinkToFit="false"/>
      <protection locked="true" hidden="false"/>
    </xf>
    <xf numFmtId="164" fontId="23" fillId="0" borderId="2" xfId="0" applyFont="true" applyBorder="true" applyAlignment="false" applyProtection="false">
      <alignment horizontal="general" vertical="bottom" textRotation="0" wrapText="false" indent="0" shrinkToFit="false"/>
      <protection locked="true" hidden="false"/>
    </xf>
    <xf numFmtId="164" fontId="21" fillId="10" borderId="3" xfId="0" applyFont="true" applyBorder="true" applyAlignment="true" applyProtection="false">
      <alignment horizontal="center" vertical="center" textRotation="0" wrapText="true" indent="0" shrinkToFit="false"/>
      <protection locked="true" hidden="false"/>
    </xf>
    <xf numFmtId="164" fontId="22" fillId="0" borderId="2" xfId="0" applyFont="true" applyBorder="true" applyAlignment="true" applyProtection="false">
      <alignment horizontal="general" vertical="center" textRotation="0" wrapText="false" indent="0" shrinkToFit="false"/>
      <protection locked="true" hidden="false"/>
    </xf>
    <xf numFmtId="164" fontId="21" fillId="10" borderId="4" xfId="0" applyFont="true" applyBorder="true" applyAlignment="true" applyProtection="false">
      <alignment horizontal="center" vertical="center" textRotation="0" wrapText="false" indent="0" shrinkToFit="false"/>
      <protection locked="true" hidden="false"/>
    </xf>
    <xf numFmtId="164" fontId="21" fillId="10" borderId="5" xfId="0" applyFont="true" applyBorder="true" applyAlignment="true" applyProtection="false">
      <alignment horizontal="center" vertical="center" textRotation="0" wrapText="false" indent="0" shrinkToFit="false"/>
      <protection locked="true" hidden="false"/>
    </xf>
    <xf numFmtId="164" fontId="23" fillId="0" borderId="2" xfId="0" applyFont="true" applyBorder="true" applyAlignment="true" applyProtection="false">
      <alignment horizontal="general" vertical="bottom" textRotation="0" wrapText="true" indent="0" shrinkToFit="false"/>
      <protection locked="true" hidden="false"/>
    </xf>
    <xf numFmtId="164" fontId="21" fillId="10" borderId="6" xfId="0" applyFont="true" applyBorder="true" applyAlignment="true" applyProtection="false">
      <alignment horizontal="center" vertical="center" textRotation="0" wrapText="false" indent="0" shrinkToFit="false"/>
      <protection locked="true" hidden="false"/>
    </xf>
    <xf numFmtId="164" fontId="23" fillId="0" borderId="2" xfId="0" applyFont="true" applyBorder="true" applyAlignment="true" applyProtection="false">
      <alignment horizontal="left" vertical="center"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24" fillId="12" borderId="0" xfId="0" applyFont="true" applyBorder="true" applyAlignment="true" applyProtection="false">
      <alignment horizontal="center" vertical="bottom" textRotation="0" wrapText="true" indent="0" shrinkToFit="false"/>
      <protection locked="true" hidden="false"/>
    </xf>
    <xf numFmtId="164" fontId="25" fillId="13" borderId="7" xfId="0" applyFont="true" applyBorder="true" applyAlignment="true" applyProtection="false">
      <alignment horizontal="center" vertical="center" textRotation="0" wrapText="false" indent="0" shrinkToFit="false"/>
      <protection locked="true" hidden="false"/>
    </xf>
    <xf numFmtId="164" fontId="24" fillId="14" borderId="8" xfId="0" applyFont="true" applyBorder="true" applyAlignment="true" applyProtection="false">
      <alignment horizontal="center" vertical="center" textRotation="0" wrapText="true" indent="0" shrinkToFit="false"/>
      <protection locked="true" hidden="false"/>
    </xf>
    <xf numFmtId="164" fontId="23" fillId="13" borderId="9" xfId="0" applyFont="true" applyBorder="true" applyAlignment="true" applyProtection="false">
      <alignment horizontal="center" vertical="bottom" textRotation="0" wrapText="false" indent="0" shrinkToFit="false"/>
      <protection locked="true" hidden="false"/>
    </xf>
    <xf numFmtId="164" fontId="26" fillId="0" borderId="0" xfId="0" applyFont="true" applyBorder="false" applyAlignment="true" applyProtection="false">
      <alignment horizontal="general" vertical="center" textRotation="0" wrapText="false" indent="0" shrinkToFit="false"/>
      <protection locked="true" hidden="false"/>
    </xf>
    <xf numFmtId="164" fontId="25" fillId="0" borderId="0" xfId="0" applyFont="true" applyBorder="false" applyAlignment="true" applyProtection="false">
      <alignment horizontal="center" vertical="center" textRotation="0" wrapText="true" indent="0" shrinkToFit="false"/>
      <protection locked="true" hidden="false"/>
    </xf>
    <xf numFmtId="164" fontId="25" fillId="0" borderId="0" xfId="0" applyFont="true" applyBorder="false" applyAlignment="true" applyProtection="false">
      <alignment horizontal="center" vertical="center" textRotation="0" wrapText="false" indent="0" shrinkToFit="false"/>
      <protection locked="true" hidden="false"/>
    </xf>
    <xf numFmtId="164" fontId="0" fillId="0" borderId="2" xfId="0" applyFont="true" applyBorder="true" applyAlignment="false" applyProtection="false">
      <alignment horizontal="general" vertical="bottom" textRotation="0" wrapText="false" indent="0" shrinkToFit="false"/>
      <protection locked="true" hidden="false"/>
    </xf>
    <xf numFmtId="168" fontId="25" fillId="0" borderId="2" xfId="0" applyFont="true" applyBorder="true" applyAlignment="true" applyProtection="false">
      <alignment horizontal="center" vertical="bottom" textRotation="0" wrapText="false" indent="0" shrinkToFit="false"/>
      <protection locked="true" hidden="false"/>
    </xf>
    <xf numFmtId="166" fontId="0" fillId="0" borderId="2" xfId="0" applyFont="false" applyBorder="true" applyAlignment="true" applyProtection="false">
      <alignment horizontal="center" vertical="bottom" textRotation="0" wrapText="false" indent="0" shrinkToFit="false"/>
      <protection locked="true" hidden="false"/>
    </xf>
    <xf numFmtId="166" fontId="0" fillId="0" borderId="3" xfId="0" applyFont="false" applyBorder="true" applyAlignment="false" applyProtection="false">
      <alignment horizontal="general" vertical="bottom" textRotation="0" wrapText="false" indent="0" shrinkToFit="false"/>
      <protection locked="true" hidden="false"/>
    </xf>
    <xf numFmtId="164" fontId="27" fillId="0" borderId="2" xfId="0" applyFont="true" applyBorder="true" applyAlignment="true" applyProtection="false">
      <alignment horizontal="general" vertical="top" textRotation="0" wrapText="true" indent="0" shrinkToFit="false"/>
      <protection locked="true" hidden="false"/>
    </xf>
    <xf numFmtId="164" fontId="0" fillId="0" borderId="6" xfId="0" applyFont="false" applyBorder="tru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false" indent="0" shrinkToFit="false"/>
      <protection locked="true" hidden="false"/>
    </xf>
    <xf numFmtId="164" fontId="28" fillId="0" borderId="2" xfId="0" applyFont="true" applyBorder="true" applyAlignment="false" applyProtection="false">
      <alignment horizontal="general" vertical="bottom" textRotation="0" wrapText="false" indent="0" shrinkToFit="false"/>
      <protection locked="true" hidden="false"/>
    </xf>
    <xf numFmtId="165" fontId="0" fillId="0" borderId="2" xfId="0" applyFont="false" applyBorder="tru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6" fontId="25" fillId="15" borderId="0" xfId="0" applyFont="true" applyBorder="false" applyAlignment="false" applyProtection="false">
      <alignment horizontal="general" vertical="bottom" textRotation="0" wrapText="false" indent="0" shrinkToFit="false"/>
      <protection locked="true" hidden="false"/>
    </xf>
    <xf numFmtId="164" fontId="29" fillId="0" borderId="0" xfId="0" applyFont="true" applyBorder="false" applyAlignment="false" applyProtection="false">
      <alignment horizontal="general" vertical="bottom" textRotation="0" wrapText="false" indent="0" shrinkToFit="false"/>
      <protection locked="true" hidden="false"/>
    </xf>
    <xf numFmtId="166" fontId="29"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0" fillId="16" borderId="0" xfId="0" applyFont="tru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left" vertical="bottom" textRotation="0" wrapText="false" indent="0" shrinkToFit="false"/>
      <protection locked="true" hidden="false"/>
    </xf>
    <xf numFmtId="164" fontId="28" fillId="17" borderId="0" xfId="0" applyFont="true" applyBorder="false" applyAlignment="false" applyProtection="false">
      <alignment horizontal="general" vertical="bottom" textRotation="0" wrapText="false" indent="0" shrinkToFit="false"/>
      <protection locked="true" hidden="false"/>
    </xf>
    <xf numFmtId="164" fontId="24" fillId="14" borderId="10" xfId="0" applyFont="true" applyBorder="true" applyAlignment="true" applyProtection="false">
      <alignment horizontal="center" vertical="center" textRotation="0" wrapText="true" indent="0" shrinkToFit="false"/>
      <protection locked="true" hidden="false"/>
    </xf>
    <xf numFmtId="164" fontId="0" fillId="0" borderId="2" xfId="0" applyFont="true" applyBorder="true" applyAlignment="true" applyProtection="false">
      <alignment horizontal="general" vertical="bottom" textRotation="0" wrapText="true" indent="0" shrinkToFit="false"/>
      <protection locked="true" hidden="false"/>
    </xf>
    <xf numFmtId="166" fontId="0" fillId="0" borderId="2" xfId="0" applyFont="false" applyBorder="true" applyAlignment="false" applyProtection="false">
      <alignment horizontal="general" vertical="bottom" textRotation="0" wrapText="false" indent="0" shrinkToFit="false"/>
      <protection locked="true" hidden="false"/>
    </xf>
    <xf numFmtId="164" fontId="25" fillId="0" borderId="6"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left" vertical="bottom" textRotation="0" wrapText="false" indent="0" shrinkToFit="false"/>
      <protection locked="true" hidden="false"/>
    </xf>
    <xf numFmtId="164" fontId="28" fillId="0" borderId="11" xfId="0" applyFont="true" applyBorder="true" applyAlignment="false" applyProtection="false">
      <alignment horizontal="general" vertical="bottom" textRotation="0" wrapText="false" indent="0" shrinkToFit="false"/>
      <protection locked="true" hidden="false"/>
    </xf>
    <xf numFmtId="164" fontId="24" fillId="12" borderId="0" xfId="0" applyFont="true" applyBorder="true" applyAlignment="true" applyProtection="false">
      <alignment horizontal="center" vertical="bottom" textRotation="0" wrapText="false" indent="0" shrinkToFit="false"/>
      <protection locked="true" hidden="false"/>
    </xf>
    <xf numFmtId="168" fontId="30" fillId="0" borderId="2" xfId="0" applyFont="true" applyBorder="true" applyAlignment="false" applyProtection="false">
      <alignment horizontal="general" vertical="bottom" textRotation="0" wrapText="false" indent="0" shrinkToFit="false"/>
      <protection locked="true" hidden="false"/>
    </xf>
    <xf numFmtId="169" fontId="25" fillId="0" borderId="2" xfId="0" applyFont="true" applyBorder="true" applyAlignment="true" applyProtection="false">
      <alignment horizontal="center" vertical="bottom" textRotation="0" wrapText="false" indent="0" shrinkToFit="false"/>
      <protection locked="true" hidden="false"/>
    </xf>
    <xf numFmtId="164" fontId="30" fillId="0" borderId="2" xfId="0" applyFont="true" applyBorder="tru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11" fillId="0" borderId="0" xfId="0" applyFont="true" applyBorder="true" applyAlignment="true" applyProtection="false">
      <alignment horizontal="left" vertical="bottom" textRotation="0" wrapText="false" indent="0" shrinkToFit="false"/>
      <protection locked="true" hidden="false"/>
    </xf>
    <xf numFmtId="164" fontId="31" fillId="0" borderId="2"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patternType="solid">
          <fgColor rgb="FF1F4E78"/>
          <bgColor rgb="FF000000"/>
        </patternFill>
      </fill>
    </dxf>
    <dxf>
      <fill>
        <patternFill patternType="solid">
          <fgColor rgb="FFDDEBF7"/>
          <bgColor rgb="FF000000"/>
        </patternFill>
      </fill>
    </dxf>
    <dxf>
      <fill>
        <patternFill patternType="solid">
          <fgColor rgb="FFE2EFDA"/>
          <bgColor rgb="FF000000"/>
        </patternFill>
      </fill>
    </dxf>
    <dxf>
      <fill>
        <patternFill patternType="solid">
          <fgColor rgb="FFEDEDED"/>
          <bgColor rgb="FF000000"/>
        </patternFill>
      </fill>
    </dxf>
    <dxf>
      <fill>
        <patternFill patternType="solid">
          <fgColor rgb="FFFCE4D6"/>
          <bgColor rgb="FF000000"/>
        </patternFill>
      </fill>
    </dxf>
    <dxf>
      <fill>
        <patternFill patternType="solid">
          <fgColor rgb="FFFFF2CC"/>
          <bgColor rgb="FF000000"/>
        </patternFill>
      </fill>
    </dxf>
    <dxf>
      <fill>
        <patternFill patternType="solid">
          <fgColor rgb="FFFFFFFF"/>
          <bgColor rgb="FF000000"/>
        </patternFill>
      </fill>
    </dxf>
    <dxf>
      <fill>
        <patternFill patternType="solid">
          <bgColor rgb="FF000000"/>
        </patternFill>
      </fill>
    </dxf>
    <dxf>
      <fill>
        <patternFill patternType="solid">
          <fgColor rgb="FF0563C1"/>
          <bgColor rgb="FF000000"/>
        </patternFill>
      </fill>
    </dxf>
    <dxf>
      <fill>
        <patternFill patternType="solid">
          <fgColor rgb="FF0000FF"/>
          <bgColor rgb="FF000000"/>
        </patternFill>
      </fill>
    </dxf>
    <dxf>
      <fill>
        <patternFill patternType="solid">
          <fgColor rgb="FFFFFF00"/>
          <bgColor rgb="FF000000"/>
        </patternFill>
      </fill>
    </dxf>
    <dxf>
      <fill>
        <patternFill patternType="solid">
          <fgColor rgb="FF000000"/>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70C0"/>
      <rgbColor rgb="FFB4C7E7"/>
      <rgbColor rgb="FF808080"/>
      <rgbColor rgb="FF8FAADC"/>
      <rgbColor rgb="FF993366"/>
      <rgbColor rgb="FFFFF2CC"/>
      <rgbColor rgb="FFDDEBF7"/>
      <rgbColor rgb="FF660066"/>
      <rgbColor rgb="FFFF8080"/>
      <rgbColor rgb="FF0563C1"/>
      <rgbColor rgb="FFC5E0B4"/>
      <rgbColor rgb="FF000080"/>
      <rgbColor rgb="FFFF00FF"/>
      <rgbColor rgb="FFFFFF00"/>
      <rgbColor rgb="FF00FFFF"/>
      <rgbColor rgb="FF800080"/>
      <rgbColor rgb="FF800000"/>
      <rgbColor rgb="FF008080"/>
      <rgbColor rgb="FF0000FF"/>
      <rgbColor rgb="FF00CCFF"/>
      <rgbColor rgb="FFEDEDED"/>
      <rgbColor rgb="FFE2EFDA"/>
      <rgbColor rgb="FFFCE4D6"/>
      <rgbColor rgb="FF9DC3E6"/>
      <rgbColor rgb="FFFF99CC"/>
      <rgbColor rgb="FFCC99FF"/>
      <rgbColor rgb="FFF8CBAD"/>
      <rgbColor rgb="FF3366FF"/>
      <rgbColor rgb="FF33CCCC"/>
      <rgbColor rgb="FF99CC00"/>
      <rgbColor rgb="FFFFD966"/>
      <rgbColor rgb="FFFF9900"/>
      <rgbColor rgb="FFFF6600"/>
      <rgbColor rgb="FF666699"/>
      <rgbColor rgb="FF999999"/>
      <rgbColor rgb="FF002060"/>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worksheet" Target="worksheets/sheet40.xml"/><Relationship Id="rId43" Type="http://schemas.openxmlformats.org/officeDocument/2006/relationships/worksheet" Target="worksheets/sheet41.xml"/><Relationship Id="rId44" Type="http://schemas.openxmlformats.org/officeDocument/2006/relationships/worksheet" Target="worksheets/sheet42.xml"/><Relationship Id="rId45" Type="http://schemas.openxmlformats.org/officeDocument/2006/relationships/worksheet" Target="worksheets/sheet43.xml"/><Relationship Id="rId46" Type="http://schemas.openxmlformats.org/officeDocument/2006/relationships/worksheet" Target="worksheets/sheet44.xml"/><Relationship Id="rId47" Type="http://schemas.openxmlformats.org/officeDocument/2006/relationships/worksheet" Target="worksheets/sheet45.xml"/><Relationship Id="rId48" Type="http://schemas.openxmlformats.org/officeDocument/2006/relationships/worksheet" Target="worksheets/sheet46.xml"/><Relationship Id="rId49" Type="http://schemas.openxmlformats.org/officeDocument/2006/relationships/worksheet" Target="worksheets/sheet47.xml"/><Relationship Id="rId50" Type="http://schemas.openxmlformats.org/officeDocument/2006/relationships/worksheet" Target="worksheets/sheet48.xml"/><Relationship Id="rId51" Type="http://schemas.openxmlformats.org/officeDocument/2006/relationships/worksheet" Target="worksheets/sheet49.xml"/><Relationship Id="rId52" Type="http://schemas.openxmlformats.org/officeDocument/2006/relationships/worksheet" Target="worksheets/sheet50.xml"/><Relationship Id="rId53" Type="http://schemas.openxmlformats.org/officeDocument/2006/relationships/worksheet" Target="worksheets/sheet51.xml"/><Relationship Id="rId54" Type="http://schemas.openxmlformats.org/officeDocument/2006/relationships/worksheet" Target="worksheets/sheet52.xml"/><Relationship Id="rId55" Type="http://schemas.openxmlformats.org/officeDocument/2006/relationships/worksheet" Target="worksheets/sheet53.xml"/><Relationship Id="rId56" Type="http://schemas.openxmlformats.org/officeDocument/2006/relationships/worksheet" Target="worksheets/sheet54.xml"/><Relationship Id="rId57" Type="http://schemas.openxmlformats.org/officeDocument/2006/relationships/worksheet" Target="worksheets/sheet55.xml"/><Relationship Id="rId58" Type="http://schemas.openxmlformats.org/officeDocument/2006/relationships/worksheet" Target="worksheets/sheet56.xml"/><Relationship Id="rId59" Type="http://schemas.openxmlformats.org/officeDocument/2006/relationships/worksheet" Target="worksheets/sheet57.xml"/><Relationship Id="rId60" Type="http://schemas.openxmlformats.org/officeDocument/2006/relationships/worksheet" Target="worksheets/sheet58.xml"/><Relationship Id="rId61" Type="http://schemas.openxmlformats.org/officeDocument/2006/relationships/worksheet" Target="worksheets/sheet59.xml"/><Relationship Id="rId62" Type="http://schemas.openxmlformats.org/officeDocument/2006/relationships/worksheet" Target="worksheets/sheet60.xml"/><Relationship Id="rId63" Type="http://schemas.openxmlformats.org/officeDocument/2006/relationships/worksheet" Target="worksheets/sheet61.xml"/><Relationship Id="rId64" Type="http://schemas.openxmlformats.org/officeDocument/2006/relationships/worksheet" Target="worksheets/sheet62.xml"/><Relationship Id="rId65" Type="http://schemas.openxmlformats.org/officeDocument/2006/relationships/worksheet" Target="worksheets/sheet63.xml"/><Relationship Id="rId66" Type="http://schemas.openxmlformats.org/officeDocument/2006/relationships/worksheet" Target="worksheets/sheet64.xml"/><Relationship Id="rId67" Type="http://schemas.openxmlformats.org/officeDocument/2006/relationships/worksheet" Target="worksheets/sheet65.xml"/><Relationship Id="rId68" Type="http://schemas.openxmlformats.org/officeDocument/2006/relationships/worksheet" Target="worksheets/sheet66.xml"/><Relationship Id="rId69" Type="http://schemas.openxmlformats.org/officeDocument/2006/relationships/worksheet" Target="worksheets/sheet67.xml"/><Relationship Id="rId70" Type="http://schemas.openxmlformats.org/officeDocument/2006/relationships/worksheet" Target="worksheets/sheet68.xml"/><Relationship Id="rId71" Type="http://schemas.openxmlformats.org/officeDocument/2006/relationships/worksheet" Target="worksheets/sheet69.xml"/><Relationship Id="rId72" Type="http://schemas.openxmlformats.org/officeDocument/2006/relationships/worksheet" Target="worksheets/sheet70.xml"/><Relationship Id="rId73" Type="http://schemas.openxmlformats.org/officeDocument/2006/relationships/worksheet" Target="worksheets/sheet71.xml"/><Relationship Id="rId74" Type="http://schemas.openxmlformats.org/officeDocument/2006/relationships/worksheet" Target="worksheets/sheet72.xml"/><Relationship Id="rId75" Type="http://schemas.openxmlformats.org/officeDocument/2006/relationships/worksheet" Target="worksheets/sheet73.xml"/><Relationship Id="rId76" Type="http://schemas.openxmlformats.org/officeDocument/2006/relationships/worksheet" Target="worksheets/sheet74.xml"/><Relationship Id="rId77" Type="http://schemas.openxmlformats.org/officeDocument/2006/relationships/worksheet" Target="worksheets/sheet75.xml"/><Relationship Id="rId78" Type="http://schemas.openxmlformats.org/officeDocument/2006/relationships/worksheet" Target="worksheets/sheet76.xml"/><Relationship Id="rId79" Type="http://schemas.openxmlformats.org/officeDocument/2006/relationships/worksheet" Target="worksheets/sheet77.xml"/><Relationship Id="rId80" Type="http://schemas.openxmlformats.org/officeDocument/2006/relationships/worksheet" Target="worksheets/sheet78.xml"/><Relationship Id="rId81" Type="http://schemas.openxmlformats.org/officeDocument/2006/relationships/worksheet" Target="worksheets/sheet79.xml"/><Relationship Id="rId82" Type="http://schemas.openxmlformats.org/officeDocument/2006/relationships/worksheet" Target="worksheets/sheet80.xml"/><Relationship Id="rId83" Type="http://schemas.openxmlformats.org/officeDocument/2006/relationships/worksheet" Target="worksheets/sheet81.xml"/><Relationship Id="rId84" Type="http://schemas.openxmlformats.org/officeDocument/2006/relationships/worksheet" Target="worksheets/sheet82.xml"/><Relationship Id="rId85" Type="http://schemas.openxmlformats.org/officeDocument/2006/relationships/worksheet" Target="worksheets/sheet83.xml"/><Relationship Id="rId86" Type="http://schemas.openxmlformats.org/officeDocument/2006/relationships/worksheet" Target="worksheets/sheet84.xml"/><Relationship Id="rId87" Type="http://schemas.openxmlformats.org/officeDocument/2006/relationships/worksheet" Target="worksheets/sheet85.xml"/><Relationship Id="rId88" Type="http://schemas.openxmlformats.org/officeDocument/2006/relationships/worksheet" Target="worksheets/sheet86.xml"/><Relationship Id="rId89" Type="http://schemas.openxmlformats.org/officeDocument/2006/relationships/worksheet" Target="worksheets/sheet87.xml"/><Relationship Id="rId90" Type="http://schemas.openxmlformats.org/officeDocument/2006/relationships/worksheet" Target="worksheets/sheet88.xml"/><Relationship Id="rId91" Type="http://schemas.openxmlformats.org/officeDocument/2006/relationships/worksheet" Target="worksheets/sheet89.xml"/><Relationship Id="rId92" Type="http://schemas.openxmlformats.org/officeDocument/2006/relationships/worksheet" Target="worksheets/sheet90.xml"/><Relationship Id="rId93" Type="http://schemas.openxmlformats.org/officeDocument/2006/relationships/worksheet" Target="worksheets/sheet91.xml"/><Relationship Id="rId94" Type="http://schemas.openxmlformats.org/officeDocument/2006/relationships/worksheet" Target="worksheets/sheet92.xml"/><Relationship Id="rId95" Type="http://schemas.openxmlformats.org/officeDocument/2006/relationships/worksheet" Target="worksheets/sheet93.xml"/><Relationship Id="rId96" Type="http://schemas.openxmlformats.org/officeDocument/2006/relationships/worksheet" Target="worksheets/sheet94.xml"/><Relationship Id="rId97" Type="http://schemas.openxmlformats.org/officeDocument/2006/relationships/worksheet" Target="worksheets/sheet95.xml"/><Relationship Id="rId98" Type="http://schemas.openxmlformats.org/officeDocument/2006/relationships/worksheet" Target="worksheets/sheet96.xml"/><Relationship Id="rId99" Type="http://schemas.openxmlformats.org/officeDocument/2006/relationships/worksheet" Target="worksheets/sheet97.xml"/><Relationship Id="rId100" Type="http://schemas.openxmlformats.org/officeDocument/2006/relationships/worksheet" Target="worksheets/sheet98.xml"/><Relationship Id="rId101" Type="http://schemas.openxmlformats.org/officeDocument/2006/relationships/worksheet" Target="worksheets/sheet99.xml"/><Relationship Id="rId102" Type="http://schemas.openxmlformats.org/officeDocument/2006/relationships/worksheet" Target="worksheets/sheet100.xml"/><Relationship Id="rId103" Type="http://schemas.openxmlformats.org/officeDocument/2006/relationships/worksheet" Target="worksheets/sheet101.xml"/><Relationship Id="rId104" Type="http://schemas.openxmlformats.org/officeDocument/2006/relationships/worksheet" Target="worksheets/sheet102.xml"/><Relationship Id="rId105" Type="http://schemas.openxmlformats.org/officeDocument/2006/relationships/worksheet" Target="worksheets/sheet103.xml"/><Relationship Id="rId106" Type="http://schemas.openxmlformats.org/officeDocument/2006/relationships/worksheet" Target="worksheets/sheet104.xml"/><Relationship Id="rId107" Type="http://schemas.openxmlformats.org/officeDocument/2006/relationships/worksheet" Target="worksheets/sheet105.xml"/><Relationship Id="rId108" Type="http://schemas.openxmlformats.org/officeDocument/2006/relationships/worksheet" Target="worksheets/sheet106.xml"/><Relationship Id="rId109" Type="http://schemas.openxmlformats.org/officeDocument/2006/relationships/worksheet" Target="worksheets/sheet107.xml"/><Relationship Id="rId110" Type="http://schemas.openxmlformats.org/officeDocument/2006/relationships/worksheet" Target="worksheets/sheet108.xml"/><Relationship Id="rId111" Type="http://schemas.openxmlformats.org/officeDocument/2006/relationships/worksheet" Target="worksheets/sheet109.xml"/><Relationship Id="rId112" Type="http://schemas.openxmlformats.org/officeDocument/2006/relationships/worksheet" Target="worksheets/sheet110.xml"/><Relationship Id="rId113" Type="http://schemas.openxmlformats.org/officeDocument/2006/relationships/worksheet" Target="worksheets/sheet111.xml"/><Relationship Id="rId114" Type="http://schemas.openxmlformats.org/officeDocument/2006/relationships/worksheet" Target="worksheets/sheet112.xml"/><Relationship Id="rId115" Type="http://schemas.openxmlformats.org/officeDocument/2006/relationships/worksheet" Target="worksheets/sheet113.xml"/><Relationship Id="rId116" Type="http://schemas.openxmlformats.org/officeDocument/2006/relationships/worksheet" Target="worksheets/sheet114.xml"/><Relationship Id="rId117" Type="http://schemas.openxmlformats.org/officeDocument/2006/relationships/worksheet" Target="worksheets/sheet115.xml"/><Relationship Id="rId118" Type="http://schemas.openxmlformats.org/officeDocument/2006/relationships/worksheet" Target="worksheets/sheet116.xml"/><Relationship Id="rId119" Type="http://schemas.openxmlformats.org/officeDocument/2006/relationships/worksheet" Target="worksheets/sheet117.xml"/><Relationship Id="rId120" Type="http://schemas.openxmlformats.org/officeDocument/2006/relationships/worksheet" Target="worksheets/sheet118.xml"/><Relationship Id="rId121" Type="http://schemas.openxmlformats.org/officeDocument/2006/relationships/worksheet" Target="worksheets/sheet119.xml"/><Relationship Id="rId122" Type="http://schemas.openxmlformats.org/officeDocument/2006/relationships/worksheet" Target="worksheets/sheet120.xml"/><Relationship Id="rId123" Type="http://schemas.openxmlformats.org/officeDocument/2006/relationships/worksheet" Target="worksheets/sheet121.xml"/><Relationship Id="rId124" Type="http://schemas.openxmlformats.org/officeDocument/2006/relationships/worksheet" Target="worksheets/sheet122.xml"/><Relationship Id="rId125" Type="http://schemas.openxmlformats.org/officeDocument/2006/relationships/worksheet" Target="worksheets/sheet123.xml"/><Relationship Id="rId126" Type="http://schemas.openxmlformats.org/officeDocument/2006/relationships/worksheet" Target="worksheets/sheet124.xml"/><Relationship Id="rId127" Type="http://schemas.openxmlformats.org/officeDocument/2006/relationships/worksheet" Target="worksheets/sheet125.xml"/><Relationship Id="rId128" Type="http://schemas.openxmlformats.org/officeDocument/2006/relationships/worksheet" Target="worksheets/sheet126.xml"/><Relationship Id="rId129" Type="http://schemas.openxmlformats.org/officeDocument/2006/relationships/worksheet" Target="worksheets/sheet127.xml"/><Relationship Id="rId130" Type="http://schemas.openxmlformats.org/officeDocument/2006/relationships/worksheet" Target="worksheets/sheet128.xml"/><Relationship Id="rId131" Type="http://schemas.openxmlformats.org/officeDocument/2006/relationships/worksheet" Target="worksheets/sheet129.xml"/><Relationship Id="rId132" Type="http://schemas.openxmlformats.org/officeDocument/2006/relationships/worksheet" Target="worksheets/sheet130.xml"/><Relationship Id="rId133" Type="http://schemas.openxmlformats.org/officeDocument/2006/relationships/worksheet" Target="worksheets/sheet131.xml"/><Relationship Id="rId134" Type="http://schemas.openxmlformats.org/officeDocument/2006/relationships/worksheet" Target="worksheets/sheet132.xml"/><Relationship Id="rId135" Type="http://schemas.openxmlformats.org/officeDocument/2006/relationships/worksheet" Target="worksheets/sheet133.xml"/><Relationship Id="rId136" Type="http://schemas.openxmlformats.org/officeDocument/2006/relationships/worksheet" Target="worksheets/sheet134.xml"/><Relationship Id="rId137" Type="http://schemas.openxmlformats.org/officeDocument/2006/relationships/worksheet" Target="worksheets/sheet135.xml"/><Relationship Id="rId138" Type="http://schemas.openxmlformats.org/officeDocument/2006/relationships/worksheet" Target="worksheets/sheet136.xml"/><Relationship Id="rId139" Type="http://schemas.openxmlformats.org/officeDocument/2006/relationships/worksheet" Target="worksheets/sheet137.xml"/><Relationship Id="rId140" Type="http://schemas.openxmlformats.org/officeDocument/2006/relationships/worksheet" Target="worksheets/sheet138.xml"/><Relationship Id="rId141" Type="http://schemas.openxmlformats.org/officeDocument/2006/relationships/worksheet" Target="worksheets/sheet139.xml"/><Relationship Id="rId142" Type="http://schemas.openxmlformats.org/officeDocument/2006/relationships/worksheet" Target="worksheets/sheet140.xml"/><Relationship Id="rId143" Type="http://schemas.openxmlformats.org/officeDocument/2006/relationships/worksheet" Target="worksheets/sheet141.xml"/><Relationship Id="rId144" Type="http://schemas.openxmlformats.org/officeDocument/2006/relationships/worksheet" Target="worksheets/sheet142.xml"/><Relationship Id="rId145" Type="http://schemas.openxmlformats.org/officeDocument/2006/relationships/worksheet" Target="worksheets/sheet143.xml"/><Relationship Id="rId146" Type="http://schemas.openxmlformats.org/officeDocument/2006/relationships/worksheet" Target="worksheets/sheet144.xml"/><Relationship Id="rId147" Type="http://schemas.openxmlformats.org/officeDocument/2006/relationships/worksheet" Target="worksheets/sheet145.xml"/><Relationship Id="rId148" Type="http://schemas.openxmlformats.org/officeDocument/2006/relationships/worksheet" Target="worksheets/sheet146.xml"/><Relationship Id="rId149" Type="http://schemas.openxmlformats.org/officeDocument/2006/relationships/worksheet" Target="worksheets/sheet147.xml"/><Relationship Id="rId150" Type="http://schemas.openxmlformats.org/officeDocument/2006/relationships/worksheet" Target="worksheets/sheet148.xml"/><Relationship Id="rId151" Type="http://schemas.openxmlformats.org/officeDocument/2006/relationships/worksheet" Target="worksheets/sheet149.xml"/><Relationship Id="rId152" Type="http://schemas.openxmlformats.org/officeDocument/2006/relationships/worksheet" Target="worksheets/sheet150.xml"/><Relationship Id="rId153" Type="http://schemas.openxmlformats.org/officeDocument/2006/relationships/worksheet" Target="worksheets/sheet151.xml"/><Relationship Id="rId154" Type="http://schemas.openxmlformats.org/officeDocument/2006/relationships/worksheet" Target="worksheets/sheet152.xml"/><Relationship Id="rId155" Type="http://schemas.openxmlformats.org/officeDocument/2006/relationships/worksheet" Target="worksheets/sheet153.xml"/><Relationship Id="rId156" Type="http://schemas.openxmlformats.org/officeDocument/2006/relationships/worksheet" Target="worksheets/sheet154.xml"/><Relationship Id="rId157" Type="http://schemas.openxmlformats.org/officeDocument/2006/relationships/worksheet" Target="worksheets/sheet155.xml"/><Relationship Id="rId158" Type="http://schemas.openxmlformats.org/officeDocument/2006/relationships/worksheet" Target="worksheets/sheet156.xml"/><Relationship Id="rId159" Type="http://schemas.openxmlformats.org/officeDocument/2006/relationships/worksheet" Target="worksheets/sheet157.xml"/><Relationship Id="rId160" Type="http://schemas.openxmlformats.org/officeDocument/2006/relationships/worksheet" Target="worksheets/sheet158.xml"/><Relationship Id="rId161" Type="http://schemas.openxmlformats.org/officeDocument/2006/relationships/worksheet" Target="worksheets/sheet159.xml"/><Relationship Id="rId162" Type="http://schemas.openxmlformats.org/officeDocument/2006/relationships/worksheet" Target="worksheets/sheet160.xml"/><Relationship Id="rId163" Type="http://schemas.openxmlformats.org/officeDocument/2006/relationships/worksheet" Target="worksheets/sheet161.xml"/><Relationship Id="rId164" Type="http://schemas.openxmlformats.org/officeDocument/2006/relationships/worksheet" Target="worksheets/sheet162.xml"/><Relationship Id="rId165" Type="http://schemas.openxmlformats.org/officeDocument/2006/relationships/worksheet" Target="worksheets/sheet163.xml"/><Relationship Id="rId166" Type="http://schemas.openxmlformats.org/officeDocument/2006/relationships/worksheet" Target="worksheets/sheet164.xml"/><Relationship Id="rId167" Type="http://schemas.openxmlformats.org/officeDocument/2006/relationships/worksheet" Target="worksheets/sheet165.xml"/><Relationship Id="rId168" Type="http://schemas.openxmlformats.org/officeDocument/2006/relationships/worksheet" Target="worksheets/sheet166.xml"/><Relationship Id="rId169" Type="http://schemas.openxmlformats.org/officeDocument/2006/relationships/worksheet" Target="worksheets/sheet167.xml"/><Relationship Id="rId170" Type="http://schemas.openxmlformats.org/officeDocument/2006/relationships/worksheet" Target="worksheets/sheet168.xml"/><Relationship Id="rId171" Type="http://schemas.openxmlformats.org/officeDocument/2006/relationships/worksheet" Target="worksheets/sheet169.xml"/><Relationship Id="rId172" Type="http://schemas.openxmlformats.org/officeDocument/2006/relationships/worksheet" Target="worksheets/sheet170.xml"/><Relationship Id="rId173" Type="http://schemas.openxmlformats.org/officeDocument/2006/relationships/worksheet" Target="worksheets/sheet171.xml"/><Relationship Id="rId174" Type="http://schemas.openxmlformats.org/officeDocument/2006/relationships/worksheet" Target="worksheets/sheet172.xml"/><Relationship Id="rId175" Type="http://schemas.openxmlformats.org/officeDocument/2006/relationships/worksheet" Target="worksheets/sheet173.xml"/><Relationship Id="rId176" Type="http://schemas.openxmlformats.org/officeDocument/2006/relationships/worksheet" Target="worksheets/sheet174.xml"/><Relationship Id="rId177" Type="http://schemas.openxmlformats.org/officeDocument/2006/relationships/worksheet" Target="worksheets/sheet175.xml"/><Relationship Id="rId178" Type="http://schemas.openxmlformats.org/officeDocument/2006/relationships/worksheet" Target="worksheets/sheet176.xml"/><Relationship Id="rId179" Type="http://schemas.openxmlformats.org/officeDocument/2006/relationships/worksheet" Target="worksheets/sheet177.xml"/><Relationship Id="rId180" Type="http://schemas.openxmlformats.org/officeDocument/2006/relationships/worksheet" Target="worksheets/sheet178.xml"/><Relationship Id="rId181" Type="http://schemas.openxmlformats.org/officeDocument/2006/relationships/worksheet" Target="worksheets/sheet179.xml"/><Relationship Id="rId182" Type="http://schemas.openxmlformats.org/officeDocument/2006/relationships/worksheet" Target="worksheets/sheet180.xml"/><Relationship Id="rId183" Type="http://schemas.openxmlformats.org/officeDocument/2006/relationships/worksheet" Target="worksheets/sheet181.xml"/><Relationship Id="rId184" Type="http://schemas.openxmlformats.org/officeDocument/2006/relationships/worksheet" Target="worksheets/sheet182.xml"/><Relationship Id="rId185" Type="http://schemas.openxmlformats.org/officeDocument/2006/relationships/worksheet" Target="worksheets/sheet183.xml"/><Relationship Id="rId186" Type="http://schemas.openxmlformats.org/officeDocument/2006/relationships/worksheet" Target="worksheets/sheet184.xml"/><Relationship Id="rId187" Type="http://schemas.openxmlformats.org/officeDocument/2006/relationships/worksheet" Target="worksheets/sheet185.xml"/><Relationship Id="rId188" Type="http://schemas.openxmlformats.org/officeDocument/2006/relationships/worksheet" Target="worksheets/sheet186.xml"/><Relationship Id="rId189" Type="http://schemas.openxmlformats.org/officeDocument/2006/relationships/worksheet" Target="worksheets/sheet187.xml"/><Relationship Id="rId190" Type="http://schemas.openxmlformats.org/officeDocument/2006/relationships/worksheet" Target="worksheets/sheet188.xml"/><Relationship Id="rId191" Type="http://schemas.openxmlformats.org/officeDocument/2006/relationships/worksheet" Target="worksheets/sheet189.xml"/><Relationship Id="rId192" Type="http://schemas.openxmlformats.org/officeDocument/2006/relationships/worksheet" Target="worksheets/sheet190.xml"/><Relationship Id="rId193" Type="http://schemas.openxmlformats.org/officeDocument/2006/relationships/worksheet" Target="worksheets/sheet191.xml"/><Relationship Id="rId194" Type="http://schemas.openxmlformats.org/officeDocument/2006/relationships/worksheet" Target="worksheets/sheet192.xml"/><Relationship Id="rId195" Type="http://schemas.openxmlformats.org/officeDocument/2006/relationships/worksheet" Target="worksheets/sheet193.xml"/><Relationship Id="rId196" Type="http://schemas.openxmlformats.org/officeDocument/2006/relationships/worksheet" Target="worksheets/sheet194.xml"/><Relationship Id="rId197" Type="http://schemas.openxmlformats.org/officeDocument/2006/relationships/worksheet" Target="worksheets/sheet195.xml"/><Relationship Id="rId198" Type="http://schemas.openxmlformats.org/officeDocument/2006/relationships/worksheet" Target="worksheets/sheet196.xml"/><Relationship Id="rId199" Type="http://schemas.openxmlformats.org/officeDocument/2006/relationships/worksheet" Target="worksheets/sheet197.xml"/><Relationship Id="rId200" Type="http://schemas.openxmlformats.org/officeDocument/2006/relationships/worksheet" Target="worksheets/sheet198.xml"/><Relationship Id="rId201" Type="http://schemas.openxmlformats.org/officeDocument/2006/relationships/worksheet" Target="worksheets/sheet199.xml"/><Relationship Id="rId202" Type="http://schemas.openxmlformats.org/officeDocument/2006/relationships/worksheet" Target="worksheets/sheet200.xml"/><Relationship Id="rId203" Type="http://schemas.openxmlformats.org/officeDocument/2006/relationships/worksheet" Target="worksheets/sheet201.xml"/><Relationship Id="rId204" Type="http://schemas.openxmlformats.org/officeDocument/2006/relationships/worksheet" Target="worksheets/sheet202.xml"/><Relationship Id="rId205" Type="http://schemas.openxmlformats.org/officeDocument/2006/relationships/worksheet" Target="worksheets/sheet203.xml"/><Relationship Id="rId206" Type="http://schemas.openxmlformats.org/officeDocument/2006/relationships/worksheet" Target="worksheets/sheet204.xml"/><Relationship Id="rId207" Type="http://schemas.openxmlformats.org/officeDocument/2006/relationships/worksheet" Target="worksheets/sheet205.xml"/><Relationship Id="rId208" Type="http://schemas.openxmlformats.org/officeDocument/2006/relationships/worksheet" Target="worksheets/sheet206.xml"/><Relationship Id="rId209" Type="http://schemas.openxmlformats.org/officeDocument/2006/relationships/worksheet" Target="worksheets/sheet207.xml"/><Relationship Id="rId210" Type="http://schemas.openxmlformats.org/officeDocument/2006/relationships/worksheet" Target="worksheets/sheet208.xml"/><Relationship Id="rId211" Type="http://schemas.openxmlformats.org/officeDocument/2006/relationships/worksheet" Target="worksheets/sheet209.xml"/><Relationship Id="rId212" Type="http://schemas.openxmlformats.org/officeDocument/2006/relationships/worksheet" Target="worksheets/sheet210.xml"/><Relationship Id="rId213" Type="http://schemas.openxmlformats.org/officeDocument/2006/relationships/worksheet" Target="worksheets/sheet211.xml"/><Relationship Id="rId214" Type="http://schemas.openxmlformats.org/officeDocument/2006/relationships/worksheet" Target="worksheets/sheet212.xml"/><Relationship Id="rId215" Type="http://schemas.openxmlformats.org/officeDocument/2006/relationships/worksheet" Target="worksheets/sheet213.xml"/><Relationship Id="rId216" Type="http://schemas.openxmlformats.org/officeDocument/2006/relationships/worksheet" Target="worksheets/sheet214.xml"/><Relationship Id="rId217" Type="http://schemas.openxmlformats.org/officeDocument/2006/relationships/worksheet" Target="worksheets/sheet215.xml"/><Relationship Id="rId218" Type="http://schemas.openxmlformats.org/officeDocument/2006/relationships/worksheet" Target="worksheets/sheet216.xml"/><Relationship Id="rId219" Type="http://schemas.openxmlformats.org/officeDocument/2006/relationships/worksheet" Target="worksheets/sheet217.xml"/><Relationship Id="rId220" Type="http://schemas.openxmlformats.org/officeDocument/2006/relationships/worksheet" Target="worksheets/sheet218.xml"/><Relationship Id="rId221" Type="http://schemas.openxmlformats.org/officeDocument/2006/relationships/worksheet" Target="worksheets/sheet219.xml"/><Relationship Id="rId222" Type="http://schemas.openxmlformats.org/officeDocument/2006/relationships/worksheet" Target="worksheets/sheet220.xml"/><Relationship Id="rId223" Type="http://schemas.openxmlformats.org/officeDocument/2006/relationships/worksheet" Target="worksheets/sheet221.xml"/><Relationship Id="rId224" Type="http://schemas.openxmlformats.org/officeDocument/2006/relationships/worksheet" Target="worksheets/sheet222.xml"/><Relationship Id="rId225" Type="http://schemas.openxmlformats.org/officeDocument/2006/relationships/worksheet" Target="worksheets/sheet223.xml"/><Relationship Id="rId226" Type="http://schemas.openxmlformats.org/officeDocument/2006/relationships/worksheet" Target="worksheets/sheet224.xml"/><Relationship Id="rId227" Type="http://schemas.openxmlformats.org/officeDocument/2006/relationships/worksheet" Target="worksheets/sheet225.xml"/><Relationship Id="rId228" Type="http://schemas.openxmlformats.org/officeDocument/2006/relationships/worksheet" Target="worksheets/sheet226.xml"/><Relationship Id="rId229" Type="http://schemas.openxmlformats.org/officeDocument/2006/relationships/worksheet" Target="worksheets/sheet227.xml"/><Relationship Id="rId230" Type="http://schemas.openxmlformats.org/officeDocument/2006/relationships/worksheet" Target="worksheets/sheet228.xml"/><Relationship Id="rId231" Type="http://schemas.openxmlformats.org/officeDocument/2006/relationships/worksheet" Target="worksheets/sheet229.xml"/><Relationship Id="rId232" Type="http://schemas.openxmlformats.org/officeDocument/2006/relationships/worksheet" Target="worksheets/sheet230.xml"/><Relationship Id="rId233" Type="http://schemas.openxmlformats.org/officeDocument/2006/relationships/worksheet" Target="worksheets/sheet231.xml"/><Relationship Id="rId234" Type="http://schemas.openxmlformats.org/officeDocument/2006/relationships/worksheet" Target="worksheets/sheet232.xml"/><Relationship Id="rId235" Type="http://schemas.openxmlformats.org/officeDocument/2006/relationships/worksheet" Target="worksheets/sheet233.xml"/><Relationship Id="rId236" Type="http://schemas.openxmlformats.org/officeDocument/2006/relationships/worksheet" Target="worksheets/sheet234.xml"/><Relationship Id="rId237" Type="http://schemas.openxmlformats.org/officeDocument/2006/relationships/worksheet" Target="worksheets/sheet235.xml"/><Relationship Id="rId238" Type="http://schemas.openxmlformats.org/officeDocument/2006/relationships/worksheet" Target="worksheets/sheet236.xml"/><Relationship Id="rId239" Type="http://schemas.openxmlformats.org/officeDocument/2006/relationships/worksheet" Target="worksheets/sheet237.xml"/><Relationship Id="rId240" Type="http://schemas.openxmlformats.org/officeDocument/2006/relationships/worksheet" Target="worksheets/sheet238.xml"/><Relationship Id="rId241" Type="http://schemas.openxmlformats.org/officeDocument/2006/relationships/worksheet" Target="worksheets/sheet239.xml"/><Relationship Id="rId242" Type="http://schemas.openxmlformats.org/officeDocument/2006/relationships/worksheet" Target="worksheets/sheet240.xml"/><Relationship Id="rId243" Type="http://schemas.openxmlformats.org/officeDocument/2006/relationships/worksheet" Target="worksheets/sheet241.xml"/><Relationship Id="rId244" Type="http://schemas.openxmlformats.org/officeDocument/2006/relationships/worksheet" Target="worksheets/sheet242.xml"/><Relationship Id="rId245" Type="http://schemas.openxmlformats.org/officeDocument/2006/relationships/worksheet" Target="worksheets/sheet243.xml"/><Relationship Id="rId246" Type="http://schemas.openxmlformats.org/officeDocument/2006/relationships/worksheet" Target="worksheets/sheet244.xml"/><Relationship Id="rId247" Type="http://schemas.openxmlformats.org/officeDocument/2006/relationships/worksheet" Target="worksheets/sheet245.xml"/><Relationship Id="rId248" Type="http://schemas.openxmlformats.org/officeDocument/2006/relationships/worksheet" Target="worksheets/sheet246.xml"/><Relationship Id="rId249" Type="http://schemas.openxmlformats.org/officeDocument/2006/relationships/worksheet" Target="worksheets/sheet247.xml"/><Relationship Id="rId250" Type="http://schemas.openxmlformats.org/officeDocument/2006/relationships/worksheet" Target="worksheets/sheet248.xml"/><Relationship Id="rId251" Type="http://schemas.openxmlformats.org/officeDocument/2006/relationships/worksheet" Target="worksheets/sheet249.xml"/><Relationship Id="rId252" Type="http://schemas.openxmlformats.org/officeDocument/2006/relationships/worksheet" Target="worksheets/sheet250.xml"/><Relationship Id="rId253" Type="http://schemas.openxmlformats.org/officeDocument/2006/relationships/worksheet" Target="worksheets/sheet251.xml"/><Relationship Id="rId254" Type="http://schemas.openxmlformats.org/officeDocument/2006/relationships/worksheet" Target="worksheets/sheet252.xml"/><Relationship Id="rId255" Type="http://schemas.openxmlformats.org/officeDocument/2006/relationships/worksheet" Target="worksheets/sheet253.xml"/><Relationship Id="rId256" Type="http://schemas.openxmlformats.org/officeDocument/2006/relationships/worksheet" Target="worksheets/sheet254.xml"/><Relationship Id="rId257" Type="http://schemas.openxmlformats.org/officeDocument/2006/relationships/worksheet" Target="worksheets/sheet255.xml"/><Relationship Id="rId258" Type="http://schemas.openxmlformats.org/officeDocument/2006/relationships/worksheet" Target="worksheets/sheet256.xml"/><Relationship Id="rId259" Type="http://schemas.openxmlformats.org/officeDocument/2006/relationships/worksheet" Target="worksheets/sheet257.xml"/><Relationship Id="rId260" Type="http://schemas.openxmlformats.org/officeDocument/2006/relationships/worksheet" Target="worksheets/sheet258.xml"/><Relationship Id="rId261" Type="http://schemas.openxmlformats.org/officeDocument/2006/relationships/worksheet" Target="worksheets/sheet259.xml"/><Relationship Id="rId262" Type="http://schemas.openxmlformats.org/officeDocument/2006/relationships/worksheet" Target="worksheets/sheet260.xml"/><Relationship Id="rId263" Type="http://schemas.openxmlformats.org/officeDocument/2006/relationships/worksheet" Target="worksheets/sheet261.xml"/><Relationship Id="rId264" Type="http://schemas.openxmlformats.org/officeDocument/2006/relationships/worksheet" Target="worksheets/sheet262.xml"/><Relationship Id="rId265" Type="http://schemas.openxmlformats.org/officeDocument/2006/relationships/worksheet" Target="worksheets/sheet263.xml"/><Relationship Id="rId266" Type="http://schemas.openxmlformats.org/officeDocument/2006/relationships/worksheet" Target="worksheets/sheet264.xml"/><Relationship Id="rId267" Type="http://schemas.openxmlformats.org/officeDocument/2006/relationships/worksheet" Target="worksheets/sheet265.xml"/><Relationship Id="rId268" Type="http://schemas.openxmlformats.org/officeDocument/2006/relationships/worksheet" Target="worksheets/sheet266.xml"/><Relationship Id="rId269" Type="http://schemas.openxmlformats.org/officeDocument/2006/relationships/worksheet" Target="worksheets/sheet267.xml"/><Relationship Id="rId270" Type="http://schemas.openxmlformats.org/officeDocument/2006/relationships/worksheet" Target="worksheets/sheet268.xml"/><Relationship Id="rId271" Type="http://schemas.openxmlformats.org/officeDocument/2006/relationships/worksheet" Target="worksheets/sheet269.xml"/><Relationship Id="rId272" Type="http://schemas.openxmlformats.org/officeDocument/2006/relationships/worksheet" Target="worksheets/sheet270.xml"/><Relationship Id="rId273" Type="http://schemas.openxmlformats.org/officeDocument/2006/relationships/worksheet" Target="worksheets/sheet271.xml"/><Relationship Id="rId274" Type="http://schemas.openxmlformats.org/officeDocument/2006/relationships/worksheet" Target="worksheets/sheet272.xml"/><Relationship Id="rId275" Type="http://schemas.openxmlformats.org/officeDocument/2006/relationships/worksheet" Target="worksheets/sheet273.xml"/><Relationship Id="rId276" Type="http://schemas.openxmlformats.org/officeDocument/2006/relationships/worksheet" Target="worksheets/sheet274.xml"/><Relationship Id="rId277" Type="http://schemas.openxmlformats.org/officeDocument/2006/relationships/worksheet" Target="worksheets/sheet275.xml"/><Relationship Id="rId278" Type="http://schemas.openxmlformats.org/officeDocument/2006/relationships/worksheet" Target="worksheets/sheet276.xml"/><Relationship Id="rId279" Type="http://schemas.openxmlformats.org/officeDocument/2006/relationships/worksheet" Target="worksheets/sheet277.xml"/><Relationship Id="rId280" Type="http://schemas.openxmlformats.org/officeDocument/2006/relationships/worksheet" Target="worksheets/sheet278.xml"/><Relationship Id="rId281" Type="http://schemas.openxmlformats.org/officeDocument/2006/relationships/worksheet" Target="worksheets/sheet279.xml"/><Relationship Id="rId282" Type="http://schemas.openxmlformats.org/officeDocument/2006/relationships/worksheet" Target="worksheets/sheet280.xml"/><Relationship Id="rId283" Type="http://schemas.openxmlformats.org/officeDocument/2006/relationships/worksheet" Target="worksheets/sheet281.xml"/><Relationship Id="rId284" Type="http://schemas.openxmlformats.org/officeDocument/2006/relationships/worksheet" Target="worksheets/sheet282.xml"/><Relationship Id="rId285" Type="http://schemas.openxmlformats.org/officeDocument/2006/relationships/worksheet" Target="worksheets/sheet283.xml"/><Relationship Id="rId286" Type="http://schemas.openxmlformats.org/officeDocument/2006/relationships/worksheet" Target="worksheets/sheet284.xml"/><Relationship Id="rId287" Type="http://schemas.openxmlformats.org/officeDocument/2006/relationships/worksheet" Target="worksheets/sheet285.xml"/><Relationship Id="rId28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Thème Office 2013 – 2022">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8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2109375" defaultRowHeight="15" zeroHeight="false" outlineLevelRow="0" outlineLevelCol="0"/>
  <cols>
    <col collapsed="false" customWidth="true" hidden="false" outlineLevel="0" max="1" min="1" style="0" width="22"/>
    <col collapsed="false" customWidth="true" hidden="false" outlineLevel="0" max="2" min="2" style="0" width="42"/>
    <col collapsed="false" customWidth="true" hidden="false" outlineLevel="0" max="3" min="3" style="0" width="30"/>
    <col collapsed="false" customWidth="true" hidden="false" outlineLevel="0" max="4" min="4" style="0" width="52"/>
    <col collapsed="false" customWidth="true" hidden="false" outlineLevel="0" max="5" min="5" style="0" width="22"/>
  </cols>
  <sheetData>
    <row r="1" customFormat="false" ht="22.05" hidden="false" customHeight="false" outlineLevel="0" collapsed="false">
      <c r="A1" s="1" t="s">
        <v>0</v>
      </c>
    </row>
    <row r="2" customFormat="false" ht="15" hidden="false" customHeight="false" outlineLevel="0" collapsed="false">
      <c r="A2" s="0" t="s">
        <v>1</v>
      </c>
    </row>
    <row r="3" customFormat="false" ht="15" hidden="false" customHeight="false" outlineLevel="0" collapsed="false">
      <c r="A3" s="0" t="s">
        <v>2</v>
      </c>
    </row>
    <row r="5" customFormat="false" ht="15" hidden="false" customHeight="false" outlineLevel="0" collapsed="false">
      <c r="A5" s="2" t="s">
        <v>3</v>
      </c>
      <c r="B5" s="2" t="s">
        <v>4</v>
      </c>
      <c r="C5" s="2" t="s">
        <v>5</v>
      </c>
      <c r="D5" s="2" t="s">
        <v>6</v>
      </c>
      <c r="E5" s="2" t="s">
        <v>7</v>
      </c>
    </row>
    <row r="6" customFormat="false" ht="15" hidden="false" customHeight="false" outlineLevel="0" collapsed="false">
      <c r="A6" s="3" t="s">
        <v>8</v>
      </c>
      <c r="B6" s="4" t="s">
        <v>9</v>
      </c>
      <c r="C6" s="3" t="s">
        <v>10</v>
      </c>
      <c r="D6" s="3" t="s">
        <v>9</v>
      </c>
      <c r="E6" s="3" t="n">
        <v>92</v>
      </c>
    </row>
    <row r="7" customFormat="false" ht="15" hidden="false" customHeight="false" outlineLevel="0" collapsed="false">
      <c r="A7" s="3" t="s">
        <v>8</v>
      </c>
      <c r="B7" s="4" t="s">
        <v>11</v>
      </c>
      <c r="C7" s="3" t="s">
        <v>12</v>
      </c>
      <c r="D7" s="3" t="s">
        <v>13</v>
      </c>
      <c r="E7" s="3" t="n">
        <v>44</v>
      </c>
    </row>
    <row r="8" customFormat="false" ht="15" hidden="false" customHeight="false" outlineLevel="0" collapsed="false">
      <c r="A8" s="3" t="s">
        <v>8</v>
      </c>
      <c r="B8" s="4" t="s">
        <v>14</v>
      </c>
      <c r="C8" s="3" t="s">
        <v>12</v>
      </c>
      <c r="D8" s="3" t="s">
        <v>15</v>
      </c>
      <c r="E8" s="3" t="n">
        <v>14</v>
      </c>
    </row>
    <row r="9" customFormat="false" ht="15" hidden="false" customHeight="false" outlineLevel="0" collapsed="false">
      <c r="A9" s="3" t="s">
        <v>8</v>
      </c>
      <c r="B9" s="4" t="s">
        <v>16</v>
      </c>
      <c r="C9" s="3" t="s">
        <v>10</v>
      </c>
      <c r="D9" s="3" t="s">
        <v>16</v>
      </c>
      <c r="E9" s="3" t="n">
        <v>38</v>
      </c>
    </row>
    <row r="10" customFormat="false" ht="15" hidden="false" customHeight="false" outlineLevel="0" collapsed="false">
      <c r="A10" s="3" t="s">
        <v>8</v>
      </c>
      <c r="B10" s="4" t="s">
        <v>17</v>
      </c>
      <c r="C10" s="3" t="s">
        <v>18</v>
      </c>
      <c r="D10" s="3" t="s">
        <v>17</v>
      </c>
      <c r="E10" s="3" t="n">
        <v>29</v>
      </c>
    </row>
    <row r="11" customFormat="false" ht="15" hidden="false" customHeight="false" outlineLevel="0" collapsed="false">
      <c r="A11" s="3" t="s">
        <v>8</v>
      </c>
      <c r="B11" s="4" t="s">
        <v>19</v>
      </c>
      <c r="C11" s="3" t="s">
        <v>10</v>
      </c>
      <c r="D11" s="3" t="s">
        <v>19</v>
      </c>
      <c r="E11" s="3" t="n">
        <v>21</v>
      </c>
    </row>
    <row r="12" customFormat="false" ht="15" hidden="false" customHeight="false" outlineLevel="0" collapsed="false">
      <c r="A12" s="3" t="s">
        <v>8</v>
      </c>
      <c r="B12" s="4" t="s">
        <v>20</v>
      </c>
      <c r="C12" s="3" t="s">
        <v>10</v>
      </c>
      <c r="D12" s="3" t="s">
        <v>20</v>
      </c>
      <c r="E12" s="3" t="n">
        <v>2</v>
      </c>
    </row>
    <row r="13" customFormat="false" ht="15" hidden="false" customHeight="false" outlineLevel="0" collapsed="false">
      <c r="A13" s="3" t="s">
        <v>8</v>
      </c>
      <c r="B13" s="4" t="s">
        <v>21</v>
      </c>
      <c r="C13" s="3" t="s">
        <v>10</v>
      </c>
      <c r="D13" s="3" t="s">
        <v>21</v>
      </c>
      <c r="E13" s="3" t="n">
        <v>2</v>
      </c>
    </row>
    <row r="14" customFormat="false" ht="15" hidden="false" customHeight="false" outlineLevel="0" collapsed="false">
      <c r="A14" s="3" t="s">
        <v>8</v>
      </c>
      <c r="B14" s="4" t="s">
        <v>22</v>
      </c>
      <c r="C14" s="3" t="s">
        <v>10</v>
      </c>
      <c r="D14" s="3" t="s">
        <v>22</v>
      </c>
      <c r="E14" s="3" t="n">
        <v>20</v>
      </c>
    </row>
    <row r="15" customFormat="false" ht="15" hidden="false" customHeight="false" outlineLevel="0" collapsed="false">
      <c r="A15" s="3" t="s">
        <v>8</v>
      </c>
      <c r="B15" s="4" t="s">
        <v>23</v>
      </c>
      <c r="C15" s="3" t="s">
        <v>24</v>
      </c>
      <c r="D15" s="3" t="s">
        <v>25</v>
      </c>
      <c r="E15" s="3" t="n">
        <v>35</v>
      </c>
    </row>
    <row r="16" customFormat="false" ht="15" hidden="false" customHeight="false" outlineLevel="0" collapsed="false">
      <c r="A16" s="3" t="s">
        <v>8</v>
      </c>
      <c r="B16" s="4" t="s">
        <v>26</v>
      </c>
      <c r="C16" s="3" t="s">
        <v>24</v>
      </c>
      <c r="D16" s="3" t="s">
        <v>27</v>
      </c>
      <c r="E16" s="3" t="n">
        <v>4</v>
      </c>
    </row>
    <row r="17" customFormat="false" ht="15" hidden="false" customHeight="false" outlineLevel="0" collapsed="false">
      <c r="A17" s="3" t="s">
        <v>8</v>
      </c>
      <c r="B17" s="4" t="s">
        <v>28</v>
      </c>
      <c r="C17" s="3" t="s">
        <v>10</v>
      </c>
      <c r="D17" s="3" t="s">
        <v>28</v>
      </c>
      <c r="E17" s="3" t="n">
        <v>14</v>
      </c>
    </row>
    <row r="18" customFormat="false" ht="15" hidden="false" customHeight="false" outlineLevel="0" collapsed="false">
      <c r="A18" s="3" t="s">
        <v>8</v>
      </c>
      <c r="B18" s="4" t="s">
        <v>29</v>
      </c>
      <c r="C18" s="3" t="s">
        <v>10</v>
      </c>
      <c r="D18" s="3" t="s">
        <v>29</v>
      </c>
      <c r="E18" s="3" t="n">
        <v>14</v>
      </c>
    </row>
    <row r="19" customFormat="false" ht="15" hidden="false" customHeight="false" outlineLevel="0" collapsed="false">
      <c r="A19" s="3" t="s">
        <v>8</v>
      </c>
      <c r="B19" s="4" t="s">
        <v>30</v>
      </c>
      <c r="C19" s="3" t="s">
        <v>10</v>
      </c>
      <c r="D19" s="3" t="s">
        <v>30</v>
      </c>
      <c r="E19" s="3" t="n">
        <v>4</v>
      </c>
    </row>
    <row r="20" customFormat="false" ht="15" hidden="false" customHeight="false" outlineLevel="0" collapsed="false">
      <c r="A20" s="3" t="s">
        <v>8</v>
      </c>
      <c r="B20" s="4" t="s">
        <v>31</v>
      </c>
      <c r="C20" s="3" t="s">
        <v>10</v>
      </c>
      <c r="D20" s="3" t="s">
        <v>31</v>
      </c>
      <c r="E20" s="3" t="n">
        <v>9</v>
      </c>
    </row>
    <row r="21" customFormat="false" ht="15" hidden="false" customHeight="false" outlineLevel="0" collapsed="false">
      <c r="A21" s="3" t="s">
        <v>8</v>
      </c>
      <c r="B21" s="4" t="s">
        <v>32</v>
      </c>
      <c r="C21" s="3" t="s">
        <v>24</v>
      </c>
      <c r="D21" s="3" t="s">
        <v>33</v>
      </c>
      <c r="E21" s="3" t="n">
        <v>17</v>
      </c>
    </row>
    <row r="22" customFormat="false" ht="15" hidden="false" customHeight="false" outlineLevel="0" collapsed="false">
      <c r="A22" s="3" t="s">
        <v>8</v>
      </c>
      <c r="B22" s="4" t="s">
        <v>34</v>
      </c>
      <c r="C22" s="3" t="s">
        <v>10</v>
      </c>
      <c r="D22" s="3" t="s">
        <v>34</v>
      </c>
      <c r="E22" s="3" t="n">
        <v>17</v>
      </c>
    </row>
    <row r="23" customFormat="false" ht="15" hidden="false" customHeight="false" outlineLevel="0" collapsed="false">
      <c r="A23" s="3" t="s">
        <v>8</v>
      </c>
      <c r="B23" s="4" t="s">
        <v>35</v>
      </c>
      <c r="C23" s="3" t="s">
        <v>36</v>
      </c>
      <c r="D23" s="3" t="s">
        <v>37</v>
      </c>
      <c r="E23" s="3" t="n">
        <v>27</v>
      </c>
    </row>
    <row r="24" customFormat="false" ht="15" hidden="false" customHeight="false" outlineLevel="0" collapsed="false">
      <c r="A24" s="3" t="s">
        <v>8</v>
      </c>
      <c r="B24" s="4" t="s">
        <v>38</v>
      </c>
      <c r="C24" s="3" t="s">
        <v>24</v>
      </c>
      <c r="D24" s="3" t="s">
        <v>39</v>
      </c>
      <c r="E24" s="3" t="n">
        <v>12</v>
      </c>
    </row>
    <row r="25" customFormat="false" ht="15" hidden="false" customHeight="false" outlineLevel="0" collapsed="false">
      <c r="A25" s="3" t="s">
        <v>8</v>
      </c>
      <c r="B25" s="4" t="s">
        <v>40</v>
      </c>
      <c r="C25" s="3" t="s">
        <v>12</v>
      </c>
      <c r="D25" s="3" t="s">
        <v>41</v>
      </c>
      <c r="E25" s="3" t="n">
        <v>26</v>
      </c>
    </row>
    <row r="26" customFormat="false" ht="15" hidden="false" customHeight="false" outlineLevel="0" collapsed="false">
      <c r="A26" s="3" t="s">
        <v>8</v>
      </c>
      <c r="B26" s="4" t="s">
        <v>42</v>
      </c>
      <c r="C26" s="3" t="s">
        <v>10</v>
      </c>
      <c r="D26" s="3" t="s">
        <v>42</v>
      </c>
      <c r="E26" s="3" t="n">
        <v>8</v>
      </c>
    </row>
    <row r="27" customFormat="false" ht="15" hidden="false" customHeight="false" outlineLevel="0" collapsed="false">
      <c r="A27" s="3" t="s">
        <v>8</v>
      </c>
      <c r="B27" s="4" t="s">
        <v>43</v>
      </c>
      <c r="C27" s="3" t="s">
        <v>10</v>
      </c>
      <c r="D27" s="3" t="s">
        <v>43</v>
      </c>
      <c r="E27" s="3" t="n">
        <v>13</v>
      </c>
    </row>
    <row r="28" customFormat="false" ht="15" hidden="false" customHeight="false" outlineLevel="0" collapsed="false">
      <c r="A28" s="3" t="s">
        <v>8</v>
      </c>
      <c r="B28" s="4" t="s">
        <v>44</v>
      </c>
      <c r="C28" s="3" t="s">
        <v>18</v>
      </c>
      <c r="D28" s="3" t="s">
        <v>44</v>
      </c>
      <c r="E28" s="3" t="n">
        <v>1</v>
      </c>
    </row>
    <row r="29" customFormat="false" ht="15" hidden="false" customHeight="false" outlineLevel="0" collapsed="false">
      <c r="A29" s="3" t="s">
        <v>8</v>
      </c>
      <c r="B29" s="4" t="s">
        <v>45</v>
      </c>
      <c r="C29" s="3" t="s">
        <v>10</v>
      </c>
      <c r="D29" s="3" t="s">
        <v>45</v>
      </c>
      <c r="E29" s="3" t="n">
        <v>30</v>
      </c>
    </row>
    <row r="30" customFormat="false" ht="15" hidden="false" customHeight="false" outlineLevel="0" collapsed="false">
      <c r="A30" s="3" t="s">
        <v>8</v>
      </c>
      <c r="B30" s="4" t="s">
        <v>46</v>
      </c>
      <c r="C30" s="3" t="s">
        <v>18</v>
      </c>
      <c r="D30" s="3" t="s">
        <v>46</v>
      </c>
      <c r="E30" s="3" t="n">
        <v>14</v>
      </c>
    </row>
    <row r="31" customFormat="false" ht="15" hidden="false" customHeight="false" outlineLevel="0" collapsed="false">
      <c r="A31" s="3" t="s">
        <v>8</v>
      </c>
      <c r="B31" s="4" t="s">
        <v>47</v>
      </c>
      <c r="C31" s="3" t="s">
        <v>10</v>
      </c>
      <c r="D31" s="3" t="s">
        <v>47</v>
      </c>
      <c r="E31" s="3" t="n">
        <v>8</v>
      </c>
    </row>
    <row r="32" customFormat="false" ht="15" hidden="false" customHeight="false" outlineLevel="0" collapsed="false">
      <c r="A32" s="3" t="s">
        <v>8</v>
      </c>
      <c r="B32" s="4" t="s">
        <v>48</v>
      </c>
      <c r="C32" s="3" t="s">
        <v>10</v>
      </c>
      <c r="D32" s="3" t="s">
        <v>48</v>
      </c>
      <c r="E32" s="3" t="n">
        <v>5</v>
      </c>
    </row>
    <row r="33" customFormat="false" ht="15" hidden="false" customHeight="false" outlineLevel="0" collapsed="false">
      <c r="A33" s="3" t="s">
        <v>8</v>
      </c>
      <c r="B33" s="4" t="s">
        <v>49</v>
      </c>
      <c r="C33" s="3" t="s">
        <v>10</v>
      </c>
      <c r="D33" s="3" t="s">
        <v>49</v>
      </c>
      <c r="E33" s="3" t="n">
        <v>11</v>
      </c>
    </row>
    <row r="34" customFormat="false" ht="15" hidden="false" customHeight="false" outlineLevel="0" collapsed="false">
      <c r="A34" s="3" t="s">
        <v>8</v>
      </c>
      <c r="B34" s="4" t="s">
        <v>50</v>
      </c>
      <c r="C34" s="3" t="s">
        <v>10</v>
      </c>
      <c r="D34" s="3" t="s">
        <v>50</v>
      </c>
      <c r="E34" s="3" t="n">
        <v>10</v>
      </c>
    </row>
    <row r="35" customFormat="false" ht="15" hidden="false" customHeight="false" outlineLevel="0" collapsed="false">
      <c r="A35" s="3" t="s">
        <v>8</v>
      </c>
      <c r="B35" s="4" t="s">
        <v>51</v>
      </c>
      <c r="C35" s="3" t="s">
        <v>10</v>
      </c>
      <c r="D35" s="3" t="s">
        <v>51</v>
      </c>
      <c r="E35" s="3" t="n">
        <v>11</v>
      </c>
    </row>
    <row r="36" customFormat="false" ht="15" hidden="false" customHeight="false" outlineLevel="0" collapsed="false">
      <c r="A36" s="3" t="s">
        <v>8</v>
      </c>
      <c r="B36" s="4" t="s">
        <v>52</v>
      </c>
      <c r="C36" s="3" t="s">
        <v>10</v>
      </c>
      <c r="D36" s="3" t="s">
        <v>52</v>
      </c>
      <c r="E36" s="3" t="n">
        <v>4</v>
      </c>
    </row>
    <row r="37" customFormat="false" ht="15" hidden="false" customHeight="false" outlineLevel="0" collapsed="false">
      <c r="A37" s="3" t="s">
        <v>8</v>
      </c>
      <c r="B37" s="4" t="s">
        <v>53</v>
      </c>
      <c r="C37" s="3" t="s">
        <v>10</v>
      </c>
      <c r="D37" s="3" t="s">
        <v>53</v>
      </c>
      <c r="E37" s="3" t="n">
        <v>1</v>
      </c>
    </row>
    <row r="38" customFormat="false" ht="15" hidden="false" customHeight="false" outlineLevel="0" collapsed="false">
      <c r="A38" s="3" t="s">
        <v>8</v>
      </c>
      <c r="B38" s="4" t="s">
        <v>54</v>
      </c>
      <c r="C38" s="3" t="s">
        <v>10</v>
      </c>
      <c r="D38" s="3" t="s">
        <v>54</v>
      </c>
      <c r="E38" s="3" t="n">
        <v>3</v>
      </c>
    </row>
    <row r="39" customFormat="false" ht="15" hidden="false" customHeight="false" outlineLevel="0" collapsed="false">
      <c r="A39" s="3" t="s">
        <v>8</v>
      </c>
      <c r="B39" s="4" t="s">
        <v>55</v>
      </c>
      <c r="C39" s="3" t="s">
        <v>10</v>
      </c>
      <c r="D39" s="3" t="s">
        <v>55</v>
      </c>
      <c r="E39" s="3" t="n">
        <v>22</v>
      </c>
    </row>
    <row r="40" customFormat="false" ht="15" hidden="false" customHeight="false" outlineLevel="0" collapsed="false">
      <c r="A40" s="3" t="s">
        <v>8</v>
      </c>
      <c r="B40" s="4" t="s">
        <v>56</v>
      </c>
      <c r="C40" s="3" t="s">
        <v>24</v>
      </c>
      <c r="D40" s="3" t="s">
        <v>57</v>
      </c>
      <c r="E40" s="3" t="n">
        <v>3</v>
      </c>
    </row>
    <row r="41" customFormat="false" ht="15" hidden="false" customHeight="false" outlineLevel="0" collapsed="false">
      <c r="A41" s="3" t="s">
        <v>8</v>
      </c>
      <c r="B41" s="4" t="s">
        <v>58</v>
      </c>
      <c r="C41" s="3" t="s">
        <v>24</v>
      </c>
      <c r="D41" s="3" t="s">
        <v>59</v>
      </c>
      <c r="E41" s="3" t="n">
        <v>6</v>
      </c>
    </row>
    <row r="42" customFormat="false" ht="15" hidden="false" customHeight="false" outlineLevel="0" collapsed="false">
      <c r="A42" s="3" t="s">
        <v>8</v>
      </c>
      <c r="B42" s="4" t="s">
        <v>60</v>
      </c>
      <c r="C42" s="3" t="s">
        <v>10</v>
      </c>
      <c r="D42" s="3" t="s">
        <v>60</v>
      </c>
      <c r="E42" s="3" t="n">
        <v>7</v>
      </c>
    </row>
    <row r="43" customFormat="false" ht="15" hidden="false" customHeight="false" outlineLevel="0" collapsed="false">
      <c r="A43" s="3" t="s">
        <v>8</v>
      </c>
      <c r="B43" s="4" t="s">
        <v>61</v>
      </c>
      <c r="C43" s="3" t="s">
        <v>10</v>
      </c>
      <c r="D43" s="3" t="s">
        <v>61</v>
      </c>
      <c r="E43" s="3" t="n">
        <v>8</v>
      </c>
    </row>
    <row r="44" customFormat="false" ht="15" hidden="false" customHeight="false" outlineLevel="0" collapsed="false">
      <c r="A44" s="3" t="s">
        <v>8</v>
      </c>
      <c r="B44" s="4" t="s">
        <v>62</v>
      </c>
      <c r="C44" s="3" t="s">
        <v>10</v>
      </c>
      <c r="D44" s="3" t="s">
        <v>62</v>
      </c>
      <c r="E44" s="3" t="n">
        <v>14</v>
      </c>
    </row>
    <row r="45" customFormat="false" ht="15" hidden="false" customHeight="false" outlineLevel="0" collapsed="false">
      <c r="A45" s="3" t="s">
        <v>8</v>
      </c>
      <c r="B45" s="4" t="s">
        <v>63</v>
      </c>
      <c r="C45" s="3" t="s">
        <v>18</v>
      </c>
      <c r="D45" s="3" t="s">
        <v>63</v>
      </c>
      <c r="E45" s="3" t="n">
        <v>9</v>
      </c>
    </row>
    <row r="46" customFormat="false" ht="15" hidden="false" customHeight="false" outlineLevel="0" collapsed="false">
      <c r="A46" s="3" t="s">
        <v>8</v>
      </c>
      <c r="B46" s="4" t="s">
        <v>64</v>
      </c>
      <c r="C46" s="3" t="s">
        <v>18</v>
      </c>
      <c r="D46" s="3" t="s">
        <v>64</v>
      </c>
      <c r="E46" s="3" t="n">
        <v>18</v>
      </c>
    </row>
    <row r="47" customFormat="false" ht="15" hidden="false" customHeight="false" outlineLevel="0" collapsed="false">
      <c r="A47" s="3" t="s">
        <v>8</v>
      </c>
      <c r="B47" s="4" t="s">
        <v>65</v>
      </c>
      <c r="C47" s="3" t="s">
        <v>18</v>
      </c>
      <c r="D47" s="3" t="s">
        <v>65</v>
      </c>
      <c r="E47" s="3" t="n">
        <v>3</v>
      </c>
    </row>
    <row r="48" customFormat="false" ht="15" hidden="false" customHeight="false" outlineLevel="0" collapsed="false">
      <c r="A48" s="3" t="s">
        <v>8</v>
      </c>
      <c r="B48" s="4" t="s">
        <v>66</v>
      </c>
      <c r="C48" s="3" t="s">
        <v>12</v>
      </c>
      <c r="D48" s="3" t="s">
        <v>67</v>
      </c>
      <c r="E48" s="3" t="n">
        <v>2</v>
      </c>
    </row>
    <row r="49" customFormat="false" ht="15" hidden="false" customHeight="false" outlineLevel="0" collapsed="false">
      <c r="A49" s="3" t="s">
        <v>8</v>
      </c>
      <c r="B49" s="4" t="s">
        <v>68</v>
      </c>
      <c r="C49" s="3" t="s">
        <v>24</v>
      </c>
      <c r="D49" s="3" t="s">
        <v>69</v>
      </c>
      <c r="E49" s="3" t="n">
        <v>10</v>
      </c>
    </row>
    <row r="50" customFormat="false" ht="15" hidden="false" customHeight="false" outlineLevel="0" collapsed="false">
      <c r="A50" s="3" t="s">
        <v>8</v>
      </c>
      <c r="B50" s="4" t="s">
        <v>70</v>
      </c>
      <c r="C50" s="3" t="s">
        <v>24</v>
      </c>
      <c r="D50" s="3" t="s">
        <v>71</v>
      </c>
      <c r="E50" s="3" t="n">
        <v>2</v>
      </c>
    </row>
    <row r="51" customFormat="false" ht="15" hidden="false" customHeight="false" outlineLevel="0" collapsed="false">
      <c r="A51" s="3" t="s">
        <v>8</v>
      </c>
      <c r="B51" s="4" t="s">
        <v>72</v>
      </c>
      <c r="C51" s="3" t="s">
        <v>18</v>
      </c>
      <c r="D51" s="3" t="s">
        <v>72</v>
      </c>
      <c r="E51" s="3" t="n">
        <v>6</v>
      </c>
    </row>
    <row r="52" customFormat="false" ht="15" hidden="false" customHeight="false" outlineLevel="0" collapsed="false">
      <c r="A52" s="3" t="s">
        <v>8</v>
      </c>
      <c r="B52" s="4" t="s">
        <v>73</v>
      </c>
      <c r="C52" s="3" t="s">
        <v>18</v>
      </c>
      <c r="D52" s="3" t="s">
        <v>73</v>
      </c>
      <c r="E52" s="3" t="n">
        <v>4</v>
      </c>
    </row>
    <row r="53" customFormat="false" ht="15" hidden="false" customHeight="false" outlineLevel="0" collapsed="false">
      <c r="A53" s="3" t="s">
        <v>8</v>
      </c>
      <c r="B53" s="4" t="s">
        <v>74</v>
      </c>
      <c r="C53" s="3" t="s">
        <v>18</v>
      </c>
      <c r="D53" s="3" t="s">
        <v>74</v>
      </c>
      <c r="E53" s="3" t="n">
        <v>1</v>
      </c>
    </row>
    <row r="54" customFormat="false" ht="15" hidden="false" customHeight="false" outlineLevel="0" collapsed="false">
      <c r="A54" s="3" t="s">
        <v>8</v>
      </c>
      <c r="B54" s="4" t="s">
        <v>75</v>
      </c>
      <c r="C54" s="3" t="s">
        <v>10</v>
      </c>
      <c r="D54" s="3" t="s">
        <v>75</v>
      </c>
      <c r="E54" s="3" t="n">
        <v>4</v>
      </c>
    </row>
    <row r="55" customFormat="false" ht="15" hidden="false" customHeight="false" outlineLevel="0" collapsed="false">
      <c r="A55" s="3" t="s">
        <v>8</v>
      </c>
      <c r="B55" s="4" t="s">
        <v>76</v>
      </c>
      <c r="C55" s="3" t="s">
        <v>12</v>
      </c>
      <c r="D55" s="3" t="s">
        <v>77</v>
      </c>
      <c r="E55" s="3" t="n">
        <v>2</v>
      </c>
    </row>
    <row r="56" customFormat="false" ht="15" hidden="false" customHeight="false" outlineLevel="0" collapsed="false">
      <c r="A56" s="3" t="s">
        <v>8</v>
      </c>
      <c r="B56" s="4" t="s">
        <v>78</v>
      </c>
      <c r="C56" s="3" t="s">
        <v>10</v>
      </c>
      <c r="D56" s="3" t="s">
        <v>78</v>
      </c>
      <c r="E56" s="3" t="n">
        <v>1</v>
      </c>
    </row>
    <row r="57" customFormat="false" ht="15" hidden="false" customHeight="false" outlineLevel="0" collapsed="false">
      <c r="A57" s="3" t="s">
        <v>8</v>
      </c>
      <c r="B57" s="4" t="s">
        <v>79</v>
      </c>
      <c r="C57" s="3" t="s">
        <v>10</v>
      </c>
      <c r="D57" s="3" t="s">
        <v>79</v>
      </c>
      <c r="E57" s="3" t="n">
        <v>13</v>
      </c>
    </row>
    <row r="58" customFormat="false" ht="15" hidden="false" customHeight="false" outlineLevel="0" collapsed="false">
      <c r="A58" s="3" t="s">
        <v>8</v>
      </c>
      <c r="B58" s="4" t="s">
        <v>80</v>
      </c>
      <c r="C58" s="3" t="s">
        <v>18</v>
      </c>
      <c r="D58" s="3" t="s">
        <v>80</v>
      </c>
      <c r="E58" s="3" t="n">
        <v>4</v>
      </c>
    </row>
    <row r="59" customFormat="false" ht="15" hidden="false" customHeight="false" outlineLevel="0" collapsed="false">
      <c r="A59" s="3" t="s">
        <v>8</v>
      </c>
      <c r="B59" s="4" t="s">
        <v>81</v>
      </c>
      <c r="C59" s="3" t="s">
        <v>18</v>
      </c>
      <c r="D59" s="3" t="s">
        <v>81</v>
      </c>
      <c r="E59" s="3" t="n">
        <v>1</v>
      </c>
    </row>
    <row r="60" customFormat="false" ht="15" hidden="false" customHeight="false" outlineLevel="0" collapsed="false">
      <c r="A60" s="3" t="s">
        <v>8</v>
      </c>
      <c r="B60" s="4" t="s">
        <v>82</v>
      </c>
      <c r="C60" s="3" t="s">
        <v>10</v>
      </c>
      <c r="D60" s="3" t="s">
        <v>82</v>
      </c>
      <c r="E60" s="3" t="n">
        <v>5</v>
      </c>
    </row>
    <row r="61" customFormat="false" ht="15" hidden="false" customHeight="false" outlineLevel="0" collapsed="false">
      <c r="A61" s="3" t="s">
        <v>8</v>
      </c>
      <c r="B61" s="4" t="s">
        <v>83</v>
      </c>
      <c r="C61" s="3" t="s">
        <v>10</v>
      </c>
      <c r="D61" s="3" t="s">
        <v>83</v>
      </c>
      <c r="E61" s="3" t="n">
        <v>6</v>
      </c>
    </row>
    <row r="62" customFormat="false" ht="15" hidden="false" customHeight="false" outlineLevel="0" collapsed="false">
      <c r="A62" s="3" t="s">
        <v>8</v>
      </c>
      <c r="B62" s="4" t="s">
        <v>84</v>
      </c>
      <c r="C62" s="3" t="s">
        <v>18</v>
      </c>
      <c r="D62" s="3" t="s">
        <v>84</v>
      </c>
      <c r="E62" s="3" t="n">
        <v>9</v>
      </c>
    </row>
    <row r="63" customFormat="false" ht="15" hidden="false" customHeight="false" outlineLevel="0" collapsed="false">
      <c r="A63" s="3" t="s">
        <v>8</v>
      </c>
      <c r="B63" s="4" t="s">
        <v>85</v>
      </c>
      <c r="C63" s="3" t="s">
        <v>10</v>
      </c>
      <c r="D63" s="3" t="s">
        <v>85</v>
      </c>
      <c r="E63" s="3" t="n">
        <v>4</v>
      </c>
    </row>
    <row r="64" customFormat="false" ht="15" hidden="false" customHeight="false" outlineLevel="0" collapsed="false">
      <c r="A64" s="3" t="s">
        <v>8</v>
      </c>
      <c r="B64" s="4" t="s">
        <v>86</v>
      </c>
      <c r="C64" s="3" t="s">
        <v>10</v>
      </c>
      <c r="D64" s="3" t="s">
        <v>86</v>
      </c>
      <c r="E64" s="3" t="n">
        <v>3</v>
      </c>
    </row>
    <row r="65" customFormat="false" ht="15" hidden="false" customHeight="false" outlineLevel="0" collapsed="false">
      <c r="A65" s="3" t="s">
        <v>8</v>
      </c>
      <c r="B65" s="4" t="s">
        <v>87</v>
      </c>
      <c r="C65" s="3" t="s">
        <v>24</v>
      </c>
      <c r="D65" s="3" t="s">
        <v>88</v>
      </c>
      <c r="E65" s="3" t="n">
        <v>5</v>
      </c>
    </row>
    <row r="66" customFormat="false" ht="15" hidden="false" customHeight="false" outlineLevel="0" collapsed="false">
      <c r="A66" s="3" t="s">
        <v>8</v>
      </c>
      <c r="B66" s="4" t="s">
        <v>89</v>
      </c>
      <c r="C66" s="3" t="s">
        <v>18</v>
      </c>
      <c r="D66" s="3" t="s">
        <v>89</v>
      </c>
      <c r="E66" s="3" t="n">
        <v>2</v>
      </c>
    </row>
    <row r="67" customFormat="false" ht="15" hidden="false" customHeight="false" outlineLevel="0" collapsed="false">
      <c r="A67" s="3" t="s">
        <v>8</v>
      </c>
      <c r="B67" s="4" t="s">
        <v>90</v>
      </c>
      <c r="C67" s="3" t="s">
        <v>18</v>
      </c>
      <c r="D67" s="3" t="s">
        <v>90</v>
      </c>
      <c r="E67" s="3" t="n">
        <v>2</v>
      </c>
    </row>
    <row r="68" customFormat="false" ht="15" hidden="false" customHeight="false" outlineLevel="0" collapsed="false">
      <c r="A68" s="3" t="s">
        <v>8</v>
      </c>
      <c r="B68" s="4" t="s">
        <v>91</v>
      </c>
      <c r="C68" s="3" t="s">
        <v>18</v>
      </c>
      <c r="D68" s="3" t="s">
        <v>91</v>
      </c>
      <c r="E68" s="3" t="n">
        <v>4</v>
      </c>
    </row>
    <row r="69" customFormat="false" ht="15" hidden="false" customHeight="false" outlineLevel="0" collapsed="false">
      <c r="A69" s="3" t="s">
        <v>8</v>
      </c>
      <c r="B69" s="4" t="s">
        <v>92</v>
      </c>
      <c r="C69" s="3" t="s">
        <v>18</v>
      </c>
      <c r="D69" s="3" t="s">
        <v>92</v>
      </c>
      <c r="E69" s="3" t="n">
        <v>1</v>
      </c>
    </row>
    <row r="70" customFormat="false" ht="15" hidden="false" customHeight="false" outlineLevel="0" collapsed="false">
      <c r="A70" s="3" t="s">
        <v>8</v>
      </c>
      <c r="B70" s="4" t="s">
        <v>93</v>
      </c>
      <c r="C70" s="3" t="s">
        <v>18</v>
      </c>
      <c r="D70" s="3" t="s">
        <v>93</v>
      </c>
      <c r="E70" s="3" t="n">
        <v>12</v>
      </c>
    </row>
    <row r="71" customFormat="false" ht="15" hidden="false" customHeight="false" outlineLevel="0" collapsed="false">
      <c r="A71" s="3" t="s">
        <v>8</v>
      </c>
      <c r="B71" s="4" t="s">
        <v>94</v>
      </c>
      <c r="C71" s="3" t="s">
        <v>18</v>
      </c>
      <c r="D71" s="3" t="s">
        <v>94</v>
      </c>
      <c r="E71" s="3" t="n">
        <v>2</v>
      </c>
    </row>
    <row r="72" customFormat="false" ht="15" hidden="false" customHeight="false" outlineLevel="0" collapsed="false">
      <c r="A72" s="3" t="s">
        <v>8</v>
      </c>
      <c r="B72" s="4" t="s">
        <v>95</v>
      </c>
      <c r="C72" s="3" t="s">
        <v>24</v>
      </c>
      <c r="D72" s="3" t="s">
        <v>96</v>
      </c>
      <c r="E72" s="3" t="n">
        <v>2</v>
      </c>
    </row>
    <row r="73" customFormat="false" ht="15" hidden="false" customHeight="false" outlineLevel="0" collapsed="false">
      <c r="A73" s="3" t="s">
        <v>8</v>
      </c>
      <c r="B73" s="4" t="s">
        <v>97</v>
      </c>
      <c r="C73" s="3" t="s">
        <v>10</v>
      </c>
      <c r="D73" s="3" t="s">
        <v>97</v>
      </c>
      <c r="E73" s="3" t="n">
        <v>2</v>
      </c>
    </row>
    <row r="74" customFormat="false" ht="15" hidden="false" customHeight="false" outlineLevel="0" collapsed="false">
      <c r="A74" s="3" t="s">
        <v>8</v>
      </c>
      <c r="B74" s="4" t="s">
        <v>98</v>
      </c>
      <c r="C74" s="3" t="s">
        <v>18</v>
      </c>
      <c r="D74" s="3" t="s">
        <v>98</v>
      </c>
      <c r="E74" s="3" t="n">
        <v>2</v>
      </c>
    </row>
    <row r="75" customFormat="false" ht="15" hidden="false" customHeight="false" outlineLevel="0" collapsed="false">
      <c r="A75" s="3" t="s">
        <v>8</v>
      </c>
      <c r="B75" s="4" t="s">
        <v>99</v>
      </c>
      <c r="C75" s="3" t="s">
        <v>10</v>
      </c>
      <c r="D75" s="3" t="s">
        <v>99</v>
      </c>
      <c r="E75" s="3" t="n">
        <v>6</v>
      </c>
    </row>
    <row r="76" customFormat="false" ht="15" hidden="false" customHeight="false" outlineLevel="0" collapsed="false">
      <c r="A76" s="3" t="s">
        <v>8</v>
      </c>
      <c r="B76" s="4" t="s">
        <v>100</v>
      </c>
      <c r="C76" s="3" t="s">
        <v>18</v>
      </c>
      <c r="D76" s="3" t="s">
        <v>100</v>
      </c>
      <c r="E76" s="3" t="n">
        <v>8</v>
      </c>
    </row>
    <row r="77" customFormat="false" ht="15" hidden="false" customHeight="false" outlineLevel="0" collapsed="false">
      <c r="A77" s="3" t="s">
        <v>8</v>
      </c>
      <c r="B77" s="4" t="s">
        <v>101</v>
      </c>
      <c r="C77" s="3" t="s">
        <v>24</v>
      </c>
      <c r="D77" s="3" t="s">
        <v>102</v>
      </c>
      <c r="E77" s="3" t="n">
        <v>2</v>
      </c>
    </row>
    <row r="78" customFormat="false" ht="15" hidden="false" customHeight="false" outlineLevel="0" collapsed="false">
      <c r="A78" s="3" t="s">
        <v>8</v>
      </c>
      <c r="B78" s="4" t="s">
        <v>103</v>
      </c>
      <c r="C78" s="3" t="s">
        <v>10</v>
      </c>
      <c r="D78" s="3" t="s">
        <v>103</v>
      </c>
      <c r="E78" s="3" t="n">
        <v>1</v>
      </c>
    </row>
    <row r="79" customFormat="false" ht="15" hidden="false" customHeight="false" outlineLevel="0" collapsed="false">
      <c r="A79" s="3" t="s">
        <v>8</v>
      </c>
      <c r="B79" s="4" t="s">
        <v>104</v>
      </c>
      <c r="C79" s="3" t="s">
        <v>12</v>
      </c>
      <c r="D79" s="3" t="s">
        <v>105</v>
      </c>
      <c r="E79" s="3" t="n">
        <v>1</v>
      </c>
    </row>
    <row r="80" customFormat="false" ht="15" hidden="false" customHeight="false" outlineLevel="0" collapsed="false">
      <c r="A80" s="3" t="s">
        <v>8</v>
      </c>
      <c r="B80" s="4" t="s">
        <v>106</v>
      </c>
      <c r="C80" s="3" t="s">
        <v>18</v>
      </c>
      <c r="D80" s="3" t="s">
        <v>106</v>
      </c>
      <c r="E80" s="3" t="n">
        <v>1</v>
      </c>
    </row>
    <row r="81" customFormat="false" ht="15" hidden="false" customHeight="false" outlineLevel="0" collapsed="false">
      <c r="A81" s="3" t="s">
        <v>8</v>
      </c>
      <c r="B81" s="4" t="s">
        <v>107</v>
      </c>
      <c r="C81" s="3" t="s">
        <v>12</v>
      </c>
      <c r="D81" s="3" t="s">
        <v>108</v>
      </c>
      <c r="E81" s="3" t="n">
        <v>1</v>
      </c>
    </row>
    <row r="82" customFormat="false" ht="15" hidden="false" customHeight="false" outlineLevel="0" collapsed="false">
      <c r="A82" s="3" t="s">
        <v>8</v>
      </c>
      <c r="B82" s="4" t="s">
        <v>109</v>
      </c>
      <c r="C82" s="3" t="s">
        <v>18</v>
      </c>
      <c r="D82" s="3" t="s">
        <v>109</v>
      </c>
      <c r="E82" s="3" t="n">
        <v>1</v>
      </c>
    </row>
    <row r="83" customFormat="false" ht="15" hidden="false" customHeight="false" outlineLevel="0" collapsed="false">
      <c r="A83" s="3" t="s">
        <v>8</v>
      </c>
      <c r="B83" s="4" t="s">
        <v>110</v>
      </c>
      <c r="C83" s="3" t="s">
        <v>12</v>
      </c>
      <c r="D83" s="3" t="s">
        <v>111</v>
      </c>
      <c r="E83" s="3" t="n">
        <v>1</v>
      </c>
    </row>
    <row r="84" customFormat="false" ht="15" hidden="false" customHeight="false" outlineLevel="0" collapsed="false">
      <c r="A84" s="3" t="s">
        <v>8</v>
      </c>
      <c r="B84" s="4" t="s">
        <v>112</v>
      </c>
      <c r="C84" s="3" t="s">
        <v>12</v>
      </c>
      <c r="D84" s="3" t="s">
        <v>113</v>
      </c>
      <c r="E84" s="3" t="n">
        <v>1</v>
      </c>
    </row>
    <row r="85" customFormat="false" ht="15" hidden="false" customHeight="false" outlineLevel="0" collapsed="false">
      <c r="A85" s="3" t="s">
        <v>8</v>
      </c>
      <c r="B85" s="4" t="s">
        <v>114</v>
      </c>
      <c r="C85" s="3" t="s">
        <v>18</v>
      </c>
      <c r="D85" s="3" t="s">
        <v>114</v>
      </c>
      <c r="E85" s="3" t="n">
        <v>7</v>
      </c>
    </row>
    <row r="86" customFormat="false" ht="15" hidden="false" customHeight="false" outlineLevel="0" collapsed="false">
      <c r="A86" s="3" t="s">
        <v>8</v>
      </c>
      <c r="B86" s="4" t="s">
        <v>115</v>
      </c>
      <c r="C86" s="3" t="s">
        <v>24</v>
      </c>
      <c r="D86" s="3" t="s">
        <v>116</v>
      </c>
      <c r="E86" s="3" t="n">
        <v>1</v>
      </c>
    </row>
    <row r="87" customFormat="false" ht="15" hidden="false" customHeight="false" outlineLevel="0" collapsed="false">
      <c r="A87" s="3" t="s">
        <v>8</v>
      </c>
      <c r="B87" s="4" t="s">
        <v>117</v>
      </c>
      <c r="C87" s="3" t="s">
        <v>24</v>
      </c>
      <c r="D87" s="3" t="s">
        <v>118</v>
      </c>
      <c r="E87" s="3" t="n">
        <v>1</v>
      </c>
    </row>
    <row r="88" customFormat="false" ht="15" hidden="false" customHeight="false" outlineLevel="0" collapsed="false">
      <c r="A88" s="3" t="s">
        <v>8</v>
      </c>
      <c r="B88" s="4" t="s">
        <v>119</v>
      </c>
      <c r="C88" s="3" t="s">
        <v>10</v>
      </c>
      <c r="D88" s="3" t="s">
        <v>119</v>
      </c>
      <c r="E88" s="3" t="n">
        <v>1</v>
      </c>
    </row>
    <row r="89" customFormat="false" ht="15" hidden="false" customHeight="false" outlineLevel="0" collapsed="false">
      <c r="A89" s="5" t="s">
        <v>120</v>
      </c>
      <c r="B89" s="6" t="s">
        <v>121</v>
      </c>
      <c r="C89" s="5" t="s">
        <v>12</v>
      </c>
      <c r="D89" s="5" t="s">
        <v>122</v>
      </c>
      <c r="E89" s="5" t="n">
        <v>23</v>
      </c>
    </row>
    <row r="90" customFormat="false" ht="15" hidden="false" customHeight="false" outlineLevel="0" collapsed="false">
      <c r="A90" s="5" t="s">
        <v>120</v>
      </c>
      <c r="B90" s="6" t="s">
        <v>123</v>
      </c>
      <c r="C90" s="5" t="s">
        <v>18</v>
      </c>
      <c r="D90" s="5" t="s">
        <v>123</v>
      </c>
      <c r="E90" s="5" t="n">
        <v>19</v>
      </c>
    </row>
    <row r="91" customFormat="false" ht="15" hidden="false" customHeight="false" outlineLevel="0" collapsed="false">
      <c r="A91" s="5" t="s">
        <v>120</v>
      </c>
      <c r="B91" s="6" t="s">
        <v>124</v>
      </c>
      <c r="C91" s="5" t="s">
        <v>10</v>
      </c>
      <c r="D91" s="5" t="s">
        <v>124</v>
      </c>
      <c r="E91" s="5" t="n">
        <v>16</v>
      </c>
    </row>
    <row r="92" customFormat="false" ht="15" hidden="false" customHeight="false" outlineLevel="0" collapsed="false">
      <c r="A92" s="5" t="s">
        <v>120</v>
      </c>
      <c r="B92" s="6" t="s">
        <v>125</v>
      </c>
      <c r="C92" s="5" t="s">
        <v>10</v>
      </c>
      <c r="D92" s="5" t="s">
        <v>125</v>
      </c>
      <c r="E92" s="5" t="n">
        <v>1</v>
      </c>
    </row>
    <row r="93" customFormat="false" ht="15" hidden="false" customHeight="false" outlineLevel="0" collapsed="false">
      <c r="A93" s="5" t="s">
        <v>120</v>
      </c>
      <c r="B93" s="6" t="s">
        <v>126</v>
      </c>
      <c r="C93" s="5" t="s">
        <v>12</v>
      </c>
      <c r="D93" s="5" t="s">
        <v>127</v>
      </c>
      <c r="E93" s="5" t="n">
        <v>6</v>
      </c>
    </row>
    <row r="94" customFormat="false" ht="15" hidden="false" customHeight="false" outlineLevel="0" collapsed="false">
      <c r="A94" s="5" t="s">
        <v>120</v>
      </c>
      <c r="B94" s="6" t="s">
        <v>128</v>
      </c>
      <c r="C94" s="5" t="s">
        <v>18</v>
      </c>
      <c r="D94" s="5" t="s">
        <v>128</v>
      </c>
      <c r="E94" s="5" t="n">
        <v>3</v>
      </c>
    </row>
    <row r="95" customFormat="false" ht="15" hidden="false" customHeight="false" outlineLevel="0" collapsed="false">
      <c r="A95" s="5" t="s">
        <v>120</v>
      </c>
      <c r="B95" s="6" t="s">
        <v>129</v>
      </c>
      <c r="C95" s="5" t="s">
        <v>18</v>
      </c>
      <c r="D95" s="5" t="s">
        <v>129</v>
      </c>
      <c r="E95" s="5" t="n">
        <v>18</v>
      </c>
    </row>
    <row r="96" customFormat="false" ht="15" hidden="false" customHeight="false" outlineLevel="0" collapsed="false">
      <c r="A96" s="5" t="s">
        <v>120</v>
      </c>
      <c r="B96" s="6" t="s">
        <v>130</v>
      </c>
      <c r="C96" s="5" t="s">
        <v>24</v>
      </c>
      <c r="D96" s="5" t="s">
        <v>131</v>
      </c>
      <c r="E96" s="5" t="n">
        <v>15</v>
      </c>
    </row>
    <row r="97" customFormat="false" ht="15" hidden="false" customHeight="false" outlineLevel="0" collapsed="false">
      <c r="A97" s="5" t="s">
        <v>120</v>
      </c>
      <c r="B97" s="6" t="s">
        <v>132</v>
      </c>
      <c r="C97" s="5" t="s">
        <v>18</v>
      </c>
      <c r="D97" s="5" t="s">
        <v>132</v>
      </c>
      <c r="E97" s="5" t="n">
        <v>7</v>
      </c>
    </row>
    <row r="98" customFormat="false" ht="15" hidden="false" customHeight="false" outlineLevel="0" collapsed="false">
      <c r="A98" s="5" t="s">
        <v>120</v>
      </c>
      <c r="B98" s="6" t="s">
        <v>133</v>
      </c>
      <c r="C98" s="5" t="s">
        <v>12</v>
      </c>
      <c r="D98" s="5" t="s">
        <v>134</v>
      </c>
      <c r="E98" s="5" t="n">
        <v>14</v>
      </c>
    </row>
    <row r="99" customFormat="false" ht="15" hidden="false" customHeight="false" outlineLevel="0" collapsed="false">
      <c r="A99" s="5" t="s">
        <v>120</v>
      </c>
      <c r="B99" s="6" t="s">
        <v>135</v>
      </c>
      <c r="C99" s="5" t="s">
        <v>12</v>
      </c>
      <c r="D99" s="5" t="s">
        <v>136</v>
      </c>
      <c r="E99" s="5" t="n">
        <v>5</v>
      </c>
    </row>
    <row r="100" customFormat="false" ht="15" hidden="false" customHeight="false" outlineLevel="0" collapsed="false">
      <c r="A100" s="5" t="s">
        <v>120</v>
      </c>
      <c r="B100" s="6" t="s">
        <v>137</v>
      </c>
      <c r="C100" s="5" t="s">
        <v>24</v>
      </c>
      <c r="D100" s="5" t="s">
        <v>138</v>
      </c>
      <c r="E100" s="5" t="n">
        <v>19</v>
      </c>
    </row>
    <row r="101" customFormat="false" ht="15" hidden="false" customHeight="false" outlineLevel="0" collapsed="false">
      <c r="A101" s="5" t="s">
        <v>120</v>
      </c>
      <c r="B101" s="6" t="s">
        <v>139</v>
      </c>
      <c r="C101" s="5" t="s">
        <v>24</v>
      </c>
      <c r="D101" s="5" t="s">
        <v>140</v>
      </c>
      <c r="E101" s="5" t="n">
        <v>5</v>
      </c>
    </row>
    <row r="102" customFormat="false" ht="15" hidden="false" customHeight="false" outlineLevel="0" collapsed="false">
      <c r="A102" s="5" t="s">
        <v>120</v>
      </c>
      <c r="B102" s="6" t="s">
        <v>141</v>
      </c>
      <c r="C102" s="5" t="s">
        <v>36</v>
      </c>
      <c r="D102" s="5" t="s">
        <v>142</v>
      </c>
      <c r="E102" s="5" t="n">
        <v>18</v>
      </c>
    </row>
    <row r="103" customFormat="false" ht="15" hidden="false" customHeight="false" outlineLevel="0" collapsed="false">
      <c r="A103" s="5" t="s">
        <v>120</v>
      </c>
      <c r="B103" s="6" t="s">
        <v>143</v>
      </c>
      <c r="C103" s="5" t="s">
        <v>12</v>
      </c>
      <c r="D103" s="5" t="s">
        <v>144</v>
      </c>
      <c r="E103" s="5" t="n">
        <v>3</v>
      </c>
    </row>
    <row r="104" customFormat="false" ht="15" hidden="false" customHeight="false" outlineLevel="0" collapsed="false">
      <c r="A104" s="5" t="s">
        <v>120</v>
      </c>
      <c r="B104" s="6" t="s">
        <v>145</v>
      </c>
      <c r="C104" s="5" t="s">
        <v>18</v>
      </c>
      <c r="D104" s="5" t="s">
        <v>145</v>
      </c>
      <c r="E104" s="5" t="n">
        <v>9</v>
      </c>
    </row>
    <row r="105" customFormat="false" ht="15" hidden="false" customHeight="false" outlineLevel="0" collapsed="false">
      <c r="A105" s="5" t="s">
        <v>120</v>
      </c>
      <c r="B105" s="6" t="s">
        <v>146</v>
      </c>
      <c r="C105" s="5" t="s">
        <v>18</v>
      </c>
      <c r="D105" s="5" t="s">
        <v>146</v>
      </c>
      <c r="E105" s="5" t="n">
        <v>14</v>
      </c>
    </row>
    <row r="106" customFormat="false" ht="15" hidden="false" customHeight="false" outlineLevel="0" collapsed="false">
      <c r="A106" s="5" t="s">
        <v>120</v>
      </c>
      <c r="B106" s="6" t="s">
        <v>147</v>
      </c>
      <c r="C106" s="5" t="s">
        <v>18</v>
      </c>
      <c r="D106" s="5" t="s">
        <v>147</v>
      </c>
      <c r="E106" s="5" t="n">
        <v>2</v>
      </c>
    </row>
    <row r="107" customFormat="false" ht="15" hidden="false" customHeight="false" outlineLevel="0" collapsed="false">
      <c r="A107" s="5" t="s">
        <v>120</v>
      </c>
      <c r="B107" s="6" t="s">
        <v>148</v>
      </c>
      <c r="C107" s="5" t="s">
        <v>18</v>
      </c>
      <c r="D107" s="5" t="s">
        <v>148</v>
      </c>
      <c r="E107" s="5" t="n">
        <v>9</v>
      </c>
    </row>
    <row r="108" customFormat="false" ht="15" hidden="false" customHeight="false" outlineLevel="0" collapsed="false">
      <c r="A108" s="5" t="s">
        <v>120</v>
      </c>
      <c r="B108" s="6" t="s">
        <v>149</v>
      </c>
      <c r="C108" s="5" t="s">
        <v>18</v>
      </c>
      <c r="D108" s="5" t="s">
        <v>149</v>
      </c>
      <c r="E108" s="5" t="n">
        <v>5</v>
      </c>
    </row>
    <row r="109" customFormat="false" ht="15" hidden="false" customHeight="false" outlineLevel="0" collapsed="false">
      <c r="A109" s="5" t="s">
        <v>120</v>
      </c>
      <c r="B109" s="6" t="s">
        <v>150</v>
      </c>
      <c r="C109" s="5" t="s">
        <v>18</v>
      </c>
      <c r="D109" s="5" t="s">
        <v>150</v>
      </c>
      <c r="E109" s="5" t="n">
        <v>12</v>
      </c>
    </row>
    <row r="110" customFormat="false" ht="15" hidden="false" customHeight="false" outlineLevel="0" collapsed="false">
      <c r="A110" s="5" t="s">
        <v>120</v>
      </c>
      <c r="B110" s="6" t="s">
        <v>151</v>
      </c>
      <c r="C110" s="5" t="s">
        <v>12</v>
      </c>
      <c r="D110" s="5" t="s">
        <v>152</v>
      </c>
      <c r="E110" s="5" t="n">
        <v>5</v>
      </c>
    </row>
    <row r="111" customFormat="false" ht="15" hidden="false" customHeight="false" outlineLevel="0" collapsed="false">
      <c r="A111" s="5" t="s">
        <v>120</v>
      </c>
      <c r="B111" s="6" t="s">
        <v>153</v>
      </c>
      <c r="C111" s="5" t="s">
        <v>18</v>
      </c>
      <c r="D111" s="5" t="s">
        <v>153</v>
      </c>
      <c r="E111" s="5" t="n">
        <v>3</v>
      </c>
    </row>
    <row r="112" customFormat="false" ht="15" hidden="false" customHeight="false" outlineLevel="0" collapsed="false">
      <c r="A112" s="5" t="s">
        <v>120</v>
      </c>
      <c r="B112" s="6" t="s">
        <v>154</v>
      </c>
      <c r="C112" s="5" t="s">
        <v>24</v>
      </c>
      <c r="D112" s="5" t="s">
        <v>155</v>
      </c>
      <c r="E112" s="5" t="n">
        <v>12</v>
      </c>
    </row>
    <row r="113" customFormat="false" ht="15" hidden="false" customHeight="false" outlineLevel="0" collapsed="false">
      <c r="A113" s="5" t="s">
        <v>120</v>
      </c>
      <c r="B113" s="6" t="s">
        <v>156</v>
      </c>
      <c r="C113" s="5" t="s">
        <v>18</v>
      </c>
      <c r="D113" s="5" t="s">
        <v>156</v>
      </c>
      <c r="E113" s="5" t="n">
        <v>4</v>
      </c>
    </row>
    <row r="114" customFormat="false" ht="15" hidden="false" customHeight="false" outlineLevel="0" collapsed="false">
      <c r="A114" s="5" t="s">
        <v>120</v>
      </c>
      <c r="B114" s="6" t="s">
        <v>157</v>
      </c>
      <c r="C114" s="5" t="s">
        <v>18</v>
      </c>
      <c r="D114" s="5" t="s">
        <v>157</v>
      </c>
      <c r="E114" s="5" t="n">
        <v>10</v>
      </c>
    </row>
    <row r="115" customFormat="false" ht="15" hidden="false" customHeight="false" outlineLevel="0" collapsed="false">
      <c r="A115" s="5" t="s">
        <v>120</v>
      </c>
      <c r="B115" s="6" t="s">
        <v>158</v>
      </c>
      <c r="C115" s="5" t="s">
        <v>18</v>
      </c>
      <c r="D115" s="5" t="s">
        <v>158</v>
      </c>
      <c r="E115" s="5" t="n">
        <v>2</v>
      </c>
    </row>
    <row r="116" customFormat="false" ht="15" hidden="false" customHeight="false" outlineLevel="0" collapsed="false">
      <c r="A116" s="5" t="s">
        <v>120</v>
      </c>
      <c r="B116" s="6" t="s">
        <v>159</v>
      </c>
      <c r="C116" s="5" t="s">
        <v>24</v>
      </c>
      <c r="D116" s="5" t="s">
        <v>160</v>
      </c>
      <c r="E116" s="5" t="n">
        <v>21</v>
      </c>
    </row>
    <row r="117" customFormat="false" ht="15" hidden="false" customHeight="false" outlineLevel="0" collapsed="false">
      <c r="A117" s="5" t="s">
        <v>120</v>
      </c>
      <c r="B117" s="6" t="s">
        <v>161</v>
      </c>
      <c r="C117" s="5" t="s">
        <v>24</v>
      </c>
      <c r="D117" s="5" t="s">
        <v>162</v>
      </c>
      <c r="E117" s="5" t="n">
        <v>5</v>
      </c>
    </row>
    <row r="118" customFormat="false" ht="15" hidden="false" customHeight="false" outlineLevel="0" collapsed="false">
      <c r="A118" s="5" t="s">
        <v>120</v>
      </c>
      <c r="B118" s="6" t="s">
        <v>163</v>
      </c>
      <c r="C118" s="5" t="s">
        <v>36</v>
      </c>
      <c r="D118" s="5" t="s">
        <v>164</v>
      </c>
      <c r="E118" s="5" t="n">
        <v>8</v>
      </c>
    </row>
    <row r="119" customFormat="false" ht="15" hidden="false" customHeight="false" outlineLevel="0" collapsed="false">
      <c r="A119" s="5" t="s">
        <v>120</v>
      </c>
      <c r="B119" s="6" t="s">
        <v>165</v>
      </c>
      <c r="C119" s="5" t="s">
        <v>12</v>
      </c>
      <c r="D119" s="5" t="s">
        <v>166</v>
      </c>
      <c r="E119" s="5" t="n">
        <v>7</v>
      </c>
    </row>
    <row r="120" customFormat="false" ht="15" hidden="false" customHeight="false" outlineLevel="0" collapsed="false">
      <c r="A120" s="5" t="s">
        <v>120</v>
      </c>
      <c r="B120" s="6" t="s">
        <v>167</v>
      </c>
      <c r="C120" s="5" t="s">
        <v>12</v>
      </c>
      <c r="D120" s="5" t="s">
        <v>168</v>
      </c>
      <c r="E120" s="5" t="n">
        <v>1</v>
      </c>
    </row>
    <row r="121" customFormat="false" ht="15" hidden="false" customHeight="false" outlineLevel="0" collapsed="false">
      <c r="A121" s="5" t="s">
        <v>120</v>
      </c>
      <c r="B121" s="6" t="s">
        <v>169</v>
      </c>
      <c r="C121" s="5" t="s">
        <v>12</v>
      </c>
      <c r="D121" s="5" t="s">
        <v>170</v>
      </c>
      <c r="E121" s="5" t="n">
        <v>7</v>
      </c>
    </row>
    <row r="122" customFormat="false" ht="15" hidden="false" customHeight="false" outlineLevel="0" collapsed="false">
      <c r="A122" s="5" t="s">
        <v>120</v>
      </c>
      <c r="B122" s="6" t="s">
        <v>171</v>
      </c>
      <c r="C122" s="5" t="s">
        <v>18</v>
      </c>
      <c r="D122" s="5" t="s">
        <v>171</v>
      </c>
      <c r="E122" s="5" t="n">
        <v>10</v>
      </c>
    </row>
    <row r="123" customFormat="false" ht="15" hidden="false" customHeight="false" outlineLevel="0" collapsed="false">
      <c r="A123" s="5" t="s">
        <v>120</v>
      </c>
      <c r="B123" s="6" t="s">
        <v>172</v>
      </c>
      <c r="C123" s="5" t="s">
        <v>18</v>
      </c>
      <c r="D123" s="5" t="s">
        <v>172</v>
      </c>
      <c r="E123" s="5" t="n">
        <v>1</v>
      </c>
    </row>
    <row r="124" customFormat="false" ht="15" hidden="false" customHeight="false" outlineLevel="0" collapsed="false">
      <c r="A124" s="5" t="s">
        <v>120</v>
      </c>
      <c r="B124" s="6" t="s">
        <v>173</v>
      </c>
      <c r="C124" s="5" t="s">
        <v>24</v>
      </c>
      <c r="D124" s="5" t="s">
        <v>174</v>
      </c>
      <c r="E124" s="5" t="n">
        <v>17</v>
      </c>
    </row>
    <row r="125" customFormat="false" ht="15" hidden="false" customHeight="false" outlineLevel="0" collapsed="false">
      <c r="A125" s="5" t="s">
        <v>120</v>
      </c>
      <c r="B125" s="6" t="s">
        <v>175</v>
      </c>
      <c r="C125" s="5" t="s">
        <v>18</v>
      </c>
      <c r="D125" s="5" t="s">
        <v>175</v>
      </c>
      <c r="E125" s="5" t="n">
        <v>4</v>
      </c>
    </row>
    <row r="126" customFormat="false" ht="15" hidden="false" customHeight="false" outlineLevel="0" collapsed="false">
      <c r="A126" s="5" t="s">
        <v>120</v>
      </c>
      <c r="B126" s="6" t="s">
        <v>176</v>
      </c>
      <c r="C126" s="5" t="s">
        <v>18</v>
      </c>
      <c r="D126" s="5" t="s">
        <v>176</v>
      </c>
      <c r="E126" s="5" t="n">
        <v>6</v>
      </c>
    </row>
    <row r="127" customFormat="false" ht="15" hidden="false" customHeight="false" outlineLevel="0" collapsed="false">
      <c r="A127" s="5" t="s">
        <v>120</v>
      </c>
      <c r="B127" s="6" t="s">
        <v>177</v>
      </c>
      <c r="C127" s="5" t="s">
        <v>12</v>
      </c>
      <c r="D127" s="5" t="s">
        <v>178</v>
      </c>
      <c r="E127" s="5" t="n">
        <v>6</v>
      </c>
    </row>
    <row r="128" customFormat="false" ht="15" hidden="false" customHeight="false" outlineLevel="0" collapsed="false">
      <c r="A128" s="5" t="s">
        <v>120</v>
      </c>
      <c r="B128" s="6" t="s">
        <v>179</v>
      </c>
      <c r="C128" s="5" t="s">
        <v>18</v>
      </c>
      <c r="D128" s="5" t="s">
        <v>179</v>
      </c>
      <c r="E128" s="5" t="n">
        <v>11</v>
      </c>
    </row>
    <row r="129" customFormat="false" ht="15" hidden="false" customHeight="false" outlineLevel="0" collapsed="false">
      <c r="A129" s="5" t="s">
        <v>120</v>
      </c>
      <c r="B129" s="6" t="s">
        <v>180</v>
      </c>
      <c r="C129" s="5" t="s">
        <v>18</v>
      </c>
      <c r="D129" s="5" t="s">
        <v>180</v>
      </c>
      <c r="E129" s="5" t="n">
        <v>8</v>
      </c>
    </row>
    <row r="130" customFormat="false" ht="15" hidden="false" customHeight="false" outlineLevel="0" collapsed="false">
      <c r="A130" s="5" t="s">
        <v>120</v>
      </c>
      <c r="B130" s="6" t="s">
        <v>181</v>
      </c>
      <c r="C130" s="5" t="s">
        <v>36</v>
      </c>
      <c r="D130" s="5" t="s">
        <v>182</v>
      </c>
      <c r="E130" s="5" t="n">
        <v>5</v>
      </c>
    </row>
    <row r="131" customFormat="false" ht="15" hidden="false" customHeight="false" outlineLevel="0" collapsed="false">
      <c r="A131" s="5" t="s">
        <v>120</v>
      </c>
      <c r="B131" s="6" t="s">
        <v>183</v>
      </c>
      <c r="C131" s="5" t="s">
        <v>18</v>
      </c>
      <c r="D131" s="5" t="s">
        <v>183</v>
      </c>
      <c r="E131" s="5" t="n">
        <v>7</v>
      </c>
    </row>
    <row r="132" customFormat="false" ht="15" hidden="false" customHeight="false" outlineLevel="0" collapsed="false">
      <c r="A132" s="5" t="s">
        <v>120</v>
      </c>
      <c r="B132" s="6" t="s">
        <v>184</v>
      </c>
      <c r="C132" s="5" t="s">
        <v>18</v>
      </c>
      <c r="D132" s="5" t="s">
        <v>184</v>
      </c>
      <c r="E132" s="5" t="n">
        <v>5</v>
      </c>
    </row>
    <row r="133" customFormat="false" ht="15" hidden="false" customHeight="false" outlineLevel="0" collapsed="false">
      <c r="A133" s="5" t="s">
        <v>120</v>
      </c>
      <c r="B133" s="6" t="s">
        <v>185</v>
      </c>
      <c r="C133" s="5" t="s">
        <v>18</v>
      </c>
      <c r="D133" s="5" t="s">
        <v>185</v>
      </c>
      <c r="E133" s="5" t="n">
        <v>3</v>
      </c>
    </row>
    <row r="134" customFormat="false" ht="15" hidden="false" customHeight="false" outlineLevel="0" collapsed="false">
      <c r="A134" s="5" t="s">
        <v>120</v>
      </c>
      <c r="B134" s="6" t="s">
        <v>186</v>
      </c>
      <c r="C134" s="5" t="s">
        <v>18</v>
      </c>
      <c r="D134" s="5" t="s">
        <v>186</v>
      </c>
      <c r="E134" s="5" t="n">
        <v>1</v>
      </c>
    </row>
    <row r="135" customFormat="false" ht="15" hidden="false" customHeight="false" outlineLevel="0" collapsed="false">
      <c r="A135" s="5" t="s">
        <v>120</v>
      </c>
      <c r="B135" s="6" t="s">
        <v>187</v>
      </c>
      <c r="C135" s="5" t="s">
        <v>24</v>
      </c>
      <c r="D135" s="5" t="s">
        <v>188</v>
      </c>
      <c r="E135" s="5" t="n">
        <v>16</v>
      </c>
    </row>
    <row r="136" customFormat="false" ht="15" hidden="false" customHeight="false" outlineLevel="0" collapsed="false">
      <c r="A136" s="5" t="s">
        <v>120</v>
      </c>
      <c r="B136" s="6" t="s">
        <v>189</v>
      </c>
      <c r="C136" s="5" t="s">
        <v>12</v>
      </c>
      <c r="D136" s="5" t="s">
        <v>190</v>
      </c>
      <c r="E136" s="5" t="n">
        <v>8</v>
      </c>
    </row>
    <row r="137" customFormat="false" ht="15" hidden="false" customHeight="false" outlineLevel="0" collapsed="false">
      <c r="A137" s="5" t="s">
        <v>120</v>
      </c>
      <c r="B137" s="6" t="s">
        <v>191</v>
      </c>
      <c r="C137" s="5" t="s">
        <v>12</v>
      </c>
      <c r="D137" s="5" t="s">
        <v>192</v>
      </c>
      <c r="E137" s="5" t="n">
        <v>5</v>
      </c>
    </row>
    <row r="138" customFormat="false" ht="15" hidden="false" customHeight="false" outlineLevel="0" collapsed="false">
      <c r="A138" s="5" t="s">
        <v>120</v>
      </c>
      <c r="B138" s="6" t="s">
        <v>193</v>
      </c>
      <c r="C138" s="5" t="s">
        <v>10</v>
      </c>
      <c r="D138" s="5" t="s">
        <v>193</v>
      </c>
      <c r="E138" s="5" t="n">
        <v>5</v>
      </c>
    </row>
    <row r="139" customFormat="false" ht="15" hidden="false" customHeight="false" outlineLevel="0" collapsed="false">
      <c r="A139" s="5" t="s">
        <v>120</v>
      </c>
      <c r="B139" s="6" t="s">
        <v>194</v>
      </c>
      <c r="C139" s="5" t="s">
        <v>18</v>
      </c>
      <c r="D139" s="5" t="s">
        <v>194</v>
      </c>
      <c r="E139" s="5" t="n">
        <v>5</v>
      </c>
    </row>
    <row r="140" customFormat="false" ht="15" hidden="false" customHeight="false" outlineLevel="0" collapsed="false">
      <c r="A140" s="5" t="s">
        <v>120</v>
      </c>
      <c r="B140" s="6" t="s">
        <v>195</v>
      </c>
      <c r="C140" s="5" t="s">
        <v>18</v>
      </c>
      <c r="D140" s="5" t="s">
        <v>195</v>
      </c>
      <c r="E140" s="5" t="n">
        <v>11</v>
      </c>
    </row>
    <row r="141" customFormat="false" ht="15" hidden="false" customHeight="false" outlineLevel="0" collapsed="false">
      <c r="A141" s="5" t="s">
        <v>120</v>
      </c>
      <c r="B141" s="6" t="s">
        <v>196</v>
      </c>
      <c r="C141" s="5" t="s">
        <v>18</v>
      </c>
      <c r="D141" s="5" t="s">
        <v>196</v>
      </c>
      <c r="E141" s="5" t="n">
        <v>2</v>
      </c>
    </row>
    <row r="142" customFormat="false" ht="15" hidden="false" customHeight="false" outlineLevel="0" collapsed="false">
      <c r="A142" s="5" t="s">
        <v>120</v>
      </c>
      <c r="B142" s="6" t="s">
        <v>197</v>
      </c>
      <c r="C142" s="5" t="s">
        <v>18</v>
      </c>
      <c r="D142" s="5" t="s">
        <v>197</v>
      </c>
      <c r="E142" s="5" t="n">
        <v>5</v>
      </c>
    </row>
    <row r="143" customFormat="false" ht="15" hidden="false" customHeight="false" outlineLevel="0" collapsed="false">
      <c r="A143" s="5" t="s">
        <v>120</v>
      </c>
      <c r="B143" s="6" t="s">
        <v>198</v>
      </c>
      <c r="C143" s="5" t="s">
        <v>18</v>
      </c>
      <c r="D143" s="5" t="s">
        <v>198</v>
      </c>
      <c r="E143" s="5" t="n">
        <v>1</v>
      </c>
    </row>
    <row r="144" customFormat="false" ht="15" hidden="false" customHeight="false" outlineLevel="0" collapsed="false">
      <c r="A144" s="5" t="s">
        <v>120</v>
      </c>
      <c r="B144" s="6" t="s">
        <v>199</v>
      </c>
      <c r="C144" s="5" t="s">
        <v>18</v>
      </c>
      <c r="D144" s="5" t="s">
        <v>199</v>
      </c>
      <c r="E144" s="5" t="n">
        <v>9</v>
      </c>
    </row>
    <row r="145" customFormat="false" ht="15" hidden="false" customHeight="false" outlineLevel="0" collapsed="false">
      <c r="A145" s="5" t="s">
        <v>120</v>
      </c>
      <c r="B145" s="6" t="s">
        <v>200</v>
      </c>
      <c r="C145" s="5" t="s">
        <v>36</v>
      </c>
      <c r="D145" s="5" t="s">
        <v>201</v>
      </c>
      <c r="E145" s="5" t="n">
        <v>5</v>
      </c>
    </row>
    <row r="146" customFormat="false" ht="15" hidden="false" customHeight="false" outlineLevel="0" collapsed="false">
      <c r="A146" s="5" t="s">
        <v>120</v>
      </c>
      <c r="B146" s="6" t="s">
        <v>202</v>
      </c>
      <c r="C146" s="5" t="s">
        <v>12</v>
      </c>
      <c r="D146" s="5" t="s">
        <v>203</v>
      </c>
      <c r="E146" s="5" t="n">
        <v>2</v>
      </c>
    </row>
    <row r="147" customFormat="false" ht="15" hidden="false" customHeight="false" outlineLevel="0" collapsed="false">
      <c r="A147" s="5" t="s">
        <v>120</v>
      </c>
      <c r="B147" s="6" t="s">
        <v>204</v>
      </c>
      <c r="C147" s="5" t="s">
        <v>24</v>
      </c>
      <c r="D147" s="5" t="s">
        <v>205</v>
      </c>
      <c r="E147" s="5" t="n">
        <v>2</v>
      </c>
    </row>
    <row r="148" customFormat="false" ht="15" hidden="false" customHeight="false" outlineLevel="0" collapsed="false">
      <c r="A148" s="5" t="s">
        <v>120</v>
      </c>
      <c r="B148" s="6" t="s">
        <v>206</v>
      </c>
      <c r="C148" s="5" t="s">
        <v>18</v>
      </c>
      <c r="D148" s="5" t="s">
        <v>206</v>
      </c>
      <c r="E148" s="5" t="n">
        <v>4</v>
      </c>
    </row>
    <row r="149" customFormat="false" ht="15" hidden="false" customHeight="false" outlineLevel="0" collapsed="false">
      <c r="A149" s="5" t="s">
        <v>120</v>
      </c>
      <c r="B149" s="6" t="s">
        <v>207</v>
      </c>
      <c r="C149" s="5" t="s">
        <v>18</v>
      </c>
      <c r="D149" s="5" t="s">
        <v>207</v>
      </c>
      <c r="E149" s="5" t="n">
        <v>4</v>
      </c>
    </row>
    <row r="150" customFormat="false" ht="15" hidden="false" customHeight="false" outlineLevel="0" collapsed="false">
      <c r="A150" s="5" t="s">
        <v>120</v>
      </c>
      <c r="B150" s="6" t="s">
        <v>208</v>
      </c>
      <c r="C150" s="5" t="s">
        <v>18</v>
      </c>
      <c r="D150" s="5" t="s">
        <v>208</v>
      </c>
      <c r="E150" s="5" t="n">
        <v>6</v>
      </c>
    </row>
    <row r="151" customFormat="false" ht="15" hidden="false" customHeight="false" outlineLevel="0" collapsed="false">
      <c r="A151" s="5" t="s">
        <v>120</v>
      </c>
      <c r="B151" s="6" t="s">
        <v>209</v>
      </c>
      <c r="C151" s="5" t="s">
        <v>18</v>
      </c>
      <c r="D151" s="5" t="s">
        <v>209</v>
      </c>
      <c r="E151" s="5" t="n">
        <v>4</v>
      </c>
    </row>
    <row r="152" customFormat="false" ht="15" hidden="false" customHeight="false" outlineLevel="0" collapsed="false">
      <c r="A152" s="5" t="s">
        <v>120</v>
      </c>
      <c r="B152" s="6" t="s">
        <v>210</v>
      </c>
      <c r="C152" s="5" t="s">
        <v>36</v>
      </c>
      <c r="D152" s="5" t="s">
        <v>211</v>
      </c>
      <c r="E152" s="5" t="n">
        <v>4</v>
      </c>
    </row>
    <row r="153" customFormat="false" ht="15" hidden="false" customHeight="false" outlineLevel="0" collapsed="false">
      <c r="A153" s="5" t="s">
        <v>120</v>
      </c>
      <c r="B153" s="6" t="s">
        <v>212</v>
      </c>
      <c r="C153" s="5" t="s">
        <v>18</v>
      </c>
      <c r="D153" s="5" t="s">
        <v>212</v>
      </c>
      <c r="E153" s="5" t="n">
        <v>7</v>
      </c>
    </row>
    <row r="154" customFormat="false" ht="15" hidden="false" customHeight="false" outlineLevel="0" collapsed="false">
      <c r="A154" s="5" t="s">
        <v>120</v>
      </c>
      <c r="B154" s="6" t="s">
        <v>213</v>
      </c>
      <c r="C154" s="5" t="s">
        <v>24</v>
      </c>
      <c r="D154" s="5" t="s">
        <v>214</v>
      </c>
      <c r="E154" s="5" t="n">
        <v>8</v>
      </c>
    </row>
    <row r="155" customFormat="false" ht="15" hidden="false" customHeight="false" outlineLevel="0" collapsed="false">
      <c r="A155" s="5" t="s">
        <v>120</v>
      </c>
      <c r="B155" s="6" t="s">
        <v>215</v>
      </c>
      <c r="C155" s="5" t="s">
        <v>12</v>
      </c>
      <c r="D155" s="5" t="s">
        <v>216</v>
      </c>
      <c r="E155" s="5" t="n">
        <v>4</v>
      </c>
    </row>
    <row r="156" customFormat="false" ht="15" hidden="false" customHeight="false" outlineLevel="0" collapsed="false">
      <c r="A156" s="5" t="s">
        <v>120</v>
      </c>
      <c r="B156" s="6" t="s">
        <v>217</v>
      </c>
      <c r="C156" s="5" t="s">
        <v>12</v>
      </c>
      <c r="D156" s="5" t="s">
        <v>218</v>
      </c>
      <c r="E156" s="5" t="n">
        <v>4</v>
      </c>
    </row>
    <row r="157" customFormat="false" ht="15" hidden="false" customHeight="false" outlineLevel="0" collapsed="false">
      <c r="A157" s="5" t="s">
        <v>120</v>
      </c>
      <c r="B157" s="6" t="s">
        <v>219</v>
      </c>
      <c r="C157" s="5" t="s">
        <v>12</v>
      </c>
      <c r="D157" s="5" t="s">
        <v>220</v>
      </c>
      <c r="E157" s="5" t="n">
        <v>8</v>
      </c>
    </row>
    <row r="158" customFormat="false" ht="15" hidden="false" customHeight="false" outlineLevel="0" collapsed="false">
      <c r="A158" s="5" t="s">
        <v>120</v>
      </c>
      <c r="B158" s="6" t="s">
        <v>221</v>
      </c>
      <c r="C158" s="5" t="s">
        <v>12</v>
      </c>
      <c r="D158" s="5" t="s">
        <v>222</v>
      </c>
      <c r="E158" s="5" t="n">
        <v>4</v>
      </c>
    </row>
    <row r="159" customFormat="false" ht="15" hidden="false" customHeight="false" outlineLevel="0" collapsed="false">
      <c r="A159" s="5" t="s">
        <v>120</v>
      </c>
      <c r="B159" s="6" t="s">
        <v>223</v>
      </c>
      <c r="C159" s="5" t="s">
        <v>12</v>
      </c>
      <c r="D159" s="5" t="s">
        <v>224</v>
      </c>
      <c r="E159" s="5" t="n">
        <v>2</v>
      </c>
    </row>
    <row r="160" customFormat="false" ht="15" hidden="false" customHeight="false" outlineLevel="0" collapsed="false">
      <c r="A160" s="5" t="s">
        <v>120</v>
      </c>
      <c r="B160" s="6" t="s">
        <v>225</v>
      </c>
      <c r="C160" s="5" t="s">
        <v>18</v>
      </c>
      <c r="D160" s="5" t="s">
        <v>225</v>
      </c>
      <c r="E160" s="5" t="n">
        <v>5</v>
      </c>
    </row>
    <row r="161" customFormat="false" ht="15" hidden="false" customHeight="false" outlineLevel="0" collapsed="false">
      <c r="A161" s="5" t="s">
        <v>120</v>
      </c>
      <c r="B161" s="6" t="s">
        <v>226</v>
      </c>
      <c r="C161" s="5" t="s">
        <v>18</v>
      </c>
      <c r="D161" s="5" t="s">
        <v>226</v>
      </c>
      <c r="E161" s="5" t="n">
        <v>1</v>
      </c>
    </row>
    <row r="162" customFormat="false" ht="15" hidden="false" customHeight="false" outlineLevel="0" collapsed="false">
      <c r="A162" s="5" t="s">
        <v>120</v>
      </c>
      <c r="B162" s="6" t="s">
        <v>227</v>
      </c>
      <c r="C162" s="5" t="s">
        <v>18</v>
      </c>
      <c r="D162" s="5" t="s">
        <v>227</v>
      </c>
      <c r="E162" s="5" t="n">
        <v>4</v>
      </c>
    </row>
    <row r="163" customFormat="false" ht="15" hidden="false" customHeight="false" outlineLevel="0" collapsed="false">
      <c r="A163" s="5" t="s">
        <v>120</v>
      </c>
      <c r="B163" s="6" t="s">
        <v>228</v>
      </c>
      <c r="C163" s="5" t="s">
        <v>18</v>
      </c>
      <c r="D163" s="5" t="s">
        <v>228</v>
      </c>
      <c r="E163" s="5" t="n">
        <v>7</v>
      </c>
    </row>
    <row r="164" customFormat="false" ht="15" hidden="false" customHeight="false" outlineLevel="0" collapsed="false">
      <c r="A164" s="5" t="s">
        <v>120</v>
      </c>
      <c r="B164" s="6" t="s">
        <v>229</v>
      </c>
      <c r="C164" s="5" t="s">
        <v>18</v>
      </c>
      <c r="D164" s="5" t="s">
        <v>229</v>
      </c>
      <c r="E164" s="5" t="n">
        <v>1</v>
      </c>
    </row>
    <row r="165" customFormat="false" ht="15" hidden="false" customHeight="false" outlineLevel="0" collapsed="false">
      <c r="A165" s="5" t="s">
        <v>120</v>
      </c>
      <c r="B165" s="6" t="s">
        <v>230</v>
      </c>
      <c r="C165" s="5" t="s">
        <v>18</v>
      </c>
      <c r="D165" s="5" t="s">
        <v>230</v>
      </c>
      <c r="E165" s="5" t="n">
        <v>9</v>
      </c>
    </row>
    <row r="166" customFormat="false" ht="15" hidden="false" customHeight="false" outlineLevel="0" collapsed="false">
      <c r="A166" s="5" t="s">
        <v>120</v>
      </c>
      <c r="B166" s="6" t="s">
        <v>231</v>
      </c>
      <c r="C166" s="5" t="s">
        <v>24</v>
      </c>
      <c r="D166" s="5" t="s">
        <v>232</v>
      </c>
      <c r="E166" s="5" t="n">
        <v>5</v>
      </c>
    </row>
    <row r="167" customFormat="false" ht="15" hidden="false" customHeight="false" outlineLevel="0" collapsed="false">
      <c r="A167" s="5" t="s">
        <v>120</v>
      </c>
      <c r="B167" s="6" t="s">
        <v>233</v>
      </c>
      <c r="C167" s="5" t="s">
        <v>24</v>
      </c>
      <c r="D167" s="5" t="s">
        <v>234</v>
      </c>
      <c r="E167" s="5" t="n">
        <v>6</v>
      </c>
    </row>
    <row r="168" customFormat="false" ht="15" hidden="false" customHeight="false" outlineLevel="0" collapsed="false">
      <c r="A168" s="5" t="s">
        <v>120</v>
      </c>
      <c r="B168" s="6" t="s">
        <v>235</v>
      </c>
      <c r="C168" s="5" t="s">
        <v>12</v>
      </c>
      <c r="D168" s="5" t="s">
        <v>236</v>
      </c>
      <c r="E168" s="5" t="n">
        <v>5</v>
      </c>
    </row>
    <row r="169" customFormat="false" ht="15" hidden="false" customHeight="false" outlineLevel="0" collapsed="false">
      <c r="A169" s="5" t="s">
        <v>120</v>
      </c>
      <c r="B169" s="6" t="s">
        <v>237</v>
      </c>
      <c r="C169" s="5" t="s">
        <v>12</v>
      </c>
      <c r="D169" s="5" t="s">
        <v>238</v>
      </c>
      <c r="E169" s="5" t="n">
        <v>5</v>
      </c>
    </row>
    <row r="170" customFormat="false" ht="15" hidden="false" customHeight="false" outlineLevel="0" collapsed="false">
      <c r="A170" s="5" t="s">
        <v>120</v>
      </c>
      <c r="B170" s="6" t="s">
        <v>239</v>
      </c>
      <c r="C170" s="5" t="s">
        <v>12</v>
      </c>
      <c r="D170" s="5" t="s">
        <v>240</v>
      </c>
      <c r="E170" s="5" t="n">
        <v>1</v>
      </c>
    </row>
    <row r="171" customFormat="false" ht="15" hidden="false" customHeight="false" outlineLevel="0" collapsed="false">
      <c r="A171" s="5" t="s">
        <v>120</v>
      </c>
      <c r="B171" s="6" t="s">
        <v>241</v>
      </c>
      <c r="C171" s="5" t="s">
        <v>12</v>
      </c>
      <c r="D171" s="5" t="s">
        <v>242</v>
      </c>
      <c r="E171" s="5" t="n">
        <v>3</v>
      </c>
    </row>
    <row r="172" customFormat="false" ht="15" hidden="false" customHeight="false" outlineLevel="0" collapsed="false">
      <c r="A172" s="5" t="s">
        <v>120</v>
      </c>
      <c r="B172" s="6" t="s">
        <v>243</v>
      </c>
      <c r="C172" s="5" t="s">
        <v>12</v>
      </c>
      <c r="D172" s="5" t="s">
        <v>244</v>
      </c>
      <c r="E172" s="5" t="n">
        <v>1</v>
      </c>
    </row>
    <row r="173" customFormat="false" ht="15" hidden="false" customHeight="false" outlineLevel="0" collapsed="false">
      <c r="A173" s="5" t="s">
        <v>120</v>
      </c>
      <c r="B173" s="6" t="s">
        <v>245</v>
      </c>
      <c r="C173" s="5" t="s">
        <v>24</v>
      </c>
      <c r="D173" s="5" t="s">
        <v>246</v>
      </c>
      <c r="E173" s="5" t="n">
        <v>3</v>
      </c>
    </row>
    <row r="174" customFormat="false" ht="15" hidden="false" customHeight="false" outlineLevel="0" collapsed="false">
      <c r="A174" s="5" t="s">
        <v>120</v>
      </c>
      <c r="B174" s="6" t="s">
        <v>247</v>
      </c>
      <c r="C174" s="5" t="s">
        <v>12</v>
      </c>
      <c r="D174" s="5" t="s">
        <v>248</v>
      </c>
      <c r="E174" s="5" t="n">
        <v>3</v>
      </c>
    </row>
    <row r="175" customFormat="false" ht="15" hidden="false" customHeight="false" outlineLevel="0" collapsed="false">
      <c r="A175" s="5" t="s">
        <v>120</v>
      </c>
      <c r="B175" s="6" t="s">
        <v>249</v>
      </c>
      <c r="C175" s="5" t="s">
        <v>12</v>
      </c>
      <c r="D175" s="5" t="s">
        <v>250</v>
      </c>
      <c r="E175" s="5" t="n">
        <v>8</v>
      </c>
    </row>
    <row r="176" customFormat="false" ht="15" hidden="false" customHeight="false" outlineLevel="0" collapsed="false">
      <c r="A176" s="5" t="s">
        <v>120</v>
      </c>
      <c r="B176" s="6" t="s">
        <v>251</v>
      </c>
      <c r="C176" s="5" t="s">
        <v>12</v>
      </c>
      <c r="D176" s="5" t="s">
        <v>252</v>
      </c>
      <c r="E176" s="5" t="n">
        <v>3</v>
      </c>
    </row>
    <row r="177" customFormat="false" ht="15" hidden="false" customHeight="false" outlineLevel="0" collapsed="false">
      <c r="A177" s="5" t="s">
        <v>120</v>
      </c>
      <c r="B177" s="6" t="s">
        <v>253</v>
      </c>
      <c r="C177" s="5" t="s">
        <v>12</v>
      </c>
      <c r="D177" s="5" t="s">
        <v>254</v>
      </c>
      <c r="E177" s="5" t="n">
        <v>5</v>
      </c>
    </row>
    <row r="178" customFormat="false" ht="15" hidden="false" customHeight="false" outlineLevel="0" collapsed="false">
      <c r="A178" s="5" t="s">
        <v>120</v>
      </c>
      <c r="B178" s="6" t="s">
        <v>255</v>
      </c>
      <c r="C178" s="5" t="s">
        <v>18</v>
      </c>
      <c r="D178" s="5" t="s">
        <v>255</v>
      </c>
      <c r="E178" s="5" t="n">
        <v>3</v>
      </c>
    </row>
    <row r="179" customFormat="false" ht="15" hidden="false" customHeight="false" outlineLevel="0" collapsed="false">
      <c r="A179" s="5" t="s">
        <v>120</v>
      </c>
      <c r="B179" s="6" t="s">
        <v>256</v>
      </c>
      <c r="C179" s="5" t="s">
        <v>12</v>
      </c>
      <c r="D179" s="5" t="s">
        <v>257</v>
      </c>
      <c r="E179" s="5" t="n">
        <v>7</v>
      </c>
    </row>
    <row r="180" customFormat="false" ht="15" hidden="false" customHeight="false" outlineLevel="0" collapsed="false">
      <c r="A180" s="5" t="s">
        <v>120</v>
      </c>
      <c r="B180" s="6" t="s">
        <v>258</v>
      </c>
      <c r="C180" s="5" t="s">
        <v>12</v>
      </c>
      <c r="D180" s="5" t="s">
        <v>259</v>
      </c>
      <c r="E180" s="5" t="n">
        <v>4</v>
      </c>
    </row>
    <row r="181" customFormat="false" ht="15" hidden="false" customHeight="false" outlineLevel="0" collapsed="false">
      <c r="A181" s="5" t="s">
        <v>120</v>
      </c>
      <c r="B181" s="6" t="s">
        <v>260</v>
      </c>
      <c r="C181" s="5" t="s">
        <v>12</v>
      </c>
      <c r="D181" s="5" t="s">
        <v>261</v>
      </c>
      <c r="E181" s="5" t="n">
        <v>1</v>
      </c>
    </row>
    <row r="182" customFormat="false" ht="15" hidden="false" customHeight="false" outlineLevel="0" collapsed="false">
      <c r="A182" s="5" t="s">
        <v>120</v>
      </c>
      <c r="B182" s="6" t="s">
        <v>262</v>
      </c>
      <c r="C182" s="5" t="s">
        <v>18</v>
      </c>
      <c r="D182" s="5" t="s">
        <v>262</v>
      </c>
      <c r="E182" s="5" t="n">
        <v>2</v>
      </c>
    </row>
    <row r="183" customFormat="false" ht="15" hidden="false" customHeight="false" outlineLevel="0" collapsed="false">
      <c r="A183" s="5" t="s">
        <v>120</v>
      </c>
      <c r="B183" s="6" t="s">
        <v>263</v>
      </c>
      <c r="C183" s="5" t="s">
        <v>18</v>
      </c>
      <c r="D183" s="5" t="s">
        <v>263</v>
      </c>
      <c r="E183" s="5" t="n">
        <v>2</v>
      </c>
    </row>
    <row r="184" customFormat="false" ht="15" hidden="false" customHeight="false" outlineLevel="0" collapsed="false">
      <c r="A184" s="5" t="s">
        <v>120</v>
      </c>
      <c r="B184" s="6" t="s">
        <v>264</v>
      </c>
      <c r="C184" s="5" t="s">
        <v>18</v>
      </c>
      <c r="D184" s="5" t="s">
        <v>264</v>
      </c>
      <c r="E184" s="5" t="n">
        <v>1</v>
      </c>
    </row>
    <row r="185" customFormat="false" ht="15" hidden="false" customHeight="false" outlineLevel="0" collapsed="false">
      <c r="A185" s="5" t="s">
        <v>120</v>
      </c>
      <c r="B185" s="6" t="s">
        <v>265</v>
      </c>
      <c r="C185" s="5" t="s">
        <v>12</v>
      </c>
      <c r="D185" s="5" t="s">
        <v>266</v>
      </c>
      <c r="E185" s="5" t="n">
        <v>2</v>
      </c>
    </row>
    <row r="186" customFormat="false" ht="15" hidden="false" customHeight="false" outlineLevel="0" collapsed="false">
      <c r="A186" s="5" t="s">
        <v>120</v>
      </c>
      <c r="B186" s="6" t="s">
        <v>267</v>
      </c>
      <c r="C186" s="5" t="s">
        <v>36</v>
      </c>
      <c r="D186" s="5" t="s">
        <v>268</v>
      </c>
      <c r="E186" s="5" t="n">
        <v>4</v>
      </c>
    </row>
    <row r="187" customFormat="false" ht="15" hidden="false" customHeight="false" outlineLevel="0" collapsed="false">
      <c r="A187" s="5" t="s">
        <v>120</v>
      </c>
      <c r="B187" s="6" t="s">
        <v>269</v>
      </c>
      <c r="C187" s="5" t="s">
        <v>12</v>
      </c>
      <c r="D187" s="5" t="s">
        <v>270</v>
      </c>
      <c r="E187" s="5" t="n">
        <v>2</v>
      </c>
    </row>
    <row r="188" customFormat="false" ht="15" hidden="false" customHeight="false" outlineLevel="0" collapsed="false">
      <c r="A188" s="5" t="s">
        <v>120</v>
      </c>
      <c r="B188" s="6" t="s">
        <v>271</v>
      </c>
      <c r="C188" s="5" t="s">
        <v>12</v>
      </c>
      <c r="D188" s="5" t="s">
        <v>272</v>
      </c>
      <c r="E188" s="5" t="n">
        <v>2</v>
      </c>
    </row>
    <row r="189" customFormat="false" ht="15" hidden="false" customHeight="false" outlineLevel="0" collapsed="false">
      <c r="A189" s="5" t="s">
        <v>120</v>
      </c>
      <c r="B189" s="6" t="s">
        <v>273</v>
      </c>
      <c r="C189" s="5" t="s">
        <v>18</v>
      </c>
      <c r="D189" s="5" t="s">
        <v>273</v>
      </c>
      <c r="E189" s="5" t="n">
        <v>4</v>
      </c>
    </row>
    <row r="190" customFormat="false" ht="15" hidden="false" customHeight="false" outlineLevel="0" collapsed="false">
      <c r="A190" s="5" t="s">
        <v>120</v>
      </c>
      <c r="B190" s="6" t="s">
        <v>274</v>
      </c>
      <c r="C190" s="5" t="s">
        <v>18</v>
      </c>
      <c r="D190" s="5" t="s">
        <v>274</v>
      </c>
      <c r="E190" s="5" t="n">
        <v>2</v>
      </c>
    </row>
    <row r="191" customFormat="false" ht="15" hidden="false" customHeight="false" outlineLevel="0" collapsed="false">
      <c r="A191" s="5" t="s">
        <v>120</v>
      </c>
      <c r="B191" s="6" t="s">
        <v>275</v>
      </c>
      <c r="C191" s="5" t="s">
        <v>18</v>
      </c>
      <c r="D191" s="5" t="s">
        <v>275</v>
      </c>
      <c r="E191" s="5" t="n">
        <v>2</v>
      </c>
    </row>
    <row r="192" customFormat="false" ht="15" hidden="false" customHeight="false" outlineLevel="0" collapsed="false">
      <c r="A192" s="5" t="s">
        <v>120</v>
      </c>
      <c r="B192" s="6" t="s">
        <v>276</v>
      </c>
      <c r="C192" s="5" t="s">
        <v>18</v>
      </c>
      <c r="D192" s="5" t="s">
        <v>276</v>
      </c>
      <c r="E192" s="5" t="n">
        <v>2</v>
      </c>
    </row>
    <row r="193" customFormat="false" ht="15" hidden="false" customHeight="false" outlineLevel="0" collapsed="false">
      <c r="A193" s="5" t="s">
        <v>120</v>
      </c>
      <c r="B193" s="6" t="s">
        <v>277</v>
      </c>
      <c r="C193" s="5" t="s">
        <v>12</v>
      </c>
      <c r="D193" s="5" t="s">
        <v>278</v>
      </c>
      <c r="E193" s="5" t="n">
        <v>2</v>
      </c>
    </row>
    <row r="194" customFormat="false" ht="15" hidden="false" customHeight="false" outlineLevel="0" collapsed="false">
      <c r="A194" s="5" t="s">
        <v>120</v>
      </c>
      <c r="B194" s="6" t="s">
        <v>279</v>
      </c>
      <c r="C194" s="5" t="s">
        <v>18</v>
      </c>
      <c r="D194" s="5" t="s">
        <v>279</v>
      </c>
      <c r="E194" s="5" t="n">
        <v>2</v>
      </c>
    </row>
    <row r="195" customFormat="false" ht="15" hidden="false" customHeight="false" outlineLevel="0" collapsed="false">
      <c r="A195" s="5" t="s">
        <v>120</v>
      </c>
      <c r="B195" s="6" t="s">
        <v>280</v>
      </c>
      <c r="C195" s="5" t="s">
        <v>24</v>
      </c>
      <c r="D195" s="5" t="s">
        <v>281</v>
      </c>
      <c r="E195" s="5" t="n">
        <v>2</v>
      </c>
    </row>
    <row r="196" customFormat="false" ht="15" hidden="false" customHeight="false" outlineLevel="0" collapsed="false">
      <c r="A196" s="5" t="s">
        <v>120</v>
      </c>
      <c r="B196" s="6" t="s">
        <v>282</v>
      </c>
      <c r="C196" s="5" t="s">
        <v>12</v>
      </c>
      <c r="D196" s="5" t="s">
        <v>283</v>
      </c>
      <c r="E196" s="5" t="n">
        <v>2</v>
      </c>
    </row>
    <row r="197" customFormat="false" ht="15" hidden="false" customHeight="false" outlineLevel="0" collapsed="false">
      <c r="A197" s="5" t="s">
        <v>120</v>
      </c>
      <c r="B197" s="6" t="s">
        <v>284</v>
      </c>
      <c r="C197" s="5" t="s">
        <v>12</v>
      </c>
      <c r="D197" s="5" t="s">
        <v>285</v>
      </c>
      <c r="E197" s="5" t="n">
        <v>2</v>
      </c>
    </row>
    <row r="198" customFormat="false" ht="15" hidden="false" customHeight="false" outlineLevel="0" collapsed="false">
      <c r="A198" s="5" t="s">
        <v>120</v>
      </c>
      <c r="B198" s="6" t="s">
        <v>286</v>
      </c>
      <c r="C198" s="5" t="s">
        <v>12</v>
      </c>
      <c r="D198" s="5" t="s">
        <v>287</v>
      </c>
      <c r="E198" s="5" t="n">
        <v>1</v>
      </c>
    </row>
    <row r="199" customFormat="false" ht="15" hidden="false" customHeight="false" outlineLevel="0" collapsed="false">
      <c r="A199" s="5" t="s">
        <v>120</v>
      </c>
      <c r="B199" s="6" t="s">
        <v>288</v>
      </c>
      <c r="C199" s="5" t="s">
        <v>12</v>
      </c>
      <c r="D199" s="5" t="s">
        <v>289</v>
      </c>
      <c r="E199" s="5" t="n">
        <v>2</v>
      </c>
    </row>
    <row r="200" customFormat="false" ht="15" hidden="false" customHeight="false" outlineLevel="0" collapsed="false">
      <c r="A200" s="5" t="s">
        <v>120</v>
      </c>
      <c r="B200" s="6" t="s">
        <v>290</v>
      </c>
      <c r="C200" s="5" t="s">
        <v>12</v>
      </c>
      <c r="D200" s="5" t="s">
        <v>291</v>
      </c>
      <c r="E200" s="5" t="n">
        <v>2</v>
      </c>
    </row>
    <row r="201" customFormat="false" ht="15" hidden="false" customHeight="false" outlineLevel="0" collapsed="false">
      <c r="A201" s="5" t="s">
        <v>120</v>
      </c>
      <c r="B201" s="6" t="s">
        <v>292</v>
      </c>
      <c r="C201" s="5" t="s">
        <v>18</v>
      </c>
      <c r="D201" s="5" t="s">
        <v>292</v>
      </c>
      <c r="E201" s="5" t="n">
        <v>4</v>
      </c>
    </row>
    <row r="202" customFormat="false" ht="15" hidden="false" customHeight="false" outlineLevel="0" collapsed="false">
      <c r="A202" s="5" t="s">
        <v>120</v>
      </c>
      <c r="B202" s="6" t="s">
        <v>293</v>
      </c>
      <c r="C202" s="5" t="s">
        <v>18</v>
      </c>
      <c r="D202" s="5" t="s">
        <v>293</v>
      </c>
      <c r="E202" s="5" t="n">
        <v>1</v>
      </c>
    </row>
    <row r="203" customFormat="false" ht="15" hidden="false" customHeight="false" outlineLevel="0" collapsed="false">
      <c r="A203" s="5" t="s">
        <v>120</v>
      </c>
      <c r="B203" s="6" t="s">
        <v>294</v>
      </c>
      <c r="C203" s="5" t="s">
        <v>12</v>
      </c>
      <c r="D203" s="5" t="s">
        <v>295</v>
      </c>
      <c r="E203" s="5" t="n">
        <v>2</v>
      </c>
    </row>
    <row r="204" customFormat="false" ht="15" hidden="false" customHeight="false" outlineLevel="0" collapsed="false">
      <c r="A204" s="5" t="s">
        <v>120</v>
      </c>
      <c r="B204" s="6" t="s">
        <v>296</v>
      </c>
      <c r="C204" s="5" t="s">
        <v>12</v>
      </c>
      <c r="D204" s="5" t="s">
        <v>297</v>
      </c>
      <c r="E204" s="5" t="n">
        <v>2</v>
      </c>
    </row>
    <row r="205" customFormat="false" ht="15" hidden="false" customHeight="false" outlineLevel="0" collapsed="false">
      <c r="A205" s="5" t="s">
        <v>120</v>
      </c>
      <c r="B205" s="6" t="s">
        <v>298</v>
      </c>
      <c r="C205" s="5" t="s">
        <v>24</v>
      </c>
      <c r="D205" s="5" t="s">
        <v>299</v>
      </c>
      <c r="E205" s="5" t="n">
        <v>3</v>
      </c>
    </row>
    <row r="206" customFormat="false" ht="15" hidden="false" customHeight="false" outlineLevel="0" collapsed="false">
      <c r="A206" s="5" t="s">
        <v>120</v>
      </c>
      <c r="B206" s="6" t="s">
        <v>300</v>
      </c>
      <c r="C206" s="5" t="s">
        <v>18</v>
      </c>
      <c r="D206" s="5" t="s">
        <v>300</v>
      </c>
      <c r="E206" s="5" t="n">
        <v>1</v>
      </c>
    </row>
    <row r="207" customFormat="false" ht="15" hidden="false" customHeight="false" outlineLevel="0" collapsed="false">
      <c r="A207" s="5" t="s">
        <v>120</v>
      </c>
      <c r="B207" s="6" t="s">
        <v>301</v>
      </c>
      <c r="C207" s="5" t="s">
        <v>18</v>
      </c>
      <c r="D207" s="5" t="s">
        <v>301</v>
      </c>
      <c r="E207" s="5" t="n">
        <v>2</v>
      </c>
    </row>
    <row r="208" customFormat="false" ht="15" hidden="false" customHeight="false" outlineLevel="0" collapsed="false">
      <c r="A208" s="5" t="s">
        <v>120</v>
      </c>
      <c r="B208" s="6" t="s">
        <v>302</v>
      </c>
      <c r="C208" s="5" t="s">
        <v>18</v>
      </c>
      <c r="D208" s="5" t="s">
        <v>302</v>
      </c>
      <c r="E208" s="5" t="n">
        <v>2</v>
      </c>
    </row>
    <row r="209" customFormat="false" ht="15" hidden="false" customHeight="false" outlineLevel="0" collapsed="false">
      <c r="A209" s="5" t="s">
        <v>120</v>
      </c>
      <c r="B209" s="6" t="s">
        <v>303</v>
      </c>
      <c r="C209" s="5" t="s">
        <v>18</v>
      </c>
      <c r="D209" s="5" t="s">
        <v>303</v>
      </c>
      <c r="E209" s="5" t="n">
        <v>3</v>
      </c>
    </row>
    <row r="210" customFormat="false" ht="15" hidden="false" customHeight="false" outlineLevel="0" collapsed="false">
      <c r="A210" s="5" t="s">
        <v>120</v>
      </c>
      <c r="B210" s="6" t="s">
        <v>304</v>
      </c>
      <c r="C210" s="5" t="s">
        <v>18</v>
      </c>
      <c r="D210" s="5" t="s">
        <v>304</v>
      </c>
      <c r="E210" s="5" t="n">
        <v>1</v>
      </c>
    </row>
    <row r="211" customFormat="false" ht="15" hidden="false" customHeight="false" outlineLevel="0" collapsed="false">
      <c r="A211" s="7" t="s">
        <v>305</v>
      </c>
      <c r="B211" s="8" t="s">
        <v>306</v>
      </c>
      <c r="C211" s="7" t="s">
        <v>18</v>
      </c>
      <c r="D211" s="7" t="s">
        <v>306</v>
      </c>
      <c r="E211" s="7" t="n">
        <v>48</v>
      </c>
    </row>
    <row r="212" customFormat="false" ht="15" hidden="false" customHeight="false" outlineLevel="0" collapsed="false">
      <c r="A212" s="7" t="s">
        <v>305</v>
      </c>
      <c r="B212" s="8" t="s">
        <v>307</v>
      </c>
      <c r="C212" s="7" t="s">
        <v>18</v>
      </c>
      <c r="D212" s="7" t="s">
        <v>307</v>
      </c>
      <c r="E212" s="7" t="n">
        <v>3</v>
      </c>
    </row>
    <row r="213" customFormat="false" ht="15" hidden="false" customHeight="false" outlineLevel="0" collapsed="false">
      <c r="A213" s="7" t="s">
        <v>305</v>
      </c>
      <c r="B213" s="8" t="s">
        <v>308</v>
      </c>
      <c r="C213" s="7" t="s">
        <v>18</v>
      </c>
      <c r="D213" s="7" t="s">
        <v>308</v>
      </c>
      <c r="E213" s="7" t="n">
        <v>21</v>
      </c>
    </row>
    <row r="214" customFormat="false" ht="15" hidden="false" customHeight="false" outlineLevel="0" collapsed="false">
      <c r="A214" s="7" t="s">
        <v>305</v>
      </c>
      <c r="B214" s="8" t="s">
        <v>309</v>
      </c>
      <c r="C214" s="7" t="s">
        <v>18</v>
      </c>
      <c r="D214" s="7" t="s">
        <v>309</v>
      </c>
      <c r="E214" s="7" t="n">
        <v>22</v>
      </c>
    </row>
    <row r="215" customFormat="false" ht="15" hidden="false" customHeight="false" outlineLevel="0" collapsed="false">
      <c r="A215" s="7" t="s">
        <v>305</v>
      </c>
      <c r="B215" s="8" t="s">
        <v>310</v>
      </c>
      <c r="C215" s="7" t="s">
        <v>24</v>
      </c>
      <c r="D215" s="7" t="s">
        <v>311</v>
      </c>
      <c r="E215" s="7" t="n">
        <v>18</v>
      </c>
    </row>
    <row r="216" customFormat="false" ht="15" hidden="false" customHeight="false" outlineLevel="0" collapsed="false">
      <c r="A216" s="7" t="s">
        <v>305</v>
      </c>
      <c r="B216" s="8" t="s">
        <v>312</v>
      </c>
      <c r="C216" s="7" t="s">
        <v>18</v>
      </c>
      <c r="D216" s="7" t="s">
        <v>312</v>
      </c>
      <c r="E216" s="7" t="n">
        <v>17</v>
      </c>
    </row>
    <row r="217" customFormat="false" ht="15" hidden="false" customHeight="false" outlineLevel="0" collapsed="false">
      <c r="A217" s="7" t="s">
        <v>305</v>
      </c>
      <c r="B217" s="8" t="s">
        <v>313</v>
      </c>
      <c r="C217" s="7" t="s">
        <v>18</v>
      </c>
      <c r="D217" s="7" t="s">
        <v>313</v>
      </c>
      <c r="E217" s="7" t="n">
        <v>6</v>
      </c>
    </row>
    <row r="218" customFormat="false" ht="15" hidden="false" customHeight="false" outlineLevel="0" collapsed="false">
      <c r="A218" s="7" t="s">
        <v>305</v>
      </c>
      <c r="B218" s="8" t="s">
        <v>314</v>
      </c>
      <c r="C218" s="7" t="s">
        <v>24</v>
      </c>
      <c r="D218" s="7" t="s">
        <v>315</v>
      </c>
      <c r="E218" s="7" t="n">
        <v>28</v>
      </c>
    </row>
    <row r="219" customFormat="false" ht="15" hidden="false" customHeight="false" outlineLevel="0" collapsed="false">
      <c r="A219" s="7" t="s">
        <v>305</v>
      </c>
      <c r="B219" s="8" t="s">
        <v>316</v>
      </c>
      <c r="C219" s="7" t="s">
        <v>24</v>
      </c>
      <c r="D219" s="7" t="s">
        <v>317</v>
      </c>
      <c r="E219" s="7" t="n">
        <v>3</v>
      </c>
    </row>
    <row r="220" customFormat="false" ht="15" hidden="false" customHeight="false" outlineLevel="0" collapsed="false">
      <c r="A220" s="7" t="s">
        <v>305</v>
      </c>
      <c r="B220" s="8" t="s">
        <v>318</v>
      </c>
      <c r="C220" s="7" t="s">
        <v>18</v>
      </c>
      <c r="D220" s="7" t="s">
        <v>318</v>
      </c>
      <c r="E220" s="7" t="n">
        <v>13</v>
      </c>
    </row>
    <row r="221" customFormat="false" ht="15" hidden="false" customHeight="false" outlineLevel="0" collapsed="false">
      <c r="A221" s="7" t="s">
        <v>305</v>
      </c>
      <c r="B221" s="8" t="s">
        <v>319</v>
      </c>
      <c r="C221" s="7" t="s">
        <v>18</v>
      </c>
      <c r="D221" s="7" t="s">
        <v>319</v>
      </c>
      <c r="E221" s="7" t="n">
        <v>9</v>
      </c>
    </row>
    <row r="222" customFormat="false" ht="15" hidden="false" customHeight="false" outlineLevel="0" collapsed="false">
      <c r="A222" s="7" t="s">
        <v>305</v>
      </c>
      <c r="B222" s="8" t="s">
        <v>320</v>
      </c>
      <c r="C222" s="7" t="s">
        <v>12</v>
      </c>
      <c r="D222" s="7" t="s">
        <v>321</v>
      </c>
      <c r="E222" s="7" t="n">
        <v>13</v>
      </c>
    </row>
    <row r="223" customFormat="false" ht="15" hidden="false" customHeight="false" outlineLevel="0" collapsed="false">
      <c r="A223" s="7" t="s">
        <v>305</v>
      </c>
      <c r="B223" s="8" t="s">
        <v>322</v>
      </c>
      <c r="C223" s="7" t="s">
        <v>18</v>
      </c>
      <c r="D223" s="7" t="s">
        <v>322</v>
      </c>
      <c r="E223" s="7" t="n">
        <v>32</v>
      </c>
    </row>
    <row r="224" customFormat="false" ht="15" hidden="false" customHeight="false" outlineLevel="0" collapsed="false">
      <c r="A224" s="7" t="s">
        <v>305</v>
      </c>
      <c r="B224" s="8" t="s">
        <v>323</v>
      </c>
      <c r="C224" s="7" t="s">
        <v>18</v>
      </c>
      <c r="D224" s="7" t="s">
        <v>323</v>
      </c>
      <c r="E224" s="7" t="n">
        <v>2</v>
      </c>
    </row>
    <row r="225" customFormat="false" ht="15" hidden="false" customHeight="false" outlineLevel="0" collapsed="false">
      <c r="A225" s="7" t="s">
        <v>305</v>
      </c>
      <c r="B225" s="8" t="s">
        <v>324</v>
      </c>
      <c r="C225" s="7" t="s">
        <v>18</v>
      </c>
      <c r="D225" s="7" t="s">
        <v>324</v>
      </c>
      <c r="E225" s="7" t="n">
        <v>4</v>
      </c>
    </row>
    <row r="226" customFormat="false" ht="15" hidden="false" customHeight="false" outlineLevel="0" collapsed="false">
      <c r="A226" s="7" t="s">
        <v>305</v>
      </c>
      <c r="B226" s="8" t="s">
        <v>325</v>
      </c>
      <c r="C226" s="7" t="s">
        <v>18</v>
      </c>
      <c r="D226" s="7" t="s">
        <v>325</v>
      </c>
      <c r="E226" s="7" t="n">
        <v>2</v>
      </c>
    </row>
    <row r="227" customFormat="false" ht="15" hidden="false" customHeight="false" outlineLevel="0" collapsed="false">
      <c r="A227" s="7" t="s">
        <v>305</v>
      </c>
      <c r="B227" s="8" t="s">
        <v>326</v>
      </c>
      <c r="C227" s="7" t="s">
        <v>18</v>
      </c>
      <c r="D227" s="7" t="s">
        <v>326</v>
      </c>
      <c r="E227" s="7" t="n">
        <v>5</v>
      </c>
    </row>
    <row r="228" customFormat="false" ht="15" hidden="false" customHeight="false" outlineLevel="0" collapsed="false">
      <c r="A228" s="7" t="s">
        <v>305</v>
      </c>
      <c r="B228" s="8" t="s">
        <v>327</v>
      </c>
      <c r="C228" s="7" t="s">
        <v>18</v>
      </c>
      <c r="D228" s="7" t="s">
        <v>327</v>
      </c>
      <c r="E228" s="7" t="n">
        <v>16</v>
      </c>
    </row>
    <row r="229" customFormat="false" ht="15" hidden="false" customHeight="false" outlineLevel="0" collapsed="false">
      <c r="A229" s="7" t="s">
        <v>305</v>
      </c>
      <c r="B229" s="8" t="s">
        <v>328</v>
      </c>
      <c r="C229" s="7" t="s">
        <v>18</v>
      </c>
      <c r="D229" s="7" t="s">
        <v>328</v>
      </c>
      <c r="E229" s="7" t="n">
        <v>1</v>
      </c>
    </row>
    <row r="230" customFormat="false" ht="15" hidden="false" customHeight="false" outlineLevel="0" collapsed="false">
      <c r="A230" s="7" t="s">
        <v>305</v>
      </c>
      <c r="B230" s="8" t="s">
        <v>329</v>
      </c>
      <c r="C230" s="7" t="s">
        <v>18</v>
      </c>
      <c r="D230" s="7" t="s">
        <v>329</v>
      </c>
      <c r="E230" s="7" t="n">
        <v>10</v>
      </c>
    </row>
    <row r="231" customFormat="false" ht="15" hidden="false" customHeight="false" outlineLevel="0" collapsed="false">
      <c r="A231" s="7" t="s">
        <v>305</v>
      </c>
      <c r="B231" s="8" t="s">
        <v>330</v>
      </c>
      <c r="C231" s="7" t="s">
        <v>36</v>
      </c>
      <c r="D231" s="7" t="s">
        <v>331</v>
      </c>
      <c r="E231" s="7" t="n">
        <v>8</v>
      </c>
    </row>
    <row r="232" customFormat="false" ht="15" hidden="false" customHeight="false" outlineLevel="0" collapsed="false">
      <c r="A232" s="7" t="s">
        <v>305</v>
      </c>
      <c r="B232" s="8" t="s">
        <v>332</v>
      </c>
      <c r="C232" s="7" t="s">
        <v>36</v>
      </c>
      <c r="D232" s="7" t="s">
        <v>333</v>
      </c>
      <c r="E232" s="7" t="n">
        <v>8</v>
      </c>
    </row>
    <row r="233" customFormat="false" ht="15" hidden="false" customHeight="false" outlineLevel="0" collapsed="false">
      <c r="A233" s="7" t="s">
        <v>305</v>
      </c>
      <c r="B233" s="8" t="s">
        <v>334</v>
      </c>
      <c r="C233" s="7" t="s">
        <v>12</v>
      </c>
      <c r="D233" s="7" t="s">
        <v>335</v>
      </c>
      <c r="E233" s="7" t="n">
        <v>9</v>
      </c>
    </row>
    <row r="234" customFormat="false" ht="15" hidden="false" customHeight="false" outlineLevel="0" collapsed="false">
      <c r="A234" s="7" t="s">
        <v>305</v>
      </c>
      <c r="B234" s="8" t="s">
        <v>336</v>
      </c>
      <c r="C234" s="7" t="s">
        <v>18</v>
      </c>
      <c r="D234" s="7" t="s">
        <v>336</v>
      </c>
      <c r="E234" s="7" t="n">
        <v>8</v>
      </c>
    </row>
    <row r="235" customFormat="false" ht="15" hidden="false" customHeight="false" outlineLevel="0" collapsed="false">
      <c r="A235" s="7" t="s">
        <v>305</v>
      </c>
      <c r="B235" s="8" t="s">
        <v>337</v>
      </c>
      <c r="C235" s="7" t="s">
        <v>18</v>
      </c>
      <c r="D235" s="7" t="s">
        <v>337</v>
      </c>
      <c r="E235" s="7" t="n">
        <v>5</v>
      </c>
    </row>
    <row r="236" customFormat="false" ht="15" hidden="false" customHeight="false" outlineLevel="0" collapsed="false">
      <c r="A236" s="7" t="s">
        <v>305</v>
      </c>
      <c r="B236" s="8" t="s">
        <v>338</v>
      </c>
      <c r="C236" s="7" t="s">
        <v>18</v>
      </c>
      <c r="D236" s="7" t="s">
        <v>338</v>
      </c>
      <c r="E236" s="7" t="n">
        <v>9</v>
      </c>
    </row>
    <row r="237" customFormat="false" ht="15" hidden="false" customHeight="false" outlineLevel="0" collapsed="false">
      <c r="A237" s="7" t="s">
        <v>305</v>
      </c>
      <c r="B237" s="8" t="s">
        <v>339</v>
      </c>
      <c r="C237" s="7" t="s">
        <v>18</v>
      </c>
      <c r="D237" s="7" t="s">
        <v>339</v>
      </c>
      <c r="E237" s="7" t="n">
        <v>1</v>
      </c>
    </row>
    <row r="238" customFormat="false" ht="15" hidden="false" customHeight="false" outlineLevel="0" collapsed="false">
      <c r="A238" s="7" t="s">
        <v>305</v>
      </c>
      <c r="B238" s="8" t="s">
        <v>340</v>
      </c>
      <c r="C238" s="7" t="s">
        <v>18</v>
      </c>
      <c r="D238" s="7" t="s">
        <v>340</v>
      </c>
      <c r="E238" s="7" t="n">
        <v>17</v>
      </c>
    </row>
    <row r="239" customFormat="false" ht="15" hidden="false" customHeight="false" outlineLevel="0" collapsed="false">
      <c r="A239" s="7" t="s">
        <v>305</v>
      </c>
      <c r="B239" s="8" t="s">
        <v>341</v>
      </c>
      <c r="C239" s="7" t="s">
        <v>18</v>
      </c>
      <c r="D239" s="7" t="s">
        <v>341</v>
      </c>
      <c r="E239" s="7" t="n">
        <v>5</v>
      </c>
    </row>
    <row r="240" customFormat="false" ht="15" hidden="false" customHeight="false" outlineLevel="0" collapsed="false">
      <c r="A240" s="7" t="s">
        <v>305</v>
      </c>
      <c r="B240" s="8" t="s">
        <v>342</v>
      </c>
      <c r="C240" s="7" t="s">
        <v>24</v>
      </c>
      <c r="D240" s="7" t="s">
        <v>343</v>
      </c>
      <c r="E240" s="7" t="n">
        <v>13</v>
      </c>
    </row>
    <row r="241" customFormat="false" ht="15" hidden="false" customHeight="false" outlineLevel="0" collapsed="false">
      <c r="A241" s="7" t="s">
        <v>305</v>
      </c>
      <c r="B241" s="8" t="s">
        <v>344</v>
      </c>
      <c r="C241" s="7" t="s">
        <v>24</v>
      </c>
      <c r="D241" s="7" t="s">
        <v>345</v>
      </c>
      <c r="E241" s="7" t="n">
        <v>16</v>
      </c>
    </row>
    <row r="242" customFormat="false" ht="15" hidden="false" customHeight="false" outlineLevel="0" collapsed="false">
      <c r="A242" s="7" t="s">
        <v>305</v>
      </c>
      <c r="B242" s="8" t="s">
        <v>346</v>
      </c>
      <c r="C242" s="7" t="s">
        <v>12</v>
      </c>
      <c r="D242" s="7" t="s">
        <v>347</v>
      </c>
      <c r="E242" s="7" t="n">
        <v>5</v>
      </c>
    </row>
    <row r="243" customFormat="false" ht="15" hidden="false" customHeight="false" outlineLevel="0" collapsed="false">
      <c r="A243" s="7" t="s">
        <v>305</v>
      </c>
      <c r="B243" s="8" t="s">
        <v>348</v>
      </c>
      <c r="C243" s="7" t="s">
        <v>24</v>
      </c>
      <c r="D243" s="7" t="s">
        <v>349</v>
      </c>
      <c r="E243" s="7" t="n">
        <v>5</v>
      </c>
    </row>
    <row r="244" customFormat="false" ht="15" hidden="false" customHeight="false" outlineLevel="0" collapsed="false">
      <c r="A244" s="7" t="s">
        <v>305</v>
      </c>
      <c r="B244" s="8" t="s">
        <v>350</v>
      </c>
      <c r="C244" s="7" t="s">
        <v>24</v>
      </c>
      <c r="D244" s="7" t="s">
        <v>351</v>
      </c>
      <c r="E244" s="7" t="n">
        <v>2</v>
      </c>
    </row>
    <row r="245" customFormat="false" ht="15" hidden="false" customHeight="false" outlineLevel="0" collapsed="false">
      <c r="A245" s="7" t="s">
        <v>305</v>
      </c>
      <c r="B245" s="8" t="s">
        <v>352</v>
      </c>
      <c r="C245" s="7" t="s">
        <v>24</v>
      </c>
      <c r="D245" s="7" t="s">
        <v>353</v>
      </c>
      <c r="E245" s="7" t="n">
        <v>2</v>
      </c>
    </row>
    <row r="246" customFormat="false" ht="15" hidden="false" customHeight="false" outlineLevel="0" collapsed="false">
      <c r="A246" s="7" t="s">
        <v>305</v>
      </c>
      <c r="B246" s="8" t="s">
        <v>354</v>
      </c>
      <c r="C246" s="7" t="s">
        <v>24</v>
      </c>
      <c r="D246" s="7" t="s">
        <v>355</v>
      </c>
      <c r="E246" s="7" t="n">
        <v>1</v>
      </c>
    </row>
    <row r="247" customFormat="false" ht="15" hidden="false" customHeight="false" outlineLevel="0" collapsed="false">
      <c r="A247" s="7" t="s">
        <v>305</v>
      </c>
      <c r="B247" s="8" t="s">
        <v>356</v>
      </c>
      <c r="C247" s="7" t="s">
        <v>18</v>
      </c>
      <c r="D247" s="7" t="s">
        <v>356</v>
      </c>
      <c r="E247" s="7" t="n">
        <v>9</v>
      </c>
    </row>
    <row r="248" customFormat="false" ht="15" hidden="false" customHeight="false" outlineLevel="0" collapsed="false">
      <c r="A248" s="7" t="s">
        <v>305</v>
      </c>
      <c r="B248" s="8" t="s">
        <v>357</v>
      </c>
      <c r="C248" s="7" t="s">
        <v>12</v>
      </c>
      <c r="D248" s="7" t="s">
        <v>358</v>
      </c>
      <c r="E248" s="7" t="n">
        <v>9</v>
      </c>
    </row>
    <row r="249" customFormat="false" ht="15" hidden="false" customHeight="false" outlineLevel="0" collapsed="false">
      <c r="A249" s="7" t="s">
        <v>305</v>
      </c>
      <c r="B249" s="8" t="s">
        <v>359</v>
      </c>
      <c r="C249" s="7" t="s">
        <v>18</v>
      </c>
      <c r="D249" s="7" t="s">
        <v>359</v>
      </c>
      <c r="E249" s="7" t="n">
        <v>12</v>
      </c>
    </row>
    <row r="250" customFormat="false" ht="15" hidden="false" customHeight="false" outlineLevel="0" collapsed="false">
      <c r="A250" s="7" t="s">
        <v>305</v>
      </c>
      <c r="B250" s="8" t="s">
        <v>360</v>
      </c>
      <c r="C250" s="7" t="s">
        <v>24</v>
      </c>
      <c r="D250" s="7" t="s">
        <v>361</v>
      </c>
      <c r="E250" s="7" t="n">
        <v>7</v>
      </c>
    </row>
    <row r="251" customFormat="false" ht="15" hidden="false" customHeight="false" outlineLevel="0" collapsed="false">
      <c r="A251" s="7" t="s">
        <v>305</v>
      </c>
      <c r="B251" s="8" t="s">
        <v>362</v>
      </c>
      <c r="C251" s="7" t="s">
        <v>18</v>
      </c>
      <c r="D251" s="7" t="s">
        <v>362</v>
      </c>
      <c r="E251" s="7" t="n">
        <v>8</v>
      </c>
    </row>
    <row r="252" customFormat="false" ht="15" hidden="false" customHeight="false" outlineLevel="0" collapsed="false">
      <c r="A252" s="7" t="s">
        <v>305</v>
      </c>
      <c r="B252" s="8" t="s">
        <v>363</v>
      </c>
      <c r="C252" s="7" t="s">
        <v>18</v>
      </c>
      <c r="D252" s="7" t="s">
        <v>363</v>
      </c>
      <c r="E252" s="7" t="n">
        <v>8</v>
      </c>
    </row>
    <row r="253" customFormat="false" ht="15" hidden="false" customHeight="false" outlineLevel="0" collapsed="false">
      <c r="A253" s="7" t="s">
        <v>305</v>
      </c>
      <c r="B253" s="8" t="s">
        <v>364</v>
      </c>
      <c r="C253" s="7" t="s">
        <v>18</v>
      </c>
      <c r="D253" s="7" t="s">
        <v>364</v>
      </c>
      <c r="E253" s="7" t="n">
        <v>3</v>
      </c>
    </row>
    <row r="254" customFormat="false" ht="15" hidden="false" customHeight="false" outlineLevel="0" collapsed="false">
      <c r="A254" s="7" t="s">
        <v>305</v>
      </c>
      <c r="B254" s="8" t="s">
        <v>365</v>
      </c>
      <c r="C254" s="7" t="s">
        <v>24</v>
      </c>
      <c r="D254" s="7" t="s">
        <v>366</v>
      </c>
      <c r="E254" s="7" t="n">
        <v>5</v>
      </c>
    </row>
    <row r="255" customFormat="false" ht="15" hidden="false" customHeight="false" outlineLevel="0" collapsed="false">
      <c r="A255" s="7" t="s">
        <v>305</v>
      </c>
      <c r="B255" s="8" t="s">
        <v>367</v>
      </c>
      <c r="C255" s="7" t="s">
        <v>18</v>
      </c>
      <c r="D255" s="7" t="s">
        <v>367</v>
      </c>
      <c r="E255" s="7" t="n">
        <v>1</v>
      </c>
    </row>
    <row r="256" customFormat="false" ht="15" hidden="false" customHeight="false" outlineLevel="0" collapsed="false">
      <c r="A256" s="7" t="s">
        <v>305</v>
      </c>
      <c r="B256" s="8" t="s">
        <v>368</v>
      </c>
      <c r="C256" s="7" t="s">
        <v>18</v>
      </c>
      <c r="D256" s="7" t="s">
        <v>368</v>
      </c>
      <c r="E256" s="7" t="n">
        <v>13</v>
      </c>
    </row>
    <row r="257" customFormat="false" ht="15" hidden="false" customHeight="false" outlineLevel="0" collapsed="false">
      <c r="A257" s="7" t="s">
        <v>305</v>
      </c>
      <c r="B257" s="8" t="s">
        <v>369</v>
      </c>
      <c r="C257" s="7" t="s">
        <v>18</v>
      </c>
      <c r="D257" s="7" t="s">
        <v>369</v>
      </c>
      <c r="E257" s="7" t="n">
        <v>3</v>
      </c>
    </row>
    <row r="258" customFormat="false" ht="15" hidden="false" customHeight="false" outlineLevel="0" collapsed="false">
      <c r="A258" s="7" t="s">
        <v>305</v>
      </c>
      <c r="B258" s="8" t="s">
        <v>370</v>
      </c>
      <c r="C258" s="7" t="s">
        <v>18</v>
      </c>
      <c r="D258" s="7" t="s">
        <v>370</v>
      </c>
      <c r="E258" s="7" t="n">
        <v>4</v>
      </c>
    </row>
    <row r="259" customFormat="false" ht="15" hidden="false" customHeight="false" outlineLevel="0" collapsed="false">
      <c r="A259" s="7" t="s">
        <v>305</v>
      </c>
      <c r="B259" s="8" t="s">
        <v>371</v>
      </c>
      <c r="C259" s="7" t="s">
        <v>18</v>
      </c>
      <c r="D259" s="7" t="s">
        <v>371</v>
      </c>
      <c r="E259" s="7" t="n">
        <v>5</v>
      </c>
    </row>
    <row r="260" customFormat="false" ht="15" hidden="false" customHeight="false" outlineLevel="0" collapsed="false">
      <c r="A260" s="7" t="s">
        <v>305</v>
      </c>
      <c r="B260" s="8" t="s">
        <v>372</v>
      </c>
      <c r="C260" s="7" t="s">
        <v>18</v>
      </c>
      <c r="D260" s="7" t="s">
        <v>372</v>
      </c>
      <c r="E260" s="7" t="n">
        <v>13</v>
      </c>
    </row>
    <row r="261" customFormat="false" ht="15" hidden="false" customHeight="false" outlineLevel="0" collapsed="false">
      <c r="A261" s="7" t="s">
        <v>305</v>
      </c>
      <c r="B261" s="8" t="s">
        <v>373</v>
      </c>
      <c r="C261" s="7" t="s">
        <v>18</v>
      </c>
      <c r="D261" s="7" t="s">
        <v>373</v>
      </c>
      <c r="E261" s="7" t="n">
        <v>7</v>
      </c>
    </row>
    <row r="262" customFormat="false" ht="15" hidden="false" customHeight="false" outlineLevel="0" collapsed="false">
      <c r="A262" s="7" t="s">
        <v>305</v>
      </c>
      <c r="B262" s="8" t="s">
        <v>374</v>
      </c>
      <c r="C262" s="7" t="s">
        <v>18</v>
      </c>
      <c r="D262" s="7" t="s">
        <v>374</v>
      </c>
      <c r="E262" s="7" t="n">
        <v>6</v>
      </c>
    </row>
    <row r="263" customFormat="false" ht="15" hidden="false" customHeight="false" outlineLevel="0" collapsed="false">
      <c r="A263" s="7" t="s">
        <v>305</v>
      </c>
      <c r="B263" s="8" t="s">
        <v>375</v>
      </c>
      <c r="C263" s="7" t="s">
        <v>36</v>
      </c>
      <c r="D263" s="7" t="s">
        <v>376</v>
      </c>
      <c r="E263" s="7" t="n">
        <v>4</v>
      </c>
    </row>
    <row r="264" customFormat="false" ht="15" hidden="false" customHeight="false" outlineLevel="0" collapsed="false">
      <c r="A264" s="7" t="s">
        <v>305</v>
      </c>
      <c r="B264" s="8" t="s">
        <v>377</v>
      </c>
      <c r="C264" s="7" t="s">
        <v>18</v>
      </c>
      <c r="D264" s="7" t="s">
        <v>377</v>
      </c>
      <c r="E264" s="7" t="n">
        <v>3</v>
      </c>
    </row>
    <row r="265" customFormat="false" ht="15" hidden="false" customHeight="false" outlineLevel="0" collapsed="false">
      <c r="A265" s="7" t="s">
        <v>305</v>
      </c>
      <c r="B265" s="8" t="s">
        <v>378</v>
      </c>
      <c r="C265" s="7" t="s">
        <v>18</v>
      </c>
      <c r="D265" s="7" t="s">
        <v>378</v>
      </c>
      <c r="E265" s="7" t="n">
        <v>2</v>
      </c>
    </row>
    <row r="266" customFormat="false" ht="15" hidden="false" customHeight="false" outlineLevel="0" collapsed="false">
      <c r="A266" s="7" t="s">
        <v>305</v>
      </c>
      <c r="B266" s="8" t="s">
        <v>379</v>
      </c>
      <c r="C266" s="7" t="s">
        <v>18</v>
      </c>
      <c r="D266" s="7" t="s">
        <v>379</v>
      </c>
      <c r="E266" s="7" t="n">
        <v>1</v>
      </c>
    </row>
    <row r="267" customFormat="false" ht="15" hidden="false" customHeight="false" outlineLevel="0" collapsed="false">
      <c r="A267" s="7" t="s">
        <v>305</v>
      </c>
      <c r="B267" s="8" t="s">
        <v>380</v>
      </c>
      <c r="C267" s="7" t="s">
        <v>12</v>
      </c>
      <c r="D267" s="7" t="s">
        <v>381</v>
      </c>
      <c r="E267" s="7" t="n">
        <v>2</v>
      </c>
    </row>
    <row r="268" customFormat="false" ht="15" hidden="false" customHeight="false" outlineLevel="0" collapsed="false">
      <c r="A268" s="7" t="s">
        <v>305</v>
      </c>
      <c r="B268" s="8" t="s">
        <v>382</v>
      </c>
      <c r="C268" s="7" t="s">
        <v>18</v>
      </c>
      <c r="D268" s="7" t="s">
        <v>382</v>
      </c>
      <c r="E268" s="7" t="n">
        <v>1</v>
      </c>
    </row>
    <row r="269" customFormat="false" ht="15" hidden="false" customHeight="false" outlineLevel="0" collapsed="false">
      <c r="A269" s="7" t="s">
        <v>305</v>
      </c>
      <c r="B269" s="8" t="s">
        <v>383</v>
      </c>
      <c r="C269" s="7" t="s">
        <v>18</v>
      </c>
      <c r="D269" s="7" t="s">
        <v>383</v>
      </c>
      <c r="E269" s="7" t="n">
        <v>1</v>
      </c>
    </row>
    <row r="270" customFormat="false" ht="15" hidden="false" customHeight="false" outlineLevel="0" collapsed="false">
      <c r="A270" s="9" t="s">
        <v>384</v>
      </c>
      <c r="B270" s="10" t="s">
        <v>385</v>
      </c>
      <c r="C270" s="9" t="s">
        <v>24</v>
      </c>
      <c r="D270" s="9" t="s">
        <v>386</v>
      </c>
      <c r="E270" s="9" t="n">
        <v>4</v>
      </c>
    </row>
    <row r="271" customFormat="false" ht="15" hidden="false" customHeight="false" outlineLevel="0" collapsed="false">
      <c r="A271" s="9" t="s">
        <v>384</v>
      </c>
      <c r="B271" s="10" t="s">
        <v>387</v>
      </c>
      <c r="C271" s="9" t="s">
        <v>10</v>
      </c>
      <c r="D271" s="9" t="s">
        <v>387</v>
      </c>
      <c r="E271" s="9" t="n">
        <v>2</v>
      </c>
    </row>
    <row r="272" customFormat="false" ht="15" hidden="false" customHeight="false" outlineLevel="0" collapsed="false">
      <c r="A272" s="9" t="s">
        <v>384</v>
      </c>
      <c r="B272" s="10" t="s">
        <v>388</v>
      </c>
      <c r="C272" s="9" t="s">
        <v>18</v>
      </c>
      <c r="D272" s="9" t="s">
        <v>388</v>
      </c>
      <c r="E272" s="9" t="n">
        <v>1</v>
      </c>
    </row>
    <row r="273" customFormat="false" ht="15" hidden="false" customHeight="false" outlineLevel="0" collapsed="false">
      <c r="A273" s="9" t="s">
        <v>384</v>
      </c>
      <c r="B273" s="10" t="s">
        <v>389</v>
      </c>
      <c r="C273" s="9" t="s">
        <v>10</v>
      </c>
      <c r="D273" s="9" t="s">
        <v>389</v>
      </c>
      <c r="E273" s="9" t="n">
        <v>2</v>
      </c>
    </row>
    <row r="274" customFormat="false" ht="15" hidden="false" customHeight="false" outlineLevel="0" collapsed="false">
      <c r="A274" s="9" t="s">
        <v>384</v>
      </c>
      <c r="B274" s="10" t="s">
        <v>390</v>
      </c>
      <c r="C274" s="9" t="s">
        <v>10</v>
      </c>
      <c r="D274" s="9" t="s">
        <v>390</v>
      </c>
      <c r="E274" s="9" t="n">
        <v>1</v>
      </c>
    </row>
    <row r="275" customFormat="false" ht="15" hidden="false" customHeight="false" outlineLevel="0" collapsed="false">
      <c r="A275" s="9" t="s">
        <v>384</v>
      </c>
      <c r="B275" s="10" t="s">
        <v>391</v>
      </c>
      <c r="C275" s="9" t="s">
        <v>10</v>
      </c>
      <c r="D275" s="9" t="s">
        <v>391</v>
      </c>
      <c r="E275" s="9" t="n">
        <v>1</v>
      </c>
    </row>
    <row r="276" customFormat="false" ht="15" hidden="false" customHeight="false" outlineLevel="0" collapsed="false">
      <c r="A276" s="9" t="s">
        <v>384</v>
      </c>
      <c r="B276" s="10" t="s">
        <v>392</v>
      </c>
      <c r="C276" s="9" t="s">
        <v>10</v>
      </c>
      <c r="D276" s="9" t="s">
        <v>392</v>
      </c>
      <c r="E276" s="9" t="n">
        <v>1</v>
      </c>
    </row>
    <row r="277" customFormat="false" ht="15" hidden="false" customHeight="false" outlineLevel="0" collapsed="false">
      <c r="A277" s="9" t="s">
        <v>384</v>
      </c>
      <c r="B277" s="10" t="s">
        <v>393</v>
      </c>
      <c r="C277" s="9" t="s">
        <v>10</v>
      </c>
      <c r="D277" s="9" t="s">
        <v>393</v>
      </c>
      <c r="E277" s="9" t="n">
        <v>1</v>
      </c>
    </row>
    <row r="278" customFormat="false" ht="15" hidden="false" customHeight="false" outlineLevel="0" collapsed="false">
      <c r="A278" s="9" t="s">
        <v>384</v>
      </c>
      <c r="B278" s="10" t="s">
        <v>394</v>
      </c>
      <c r="C278" s="9" t="s">
        <v>18</v>
      </c>
      <c r="D278" s="9" t="s">
        <v>394</v>
      </c>
      <c r="E278" s="9" t="n">
        <v>1</v>
      </c>
    </row>
    <row r="279" customFormat="false" ht="15" hidden="false" customHeight="false" outlineLevel="0" collapsed="false">
      <c r="A279" s="9" t="s">
        <v>384</v>
      </c>
      <c r="B279" s="10" t="s">
        <v>395</v>
      </c>
      <c r="C279" s="9" t="s">
        <v>18</v>
      </c>
      <c r="D279" s="9" t="s">
        <v>395</v>
      </c>
      <c r="E279" s="9" t="n">
        <v>1</v>
      </c>
    </row>
    <row r="280" customFormat="false" ht="15" hidden="false" customHeight="false" outlineLevel="0" collapsed="false">
      <c r="A280" s="11" t="s">
        <v>396</v>
      </c>
      <c r="B280" s="12" t="s">
        <v>397</v>
      </c>
      <c r="C280" s="11" t="s">
        <v>36</v>
      </c>
      <c r="D280" s="11" t="s">
        <v>398</v>
      </c>
      <c r="E280" s="11"/>
    </row>
    <row r="281" customFormat="false" ht="15" hidden="false" customHeight="false" outlineLevel="0" collapsed="false">
      <c r="A281" s="11" t="s">
        <v>396</v>
      </c>
      <c r="B281" s="12" t="s">
        <v>399</v>
      </c>
      <c r="C281" s="11" t="s">
        <v>36</v>
      </c>
      <c r="D281" s="11" t="s">
        <v>400</v>
      </c>
      <c r="E281" s="11"/>
    </row>
    <row r="282" customFormat="false" ht="15" hidden="false" customHeight="false" outlineLevel="0" collapsed="false">
      <c r="A282" s="11" t="s">
        <v>396</v>
      </c>
      <c r="B282" s="12" t="s">
        <v>401</v>
      </c>
      <c r="C282" s="11" t="s">
        <v>36</v>
      </c>
      <c r="D282" s="11" t="s">
        <v>402</v>
      </c>
      <c r="E282" s="11"/>
    </row>
    <row r="283" customFormat="false" ht="15" hidden="false" customHeight="false" outlineLevel="0" collapsed="false">
      <c r="A283" s="11" t="s">
        <v>396</v>
      </c>
      <c r="B283" s="12" t="s">
        <v>403</v>
      </c>
      <c r="C283" s="11" t="s">
        <v>36</v>
      </c>
      <c r="D283" s="11" t="s">
        <v>404</v>
      </c>
      <c r="E283" s="11"/>
    </row>
    <row r="284" customFormat="false" ht="15" hidden="false" customHeight="false" outlineLevel="0" collapsed="false">
      <c r="A284" s="11" t="s">
        <v>396</v>
      </c>
      <c r="B284" s="12" t="s">
        <v>405</v>
      </c>
      <c r="C284" s="11" t="s">
        <v>36</v>
      </c>
      <c r="D284" s="11" t="s">
        <v>406</v>
      </c>
      <c r="E284" s="11"/>
    </row>
  </sheetData>
  <autoFilter ref="A5:E284"/>
  <hyperlinks>
    <hyperlink ref="B6" location="'E-Salade verte'!A1" display="Salade verte"/>
    <hyperlink ref="B7" location="'E-Potage de légumes'!A1" display="Potage de légumes"/>
    <hyperlink ref="B8" location="'E-Potage de féculents'!A1" display="Potage de féculents"/>
    <hyperlink ref="B9" location="'E-Taboulé'!A1" display="Taboulé"/>
    <hyperlink ref="B10" location="'E-Feuilleté'!A1" display="Feuilleté"/>
    <hyperlink ref="B11" location="'E-Salade d'endives'!A1" display="Salade d'endives"/>
    <hyperlink ref="B12" location="'E-Salade d'endives aux noix'!A1" display="Salade d'endives aux noix"/>
    <hyperlink ref="B13" location="'E-Endives au bleu et aux noix'!A1" display="Endives au bleu et aux noix"/>
    <hyperlink ref="B14" location="'E-Salade de riz'!A1" display="Salade de riz"/>
    <hyperlink ref="B15" location="'E-Betteraves vinaigrette'!A1" display="Betteraves vinaigrette"/>
    <hyperlink ref="B16" location="'E-Salade de betteraves et maïs'!A1" display="Salade de betteraves et maïs"/>
    <hyperlink ref="B17" location="'E-Salade mexicaine'!A1" display="Salade mexicaine"/>
    <hyperlink ref="B18" location="'E-Melon'!A1" display="Melon"/>
    <hyperlink ref="B19" location="'E-Pastèque'!A1" display="Pastèque"/>
    <hyperlink ref="B20" location="'E-Pamplemousse'!A1" display="Pamplemousse"/>
    <hyperlink ref="B21" location="'E-Poireaux vinaigrette'!A1" display="Poireaux vinaigrette"/>
    <hyperlink ref="B22" location="'E-Avocat vinaigrette ou mayonna'!A1" display="Avocat vinaigrette ou mayonnaise"/>
    <hyperlink ref="B23" location="'E-Salade de lentilles'!A1" display="Salade de lentilles"/>
    <hyperlink ref="B24" location="'E-Terrine de légumes'!A1" display="Terrine de légumes"/>
    <hyperlink ref="B25" location="'E-Salade de pois chiches'!A1" display="Salade de pois chiches"/>
    <hyperlink ref="B26" location="'E-Macédoine mayonnaise'!A1" display="Macédoine mayonnaise"/>
    <hyperlink ref="B27" location="'E-Salade de mâche'!A1" display="Salade de mâche"/>
    <hyperlink ref="B28" location="'E-Mâche et tartine de chèvre ch'!A1" display="Mâche et tartine de chèvre chaud"/>
    <hyperlink ref="B29" location="'E-Carottes râpées'!A1" display="Carottes râpées"/>
    <hyperlink ref="B30" location="'E-Pizza'!A1" display="Pizza"/>
    <hyperlink ref="B31" location="'E-Rosette'!A1" display="Rosette"/>
    <hyperlink ref="B32" location="'E-Saucisse sèche'!A1" display="Saucisse sèche"/>
    <hyperlink ref="B33" location="'E-Coleslaw'!A1" display="Coleslaw"/>
    <hyperlink ref="B34" location="'E-Salade de chou chinois'!A1" display="Salade de chou chinois"/>
    <hyperlink ref="B35" location="'E-Salade de tomates'!A1" display="Salade de tomates"/>
    <hyperlink ref="B36" location="'E-Tomates mozzarella'!A1" display="Tomates mozzarella"/>
    <hyperlink ref="B37" location="'E-Tomate antiboise'!A1" display="Tomate antiboise"/>
    <hyperlink ref="B38" location="'E-Tomate à la russe'!A1" display="Tomate à la russe"/>
    <hyperlink ref="B39" location="'E-Salade de pâtes'!A1" display="Salade de pâtes"/>
    <hyperlink ref="B40" location="'E-Salade de pâtes, poulet et pe'!A1" display="Salade de pâtes, poulet et pesto"/>
    <hyperlink ref="B41" location="'E-Asperges vinaigrette'!A1" display="Asperges vinaigrette"/>
    <hyperlink ref="B42" location="'E-Pâté aux olives'!A1" display="Pâté aux olives"/>
    <hyperlink ref="B43" location="'E-Jambon cru'!A1" display="Jambon cru"/>
    <hyperlink ref="B44" location="'E-Pâté de campagne'!A1" display="Pâté de campagne"/>
    <hyperlink ref="B45" location="'E-Salade de chou-fleur'!A1" display="Salade de chou-fleur"/>
    <hyperlink ref="B46" location="'E-Salade de haricots verts'!A1" display="Salade de haricots verts"/>
    <hyperlink ref="B47" location="'E-Salade de haricots beurre'!A1" display="Salade de haricots beurre"/>
    <hyperlink ref="B48" location="'E-Salade de haricots rouges'!A1" display="Salade de haricots rouges"/>
    <hyperlink ref="B49" location="'E-Salade de pommes de terre'!A1" display="Salade de pommes de terre"/>
    <hyperlink ref="B50" location="'E-Salade piémontaise'!A1" display="Salade piémontaise"/>
    <hyperlink ref="B51" location="'E-Salade de perles'!A1" display="Salade de perles"/>
    <hyperlink ref="B52" location="'E-Salade ebly'!A1" display="Salade ebly"/>
    <hyperlink ref="B53" location="'E-Salade gourmande de céréales'!A1" display="Salade gourmande de céréales"/>
    <hyperlink ref="B54" location="'E-Mousse de canard'!A1" display="Mousse de canard"/>
    <hyperlink ref="B55" location="'E-Rillettes de canard'!A1" display="Rillettes de canard"/>
    <hyperlink ref="B56" location="'E-Toast de foie gras'!A1" display="Toast de foie gras"/>
    <hyperlink ref="B57" location="'E-Céleri rémoulade'!A1" display="Céleri rémoulade"/>
    <hyperlink ref="B58" location="'E-Coquille Saint-Jacques'!A1" display="Coquille Saint-Jacques"/>
    <hyperlink ref="B59" location="'E-Feuilleté de Saint-Jacques'!A1" display="Feuilleté de Saint-Jacques"/>
    <hyperlink ref="B60" location="'E-Assiette de charcuterie'!A1" display="Assiette de charcuterie"/>
    <hyperlink ref="B61" location="'E-Pâté en croûte'!A1" display="Pâté en croûte"/>
    <hyperlink ref="B62" location="'E-Crêpe salée jambon fromage'!A1" display="Crêpe salée jambon fromage"/>
    <hyperlink ref="B63" location="'E-Râpé de courgettes'!A1" display="Râpé de courgettes"/>
    <hyperlink ref="B64" location="'E-Sardines'!A1" display="Sardines"/>
    <hyperlink ref="B65" location="'E-Maquereaux à la moutarde'!A1" display="Maquereaux à la moutarde"/>
    <hyperlink ref="B66" location="'E-Tarte à la tomate et au chèvr'!A1" display="Tarte à la tomate et au chèvre"/>
    <hyperlink ref="B67" location="'E-Tarte méditerranéenne'!A1" display="Tarte méditerranéenne"/>
    <hyperlink ref="B68" location="'E-Tarte à l'oignon'!A1" display="Tarte à l'oignon"/>
    <hyperlink ref="B69" location="'E-Tarte au fromage'!A1" display="Tarte au fromage"/>
    <hyperlink ref="B70" location="'E-Quiche lorraine'!A1" display="Quiche lorraine"/>
    <hyperlink ref="B71" location="'E-Quiche au thon'!A1" display="Quiche au thon"/>
    <hyperlink ref="B72" location="'E-Salade César'!A1" display="Salade César"/>
    <hyperlink ref="B73" location="'E-Surimi'!A1" display="Surimi"/>
    <hyperlink ref="B74" location="'E-Nems'!A1" display="Nems"/>
    <hyperlink ref="B75" location="'E-Chou rouge râpé aux pommes'!A1" display="Chou rouge râpé aux pommes"/>
    <hyperlink ref="B76" location="'E-Croque-monsieur'!A1" display="Croque-monsieur"/>
    <hyperlink ref="B77" location="'E-Terrine de poisson'!A1" display="Terrine de poisson"/>
    <hyperlink ref="B78" location="'E-Tartare de saumon'!A1" display="Tartare de saumon"/>
    <hyperlink ref="B79" location="'E-Velouté de cèpes et châtaigne'!A1" display="Velouté de cèpes et châtaignes"/>
    <hyperlink ref="B80" location="'E-Velouté aux pointes d'asperge'!A1" display="Velouté aux pointes d'asperges"/>
    <hyperlink ref="B81" location="'E-Velouté de potimarron'!A1" display="Velouté de potimarron"/>
    <hyperlink ref="B82" location="'E-Soupe de poisson'!A1" display="Soupe de poisson"/>
    <hyperlink ref="B83" location="'E-Salade périgourdine'!A1" display="Salade périgourdine"/>
    <hyperlink ref="B84" location="'E-Salade verte aux croûtons et'!A1" display="Salade verte aux croûtons et gésiers"/>
    <hyperlink ref="B85" location="'E-Œuf mayonnaise'!A1" display="Œuf mayonnaise"/>
    <hyperlink ref="B86" location="'E-Salade d'artichauts'!A1" display="Salade d'artichauts"/>
    <hyperlink ref="B87" location="'E-Champignons à la grecque'!A1" display="Champignons à la grecque"/>
    <hyperlink ref="B88" location="'E-Salade crétoise à la feta'!A1" display="Salade crétoise à la feta"/>
    <hyperlink ref="B89" location="'P-Rôti de veau'!A1" display="Rôti de veau"/>
    <hyperlink ref="B90" location="'P-Cordon bleu'!A1" display="Cordon bleu"/>
    <hyperlink ref="B91" location="'P-Jambon blanc'!A1" display="Jambon blanc"/>
    <hyperlink ref="B92" location="'P-Jambon à la russe'!A1" display="Jambon à la russe"/>
    <hyperlink ref="B93" location="'P-Jambon braisé'!A1" display="Jambon braisé"/>
    <hyperlink ref="B94" location="'P-Ficelle picarde (jambon picar'!A1" display="Ficelle picarde (jambon picard)"/>
    <hyperlink ref="B95" location="'P-Poisson pané'!A1" display="Poisson pané"/>
    <hyperlink ref="B96" location="'P-Escalope de veau'!A1" display="Escalope de veau"/>
    <hyperlink ref="B97" location="'P-Escalope viennoise'!A1" display="Escalope viennoise"/>
    <hyperlink ref="B98" location="'P-Paupiette de volaille'!A1" display="Paupiette de volaille"/>
    <hyperlink ref="B99" location="'P-Paupiette de veau sauce tomat'!A1" display="Paupiette de veau sauce tomate"/>
    <hyperlink ref="B100" location="'P-Pavé de poisson sauce beurre'!A1" display="Pavé de poisson sauce beurre blanc"/>
    <hyperlink ref="B101" location="'P-Pavé de saumon'!A1" display="Pavé de saumon"/>
    <hyperlink ref="B102" location="'P-Rôti de porc'!A1" display="Rôti de porc"/>
    <hyperlink ref="B103" location="'P-Rôti de porc froid'!A1" display="Rôti de porc froid"/>
    <hyperlink ref="B104" location="'P-Escalope de porc'!A1" display="Escalope de porc"/>
    <hyperlink ref="B105" location="'P-Saucisse de Toulouse'!A1" display="Saucisse de Toulouse"/>
    <hyperlink ref="B106" location="'P-Saucisse de volaille'!A1" display="Saucisse de volaille"/>
    <hyperlink ref="B107" location="'P-Chipolatas'!A1" display="Chipolatas"/>
    <hyperlink ref="B108" location="'P-Merguez'!A1" display="Merguez"/>
    <hyperlink ref="B109" location="'P-Hachis parmentier'!A1" display="Hachis parmentier"/>
    <hyperlink ref="B110" location="'P-Parmentier de canard'!A1" display="Parmentier de canard"/>
    <hyperlink ref="B111" location="'P-Parmentier de poisson'!A1" display="Parmentier de poisson"/>
    <hyperlink ref="B112" location="'P-Dos de cabillaud'!A1" display="Dos de cabillaud"/>
    <hyperlink ref="B113" location="'P-Dos de colin meunière'!A1" display="Dos de colin meunière"/>
    <hyperlink ref="B114" location="'P-Dos de colin bordelaise'!A1" display="Dos de colin bordelaise"/>
    <hyperlink ref="B115" location="'P-Dos de loup ou filet de dorad'!A1" display="Dos de loup ou filet de dorade"/>
    <hyperlink ref="B116" location="'P-Rôti de bœuf'!A1" display="Rôti de bœuf"/>
    <hyperlink ref="B117" location="'P-Rosbif froid'!A1" display="Rosbif froid"/>
    <hyperlink ref="B118" location="'P-Sauté de veau'!A1" display="Sauté de veau"/>
    <hyperlink ref="B119" location="'P-Sauté de lapin'!A1" display="Sauté de lapin"/>
    <hyperlink ref="B120" location="'P-Cuisse de lapin à la moutarde'!A1" display="Cuisse de lapin à la moutarde"/>
    <hyperlink ref="B121" location="'P-Tête de veau sauce gribiche'!A1" display="Tête de veau sauce gribiche"/>
    <hyperlink ref="B122" location="'P-Raviolis'!A1" display="Raviolis"/>
    <hyperlink ref="B123" location="'P-Cannellonis'!A1" display="Cannellonis"/>
    <hyperlink ref="B124" location="'P-Steak de bœuf'!A1" display="Steak de bœuf"/>
    <hyperlink ref="B125" location="'P-Steak haché'!A1" display="Steak haché"/>
    <hyperlink ref="B126" location="'P-Moussaka'!A1" display="Moussaka"/>
    <hyperlink ref="B127" location="'P-Poulet basquaise'!A1" display="Poulet basquaise"/>
    <hyperlink ref="B128" location="'P-Lasagnes au bœuf'!A1" display="Lasagnes au bœuf"/>
    <hyperlink ref="B129" location="'P-Lasagnes saumon épinards'!A1" display="Lasagnes saumon épinards"/>
    <hyperlink ref="B130" location="'P-Pot-au-feu'!A1" display="Pot-au-feu"/>
    <hyperlink ref="B131" location="'P-Pâtes bolognaise'!A1" display="Pâtes bolognaise"/>
    <hyperlink ref="B132" location="'P-Pâtes carbonara'!A1" display="Pâtes carbonara"/>
    <hyperlink ref="B133" location="'P-Pâtes au chorizo'!A1" display="Pâtes au chorizo"/>
    <hyperlink ref="B134" location="'P-Gratin de pâtes au jambon'!A1" display="Gratin de pâtes au jambon"/>
    <hyperlink ref="B135" location="'P-Suprême de volaille'!A1" display="Suprême de volaille"/>
    <hyperlink ref="B136" location="'P-Langue de bœuf sauce piquante'!A1" display="Langue de bœuf sauce piquante"/>
    <hyperlink ref="B137" location="'P-Choucroute garnie'!A1" display="Choucroute garnie"/>
    <hyperlink ref="B138" location="'P-Mortadelle'!A1" display="Mortadelle"/>
    <hyperlink ref="B139" location="'P-Gratin de poisson'!A1" display="Gratin de poisson"/>
    <hyperlink ref="B140" location="'P-Nuggets de poulet'!A1" display="Nuggets de poulet"/>
    <hyperlink ref="B141" location="'P-Donuts de poulet'!A1" display="Donuts de poulet"/>
    <hyperlink ref="B142" location="'P-Omelette'!A1" display="Omelette"/>
    <hyperlink ref="B143" location="'P-Omelette piperade'!A1" display="Omelette piperade"/>
    <hyperlink ref="B144" location="'P-Endives au jambon'!A1" display="Endives au jambon"/>
    <hyperlink ref="B145" location="'P-Blanquette de veau'!A1" display="Blanquette de veau"/>
    <hyperlink ref="B146" location="'P-Blanquette de dinde'!A1" display="Blanquette de dinde"/>
    <hyperlink ref="B147" location="'P-Blanquette de poisson'!A1" display="Blanquette de poisson"/>
    <hyperlink ref="B148" location="'P-Tartiflette'!A1" display="Tartiflette"/>
    <hyperlink ref="B149" location="'P-Croziflette'!A1" display="Croziflette"/>
    <hyperlink ref="B150" location="'P-Œufs durs sauce béchamel'!A1" display="Œufs durs sauce béchamel"/>
    <hyperlink ref="B151" location="'P-Œufs à la florentine'!A1" display="Œufs à la florentine"/>
    <hyperlink ref="B152" location="'P-Chili con carne'!A1" display="Chili con carne"/>
    <hyperlink ref="B153" location="'P-Flammekueche'!A1" display="Flammekueche"/>
    <hyperlink ref="B154" location="'P-Rôti de dinde'!A1" display="Rôti de dinde"/>
    <hyperlink ref="B155" location="'P-Tripoux'!A1" display="Tripoux"/>
    <hyperlink ref="B156" location="'P-Tripes à la mode de Caen'!A1" display="Tripes à la mode de Caen"/>
    <hyperlink ref="B157" location="'P-Boulettes de bœuf sauce tomat'!A1" display="Boulettes de bœuf sauce tomate"/>
    <hyperlink ref="B158" location="'P-Cuisse de poulet rôtie'!A1" display="Cuisse de poulet rôtie"/>
    <hyperlink ref="B159" location="'P-Cuisse de pintade'!A1" display="Cuisse de pintade"/>
    <hyperlink ref="B160" location="'P-Hamburger'!A1" display="Hamburger"/>
    <hyperlink ref="B161" location="'P-Kebab'!A1" display="Kebab"/>
    <hyperlink ref="B162" location="'P-Andouillette'!A1" display="Andouillette"/>
    <hyperlink ref="B163" location="'P-Quenelles de volaille sauce'!A1" display="Quenelles de volaille sauce"/>
    <hyperlink ref="B164" location="'P-Godiveau'!A1" display="Godiveau"/>
    <hyperlink ref="B165" location="'P-Bouchée à la reine'!A1" display="Bouchée à la reine"/>
    <hyperlink ref="B166" location="'P-Filet mignon de porc au cidre'!A1" display="Filet mignon de porc au cidre"/>
    <hyperlink ref="B167" location="'P-Escalope de dinde'!A1" display="Escalope de dinde"/>
    <hyperlink ref="B168" location="'P-Chou farci'!A1" display="Chou farci"/>
    <hyperlink ref="B169" location="'P-Navarin d'agneau'!A1" display="Navarin d'agneau"/>
    <hyperlink ref="B170" location="'P-Sauté d'agneau'!A1" display="Sauté d'agneau"/>
    <hyperlink ref="B171" location="'P-Gigot d'agneau'!A1" display="Gigot d'agneau"/>
    <hyperlink ref="B172" location="'P-Souris d'agneau'!A1" display="Souris d'agneau"/>
    <hyperlink ref="B173" location="'P-Aiguillettes de poulet aux cè'!A1" display="Aiguillettes de poulet aux cèpes"/>
    <hyperlink ref="B174" location="'P-Cassoulet'!A1" display="Cassoulet"/>
    <hyperlink ref="B175" location="'P-Sauté de volaille'!A1" display="Sauté de volaille"/>
    <hyperlink ref="B176" location="'P-Jambonnette de volaille'!A1" display="Jambonnette de volaille"/>
    <hyperlink ref="B177" location="'P-Calamars à la provençale'!A1" display="Calamars à la provençale"/>
    <hyperlink ref="B178" location="'P-Moules marinières'!A1" display="Moules marinières"/>
    <hyperlink ref="B179" location="'P-Courgettes farcies'!A1" display="Courgettes farcies"/>
    <hyperlink ref="B180" location="'P-Tomates farcies'!A1" display="Tomates farcies"/>
    <hyperlink ref="B181" location="'P-Aubergines farcies'!A1" display="Aubergines farcies"/>
    <hyperlink ref="B182" location="'P-Pommes de terre farcies'!A1" display="Pommes de terre farcies"/>
    <hyperlink ref="B183" location="'P-Boudin noir aux pommes'!A1" display="Boudin noir aux pommes"/>
    <hyperlink ref="B184" location="'P-Boudin blanc sauce morilles'!A1" display="Boudin blanc sauce morilles"/>
    <hyperlink ref="B185" location="'P-Daube de bœuf'!A1" display="Daube de bœuf"/>
    <hyperlink ref="B186" location="'P-Bœuf bourguignon'!A1" display="Bœuf bourguignon"/>
    <hyperlink ref="B187" location="'P-Carbonnade flamande'!A1" display="Carbonnade flamande"/>
    <hyperlink ref="B188" location="'P-Petit salé aux lentilles'!A1" display="Petit salé aux lentilles"/>
    <hyperlink ref="B189" location="'P-Brandade de morue'!A1" display="Brandade de morue"/>
    <hyperlink ref="B190" location="'P-Paëlla'!A1" display="Paëlla"/>
    <hyperlink ref="B191" location="'P-Crêpe aux champignons'!A1" display="Crêpe aux champignons"/>
    <hyperlink ref="B192" location="'P-Saucisson brioché'!A1" display="Saucisson brioché"/>
    <hyperlink ref="B193" location="'P-Couscous'!A1" display="Couscous"/>
    <hyperlink ref="B194" location="'P-Rougail saucisse'!A1" display="Rougail saucisse"/>
    <hyperlink ref="B195" location="'P-Magret de canard'!A1" display="Magret de canard"/>
    <hyperlink ref="B196" location="'P-Sauté de porc'!A1" display="Sauté de porc"/>
    <hyperlink ref="B197" location="'P-Sauté de porc au curry doux'!A1" display="Sauté de porc au curry doux"/>
    <hyperlink ref="B198" location="'P-Sauté de porc aux pruneaux'!A1" display="Sauté de porc aux pruneaux"/>
    <hyperlink ref="B199" location="'P-Porc au caramel'!A1" display="Porc au caramel"/>
    <hyperlink ref="B200" location="'P-Gardianne de taureau'!A1" display="Gardianne de taureau"/>
    <hyperlink ref="B201" location="'P-Brochette de volaille'!A1" display="Brochette de volaille"/>
    <hyperlink ref="B202" location="'P-Brochette de bœuf'!A1" display="Brochette de bœuf"/>
    <hyperlink ref="B203" location="'P-Aubergines à la parmesane'!A1" display="Aubergines à la parmesane"/>
    <hyperlink ref="B204" location="'P-Bœuf aux oignons'!A1" display="Bœuf aux oignons"/>
    <hyperlink ref="B205" location="'P-Sot-l'y-laisse de dinde à la'!A1" display="Sot-l'y-laisse de dinde à la crème"/>
    <hyperlink ref="B206" location="'P-Croustade d'escargots'!A1" display="Croustade d'escargots"/>
    <hyperlink ref="B207" location="'P-Gratin de courgettes à la via'!A1" display="Gratin de courgettes à la viande"/>
    <hyperlink ref="B208" location="'P-Tourte aux champignons'!A1" display="Tourte aux champignons"/>
    <hyperlink ref="B209" location="'P-Feuilleté franc-comtois'!A1" display="Feuilleté franc-comtois"/>
    <hyperlink ref="B210" location="'P-Riz cantonais'!A1" display="Riz cantonais"/>
    <hyperlink ref="B211" location="'G-Riz pilaf'!A1" display="Riz pilaf"/>
    <hyperlink ref="B212" location="'G-Riz à la tomate'!A1" display="Riz à la tomate"/>
    <hyperlink ref="B213" location="'G-Semoule'!A1" display="Semoule"/>
    <hyperlink ref="B214" location="'G-Haricots verts'!A1" display="Haricots verts"/>
    <hyperlink ref="B215" location="'G-Salsifis'!A1" display="Salsifis"/>
    <hyperlink ref="B216" location="'G-Petits pois'!A1" display="Petits pois"/>
    <hyperlink ref="B217" location="'G-Petits pois carottes'!A1" display="Petits pois carottes"/>
    <hyperlink ref="B218" location="'G-Carottes Vichy'!A1" display="Carottes Vichy"/>
    <hyperlink ref="B219" location="'G-Carottes à la crème'!A1" display="Carottes à la crème"/>
    <hyperlink ref="B220" location="'G-Haricots beurre'!A1" display="Haricots beurre"/>
    <hyperlink ref="B221" location="'G-Haricots plats'!A1" display="Haricots plats"/>
    <hyperlink ref="B222" location="'G-Gratin dauphinois'!A1" display="Gratin dauphinois"/>
    <hyperlink ref="B223" location="'G-Pâtes au beurre'!A1" display="Pâtes au beurre"/>
    <hyperlink ref="B224" location="'G-Pâtes au pesto'!A1" display="Pâtes au pesto"/>
    <hyperlink ref="B225" location="'G-Nouilles chinoises'!A1" display="Nouilles chinoises"/>
    <hyperlink ref="B226" location="'G-Gnocchis'!A1" display="Gnocchis"/>
    <hyperlink ref="B227" location="'G-Perles'!A1" display="Perles"/>
    <hyperlink ref="B228" location="'G-Brocolis'!A1" display="Brocolis"/>
    <hyperlink ref="B229" location="'G-Purée de brocolis'!A1" display="Purée de brocolis"/>
    <hyperlink ref="B230" location="'G-Chou romanesco'!A1" display="Chou romanesco"/>
    <hyperlink ref="B231" location="'G-Lentilles'!A1" display="Lentilles"/>
    <hyperlink ref="B232" location="'G-Haricots blancs'!A1" display="Haricots blancs"/>
    <hyperlink ref="B233" location="'G-Flageolets'!A1" display="Flageolets"/>
    <hyperlink ref="B234" location="'G-Pommes dauphine'!A1" display="Pommes dauphine"/>
    <hyperlink ref="B235" location="'G-Pommes duchesse'!A1" display="Pommes duchesse"/>
    <hyperlink ref="B236" location="'G-Frites'!A1" display="Frites"/>
    <hyperlink ref="B237" location="'G-Frites de patate douce'!A1" display="Frites de patate douce"/>
    <hyperlink ref="B238" location="'G-Rösti'!A1" display="Rösti"/>
    <hyperlink ref="B239" location="'G-Râpé de pommes de terre'!A1" display="Râpé de pommes de terre"/>
    <hyperlink ref="B240" location="'G-Pommes de terre rissolées'!A1" display="Pommes de terre rissolées"/>
    <hyperlink ref="B241" location="'G-Pommes de terre vapeur'!A1" display="Pommes de terre vapeur"/>
    <hyperlink ref="B242" location="'G-Pommes de terre boulangère'!A1" display="Pommes de terre boulangère"/>
    <hyperlink ref="B243" location="'G-Purée de pommes de terre'!A1" display="Purée de pommes de terre"/>
    <hyperlink ref="B244" location="'G-Purée de châtaignes et pommes'!A1" display="Purée de châtaignes et pommes de terre"/>
    <hyperlink ref="B245" location="'G-Purée de potiron'!A1" display="Purée de potiron"/>
    <hyperlink ref="B246" location="'G-Purée de patate douce'!A1" display="Purée de patate douce"/>
    <hyperlink ref="B247" location="'G-Choux de Bruxelles'!A1" display="Choux de Bruxelles"/>
    <hyperlink ref="B248" location="'G-Fondue de poireaux'!A1" display="Fondue de poireaux"/>
    <hyperlink ref="B249" location="'G-Épinards à la crème'!A1" display="Épinards à la crème"/>
    <hyperlink ref="B250" location="'G-Côtes de blettes'!A1" display="Côtes de blettes"/>
    <hyperlink ref="B251" location="'G-Tomates provençales'!A1" display="Tomates provençales"/>
    <hyperlink ref="B252" location="'G-Chou-fleur persillé'!A1" display="Chou-fleur persillé"/>
    <hyperlink ref="B253" location="'G-Gratin de chou-fleur'!A1" display="Gratin de chou-fleur"/>
    <hyperlink ref="B254" location="'G-Aligot'!A1" display="Aligot"/>
    <hyperlink ref="B255" location="'G-Truffade au cantal'!A1" display="Truffade au cantal"/>
    <hyperlink ref="B256" location="'G-Poêlée de légumes'!A1" display="Poêlée de légumes"/>
    <hyperlink ref="B257" location="'G-Poêlée campagnarde'!A1" display="Poêlée campagnarde"/>
    <hyperlink ref="B258" location="'G-Poêlée de champignons'!A1" display="Poêlée de champignons"/>
    <hyperlink ref="B259" location="'G-Jardinière de légumes'!A1" display="Jardinière de légumes"/>
    <hyperlink ref="B260" location="'G-Macédoine de légumes au beurr'!A1" display="Macédoine de légumes au beurre"/>
    <hyperlink ref="B261" location="'G-Gratin de potimarron'!A1" display="Gratin de potimarron"/>
    <hyperlink ref="B262" location="'G-Flan de légumes'!A1" display="Flan de légumes"/>
    <hyperlink ref="B263" location="'G-Ratatouille'!A1" display="Ratatouille"/>
    <hyperlink ref="B264" location="'G-Pommes caramélisées'!A1" display="Pommes caramélisées"/>
    <hyperlink ref="B265" location="'G-Courgettes sautées'!A1" display="Courgettes sautées"/>
    <hyperlink ref="B266" location="'G-Gratin de courgettes'!A1" display="Gratin de courgettes"/>
    <hyperlink ref="B267" location="'G-Légumes de pot-au-feu'!A1" display="Légumes de pot-au-feu"/>
    <hyperlink ref="B268" location="'G-Risotto'!A1" display="Risotto"/>
    <hyperlink ref="B269" location="'G-Crumble de légumes'!A1" display="Crumble de légumes"/>
    <hyperlink ref="B270" location="'D-Compote de fruits (fruit cuit'!A1" display="Compote de fruits (fruit cuit)"/>
    <hyperlink ref="B271" location="'D-Salade de fruits frais'!A1" display="Salade de fruits frais"/>
    <hyperlink ref="B272" location="'D-Crêpes sucrées'!A1" display="Crêpes sucrées"/>
    <hyperlink ref="B273" location="'D-Bûche de Noël'!A1" display="Bûche de Noël"/>
    <hyperlink ref="B274" location="'D-Entremets croustillant chocol'!A1" display="Entremets croustillant chocolat"/>
    <hyperlink ref="B275" location="'D-Entremets vanille fruits roug'!A1" display="Entremets vanille fruits rouges"/>
    <hyperlink ref="B276" location="'D-Entremets chocolat caramel'!A1" display="Entremets chocolat caramel"/>
    <hyperlink ref="B277" location="'D-Cheesecake à la mangue'!A1" display="Cheesecake à la mangue"/>
    <hyperlink ref="B278" location="'D-Religieuse'!A1" display="Religieuse"/>
    <hyperlink ref="B279" location="'D-Tarte aux framboises'!A1" display="Tarte aux framboises"/>
    <hyperlink ref="B280" location="'X-Joue de boeuf'!A1" display="Joue de boeuf"/>
    <hyperlink ref="B281" location="'X-Haricots rouges'!A1" display="Haricots rouges"/>
    <hyperlink ref="B282" location="'X-Chili-viande à part'!A1" display="Chili-viande à part"/>
    <hyperlink ref="B283" location="'X-COCO-Catalans'!A1" display="COCO-Catalans"/>
    <hyperlink ref="B284" location="'X-Pois Chiches'!A1" display="Pois Chiche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2109375" defaultRowHeight="15" zeroHeight="false" outlineLevelRow="0" outlineLevelCol="0"/>
  <cols>
    <col collapsed="false" customWidth="true" hidden="false" outlineLevel="0" max="1" min="1" style="0" width="44"/>
    <col collapsed="false" customWidth="true" hidden="false" outlineLevel="0" max="2" min="2" style="0" width="14"/>
    <col collapsed="false" customWidth="true" hidden="false" outlineLevel="0" max="3" min="3" style="0" width="80"/>
  </cols>
  <sheetData>
    <row r="1" customFormat="false" ht="19.7" hidden="false" customHeight="false" outlineLevel="0" collapsed="false">
      <c r="A1" s="13" t="s">
        <v>407</v>
      </c>
    </row>
    <row r="2" customFormat="false" ht="17.35" hidden="false" customHeight="false" outlineLevel="0" collapsed="false">
      <c r="A2" s="14" t="s">
        <v>408</v>
      </c>
      <c r="B2" s="15" t="n">
        <v>70</v>
      </c>
      <c r="C2" s="16" t="s">
        <v>409</v>
      </c>
    </row>
    <row r="3" customFormat="false" ht="17.35" hidden="false" customHeight="false" outlineLevel="0" collapsed="false">
      <c r="A3" s="14" t="s">
        <v>410</v>
      </c>
      <c r="B3" s="17" t="n">
        <v>70</v>
      </c>
      <c r="C3" s="16" t="s">
        <v>411</v>
      </c>
    </row>
    <row r="4" customFormat="false" ht="17.35" hidden="false" customHeight="false" outlineLevel="0" collapsed="false">
      <c r="A4" s="14" t="s">
        <v>412</v>
      </c>
      <c r="B4" s="17" t="n">
        <v>40</v>
      </c>
      <c r="C4" s="16" t="s">
        <v>413</v>
      </c>
    </row>
    <row r="5" customFormat="false" ht="17.35" hidden="false" customHeight="false" outlineLevel="0" collapsed="false">
      <c r="A5" s="18" t="s">
        <v>414</v>
      </c>
      <c r="B5" s="19" t="n">
        <f aca="false">B3+B4</f>
        <v>110</v>
      </c>
      <c r="C5" s="16" t="s">
        <v>415</v>
      </c>
    </row>
    <row r="7" customFormat="false" ht="15" hidden="false" customHeight="false" outlineLevel="0" collapsed="false">
      <c r="A7" s="16" t="s">
        <v>416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2109375" defaultRowHeight="15" zeroHeight="false" outlineLevelRow="0" outlineLevelCol="0"/>
  <cols>
    <col collapsed="false" customWidth="true" hidden="false" outlineLevel="0" max="1" min="1" style="0" width="10"/>
    <col collapsed="false" customWidth="true" hidden="false" outlineLevel="0" max="2" min="2" style="0" width="30"/>
    <col collapsed="false" customWidth="true" hidden="false" outlineLevel="0" max="3" min="3" style="0" width="44"/>
    <col collapsed="false" customWidth="true" hidden="false" outlineLevel="0" max="4" min="4" style="0" width="7"/>
    <col collapsed="false" customWidth="true" hidden="false" outlineLevel="0" max="5" min="5" style="0" width="22"/>
    <col collapsed="false" customWidth="true" hidden="false" outlineLevel="0" max="7" min="6" style="0" width="16"/>
    <col collapsed="false" customWidth="true" hidden="false" outlineLevel="0" max="8" min="8" style="0" width="12"/>
    <col collapsed="false" customWidth="true" hidden="false" outlineLevel="0" max="9" min="9" style="0" width="18"/>
    <col collapsed="false" customWidth="true" hidden="false" outlineLevel="0" max="10" min="10" style="0" width="14"/>
    <col collapsed="false" customWidth="true" hidden="false" outlineLevel="0" max="11" min="11" style="0" width="10"/>
    <col collapsed="false" customWidth="true" hidden="false" outlineLevel="0" max="12" min="12" style="0" width="30"/>
  </cols>
  <sheetData>
    <row r="1" customFormat="false" ht="19.7" hidden="false" customHeight="false" outlineLevel="0" collapsed="false">
      <c r="A1" s="13" t="s">
        <v>417</v>
      </c>
    </row>
    <row r="2" customFormat="false" ht="15" hidden="false" customHeight="false" outlineLevel="0" collapsed="false">
      <c r="A2" s="16" t="s">
        <v>418</v>
      </c>
    </row>
    <row r="4" customFormat="false" ht="42" hidden="false" customHeight="true" outlineLevel="0" collapsed="false">
      <c r="A4" s="20" t="s">
        <v>419</v>
      </c>
      <c r="B4" s="20" t="s">
        <v>420</v>
      </c>
      <c r="C4" s="20" t="s">
        <v>421</v>
      </c>
      <c r="D4" s="20" t="s">
        <v>422</v>
      </c>
      <c r="E4" s="20" t="s">
        <v>423</v>
      </c>
      <c r="F4" s="20" t="s">
        <v>424</v>
      </c>
      <c r="G4" s="20" t="s">
        <v>425</v>
      </c>
      <c r="H4" s="20" t="s">
        <v>426</v>
      </c>
      <c r="I4" s="20" t="s">
        <v>427</v>
      </c>
      <c r="J4" s="20" t="s">
        <v>428</v>
      </c>
      <c r="K4" s="20" t="s">
        <v>429</v>
      </c>
      <c r="L4" s="20" t="s">
        <v>430</v>
      </c>
    </row>
    <row r="5" customFormat="false" ht="15" hidden="false" customHeight="false" outlineLevel="0" collapsed="false">
      <c r="A5" s="21" t="s">
        <v>431</v>
      </c>
      <c r="B5" s="21" t="s">
        <v>432</v>
      </c>
      <c r="C5" s="21" t="s">
        <v>433</v>
      </c>
      <c r="D5" s="21" t="s">
        <v>434</v>
      </c>
      <c r="E5" s="21" t="s">
        <v>435</v>
      </c>
      <c r="F5" s="22" t="n">
        <v>12.5</v>
      </c>
      <c r="G5" s="23"/>
      <c r="H5" s="24"/>
      <c r="I5" s="25"/>
      <c r="J5" s="26" t="n">
        <f aca="false">IF(G5&lt;&gt;"",G5,F5)</f>
        <v>12.5</v>
      </c>
      <c r="K5" s="21" t="n">
        <v>2</v>
      </c>
      <c r="L5" s="21"/>
    </row>
    <row r="6" customFormat="false" ht="15" hidden="false" customHeight="false" outlineLevel="0" collapsed="false">
      <c r="A6" s="21" t="s">
        <v>436</v>
      </c>
      <c r="B6" s="21" t="s">
        <v>432</v>
      </c>
      <c r="C6" s="21" t="s">
        <v>437</v>
      </c>
      <c r="D6" s="21" t="s">
        <v>434</v>
      </c>
      <c r="E6" s="21" t="s">
        <v>438</v>
      </c>
      <c r="F6" s="22" t="n">
        <v>8.5</v>
      </c>
      <c r="G6" s="23"/>
      <c r="H6" s="24"/>
      <c r="I6" s="25"/>
      <c r="J6" s="26" t="n">
        <f aca="false">IF(G6&lt;&gt;"",G6,F6)</f>
        <v>8.5</v>
      </c>
      <c r="K6" s="21" t="n">
        <v>1</v>
      </c>
      <c r="L6" s="21"/>
    </row>
    <row r="7" customFormat="false" ht="15" hidden="false" customHeight="false" outlineLevel="0" collapsed="false">
      <c r="A7" s="21" t="s">
        <v>439</v>
      </c>
      <c r="B7" s="21" t="s">
        <v>432</v>
      </c>
      <c r="C7" s="21" t="s">
        <v>440</v>
      </c>
      <c r="D7" s="21" t="s">
        <v>434</v>
      </c>
      <c r="E7" s="21" t="s">
        <v>441</v>
      </c>
      <c r="F7" s="22" t="n">
        <v>14</v>
      </c>
      <c r="G7" s="23"/>
      <c r="H7" s="24"/>
      <c r="I7" s="25"/>
      <c r="J7" s="26" t="n">
        <f aca="false">IF(G7&lt;&gt;"",G7,F7)</f>
        <v>14</v>
      </c>
      <c r="K7" s="21" t="n">
        <v>1</v>
      </c>
      <c r="L7" s="21"/>
    </row>
    <row r="8" customFormat="false" ht="15" hidden="false" customHeight="false" outlineLevel="0" collapsed="false">
      <c r="A8" s="21" t="s">
        <v>442</v>
      </c>
      <c r="B8" s="21" t="s">
        <v>432</v>
      </c>
      <c r="C8" s="21" t="s">
        <v>443</v>
      </c>
      <c r="D8" s="21" t="s">
        <v>434</v>
      </c>
      <c r="E8" s="21" t="s">
        <v>435</v>
      </c>
      <c r="F8" s="22" t="n">
        <v>9.5</v>
      </c>
      <c r="G8" s="23"/>
      <c r="H8" s="24"/>
      <c r="I8" s="25"/>
      <c r="J8" s="26" t="n">
        <f aca="false">IF(G8&lt;&gt;"",G8,F8)</f>
        <v>9.5</v>
      </c>
      <c r="K8" s="21" t="n">
        <v>9</v>
      </c>
      <c r="L8" s="21"/>
    </row>
    <row r="9" customFormat="false" ht="15" hidden="false" customHeight="false" outlineLevel="0" collapsed="false">
      <c r="A9" s="21" t="s">
        <v>444</v>
      </c>
      <c r="B9" s="21" t="s">
        <v>432</v>
      </c>
      <c r="C9" s="21" t="s">
        <v>445</v>
      </c>
      <c r="D9" s="21" t="s">
        <v>434</v>
      </c>
      <c r="E9" s="21" t="s">
        <v>446</v>
      </c>
      <c r="F9" s="22" t="n">
        <v>8.5</v>
      </c>
      <c r="G9" s="23"/>
      <c r="H9" s="24"/>
      <c r="I9" s="25"/>
      <c r="J9" s="26" t="n">
        <f aca="false">IF(G9&lt;&gt;"",G9,F9)</f>
        <v>8.5</v>
      </c>
      <c r="K9" s="21" t="n">
        <v>1</v>
      </c>
      <c r="L9" s="21"/>
    </row>
    <row r="10" customFormat="false" ht="15" hidden="false" customHeight="false" outlineLevel="0" collapsed="false">
      <c r="A10" s="21" t="s">
        <v>447</v>
      </c>
      <c r="B10" s="21" t="s">
        <v>432</v>
      </c>
      <c r="C10" s="21" t="s">
        <v>448</v>
      </c>
      <c r="D10" s="21" t="s">
        <v>434</v>
      </c>
      <c r="E10" s="21" t="s">
        <v>438</v>
      </c>
      <c r="F10" s="22" t="n">
        <v>9.5</v>
      </c>
      <c r="G10" s="23"/>
      <c r="H10" s="24"/>
      <c r="I10" s="25"/>
      <c r="J10" s="26" t="n">
        <f aca="false">IF(G10&lt;&gt;"",G10,F10)</f>
        <v>9.5</v>
      </c>
      <c r="K10" s="21" t="n">
        <v>1</v>
      </c>
      <c r="L10" s="21"/>
    </row>
    <row r="11" customFormat="false" ht="15" hidden="false" customHeight="false" outlineLevel="0" collapsed="false">
      <c r="A11" s="21" t="s">
        <v>449</v>
      </c>
      <c r="B11" s="21" t="s">
        <v>432</v>
      </c>
      <c r="C11" s="21" t="s">
        <v>450</v>
      </c>
      <c r="D11" s="21" t="s">
        <v>434</v>
      </c>
      <c r="E11" s="21" t="s">
        <v>446</v>
      </c>
      <c r="F11" s="22" t="n">
        <v>8</v>
      </c>
      <c r="G11" s="23"/>
      <c r="H11" s="24"/>
      <c r="I11" s="25"/>
      <c r="J11" s="26" t="n">
        <f aca="false">IF(G11&lt;&gt;"",G11,F11)</f>
        <v>8</v>
      </c>
      <c r="K11" s="21" t="n">
        <v>0</v>
      </c>
      <c r="L11" s="21"/>
    </row>
    <row r="12" customFormat="false" ht="15" hidden="false" customHeight="false" outlineLevel="0" collapsed="false">
      <c r="A12" s="21" t="s">
        <v>451</v>
      </c>
      <c r="B12" s="21" t="s">
        <v>432</v>
      </c>
      <c r="C12" s="21" t="s">
        <v>452</v>
      </c>
      <c r="D12" s="21" t="s">
        <v>434</v>
      </c>
      <c r="E12" s="21" t="s">
        <v>453</v>
      </c>
      <c r="F12" s="22" t="n">
        <v>8</v>
      </c>
      <c r="G12" s="23"/>
      <c r="H12" s="24"/>
      <c r="I12" s="25"/>
      <c r="J12" s="26" t="n">
        <f aca="false">IF(G12&lt;&gt;"",G12,F12)</f>
        <v>8</v>
      </c>
      <c r="K12" s="21" t="n">
        <v>1</v>
      </c>
      <c r="L12" s="21"/>
    </row>
    <row r="13" customFormat="false" ht="15" hidden="false" customHeight="false" outlineLevel="0" collapsed="false">
      <c r="A13" s="21" t="s">
        <v>454</v>
      </c>
      <c r="B13" s="21" t="s">
        <v>432</v>
      </c>
      <c r="C13" s="21" t="s">
        <v>455</v>
      </c>
      <c r="D13" s="21" t="s">
        <v>434</v>
      </c>
      <c r="E13" s="21" t="s">
        <v>453</v>
      </c>
      <c r="F13" s="22" t="n">
        <v>18</v>
      </c>
      <c r="G13" s="23"/>
      <c r="H13" s="24"/>
      <c r="I13" s="25"/>
      <c r="J13" s="26" t="n">
        <f aca="false">IF(G13&lt;&gt;"",G13,F13)</f>
        <v>18</v>
      </c>
      <c r="K13" s="21" t="n">
        <v>1</v>
      </c>
      <c r="L13" s="21"/>
    </row>
    <row r="14" customFormat="false" ht="15" hidden="false" customHeight="false" outlineLevel="0" collapsed="false">
      <c r="A14" s="21" t="s">
        <v>456</v>
      </c>
      <c r="B14" s="21" t="s">
        <v>432</v>
      </c>
      <c r="C14" s="21" t="s">
        <v>457</v>
      </c>
      <c r="D14" s="21" t="s">
        <v>434</v>
      </c>
      <c r="E14" s="21" t="s">
        <v>458</v>
      </c>
      <c r="F14" s="22" t="n">
        <v>9.5</v>
      </c>
      <c r="G14" s="23"/>
      <c r="H14" s="24"/>
      <c r="I14" s="25"/>
      <c r="J14" s="26" t="n">
        <f aca="false">IF(G14&lt;&gt;"",G14,F14)</f>
        <v>9.5</v>
      </c>
      <c r="K14" s="21" t="n">
        <v>1</v>
      </c>
      <c r="L14" s="21"/>
    </row>
    <row r="15" customFormat="false" ht="15" hidden="false" customHeight="false" outlineLevel="0" collapsed="false">
      <c r="A15" s="21" t="s">
        <v>459</v>
      </c>
      <c r="B15" s="21" t="s">
        <v>432</v>
      </c>
      <c r="C15" s="21" t="s">
        <v>460</v>
      </c>
      <c r="D15" s="21" t="s">
        <v>434</v>
      </c>
      <c r="E15" s="21" t="s">
        <v>461</v>
      </c>
      <c r="F15" s="22" t="n">
        <v>15.5</v>
      </c>
      <c r="G15" s="23"/>
      <c r="H15" s="24"/>
      <c r="I15" s="25"/>
      <c r="J15" s="26" t="n">
        <f aca="false">IF(G15&lt;&gt;"",G15,F15)</f>
        <v>15.5</v>
      </c>
      <c r="K15" s="21" t="n">
        <v>1</v>
      </c>
      <c r="L15" s="21"/>
    </row>
    <row r="16" customFormat="false" ht="15" hidden="false" customHeight="false" outlineLevel="0" collapsed="false">
      <c r="A16" s="21" t="s">
        <v>462</v>
      </c>
      <c r="B16" s="21" t="s">
        <v>432</v>
      </c>
      <c r="C16" s="21" t="s">
        <v>463</v>
      </c>
      <c r="D16" s="21" t="s">
        <v>434</v>
      </c>
      <c r="E16" s="21" t="s">
        <v>464</v>
      </c>
      <c r="F16" s="22" t="n">
        <v>10.5</v>
      </c>
      <c r="G16" s="23"/>
      <c r="H16" s="24"/>
      <c r="I16" s="25"/>
      <c r="J16" s="26" t="n">
        <f aca="false">IF(G16&lt;&gt;"",G16,F16)</f>
        <v>10.5</v>
      </c>
      <c r="K16" s="21" t="n">
        <v>0</v>
      </c>
      <c r="L16" s="21"/>
    </row>
    <row r="17" customFormat="false" ht="15" hidden="false" customHeight="false" outlineLevel="0" collapsed="false">
      <c r="A17" s="21" t="s">
        <v>465</v>
      </c>
      <c r="B17" s="21" t="s">
        <v>432</v>
      </c>
      <c r="C17" s="21" t="s">
        <v>466</v>
      </c>
      <c r="D17" s="21" t="s">
        <v>434</v>
      </c>
      <c r="E17" s="21" t="s">
        <v>467</v>
      </c>
      <c r="F17" s="22" t="n">
        <v>7.5</v>
      </c>
      <c r="G17" s="23"/>
      <c r="H17" s="24"/>
      <c r="I17" s="25"/>
      <c r="J17" s="26" t="n">
        <f aca="false">IF(G17&lt;&gt;"",G17,F17)</f>
        <v>7.5</v>
      </c>
      <c r="K17" s="21" t="n">
        <v>1</v>
      </c>
      <c r="L17" s="21"/>
    </row>
    <row r="18" customFormat="false" ht="15" hidden="false" customHeight="false" outlineLevel="0" collapsed="false">
      <c r="A18" s="21" t="s">
        <v>468</v>
      </c>
      <c r="B18" s="21" t="s">
        <v>432</v>
      </c>
      <c r="C18" s="21" t="s">
        <v>469</v>
      </c>
      <c r="D18" s="21" t="s">
        <v>434</v>
      </c>
      <c r="E18" s="21" t="s">
        <v>458</v>
      </c>
      <c r="F18" s="22" t="n">
        <v>11</v>
      </c>
      <c r="G18" s="23"/>
      <c r="H18" s="24"/>
      <c r="I18" s="25"/>
      <c r="J18" s="26" t="n">
        <f aca="false">IF(G18&lt;&gt;"",G18,F18)</f>
        <v>11</v>
      </c>
      <c r="K18" s="21" t="n">
        <v>1</v>
      </c>
      <c r="L18" s="21"/>
    </row>
    <row r="19" customFormat="false" ht="15" hidden="false" customHeight="false" outlineLevel="0" collapsed="false">
      <c r="A19" s="21" t="s">
        <v>470</v>
      </c>
      <c r="B19" s="21" t="s">
        <v>432</v>
      </c>
      <c r="C19" s="21" t="s">
        <v>471</v>
      </c>
      <c r="D19" s="21" t="s">
        <v>434</v>
      </c>
      <c r="E19" s="21" t="s">
        <v>472</v>
      </c>
      <c r="F19" s="22" t="n">
        <v>7</v>
      </c>
      <c r="G19" s="23"/>
      <c r="H19" s="24"/>
      <c r="I19" s="25"/>
      <c r="J19" s="26" t="n">
        <f aca="false">IF(G19&lt;&gt;"",G19,F19)</f>
        <v>7</v>
      </c>
      <c r="K19" s="21" t="n">
        <v>1</v>
      </c>
      <c r="L19" s="21"/>
    </row>
    <row r="20" customFormat="false" ht="15" hidden="false" customHeight="false" outlineLevel="0" collapsed="false">
      <c r="A20" s="21" t="s">
        <v>473</v>
      </c>
      <c r="B20" s="21" t="s">
        <v>432</v>
      </c>
      <c r="C20" s="21" t="s">
        <v>474</v>
      </c>
      <c r="D20" s="21" t="s">
        <v>434</v>
      </c>
      <c r="E20" s="21" t="s">
        <v>475</v>
      </c>
      <c r="F20" s="22" t="n">
        <v>11</v>
      </c>
      <c r="G20" s="23"/>
      <c r="H20" s="24"/>
      <c r="I20" s="25"/>
      <c r="J20" s="26" t="n">
        <f aca="false">IF(G20&lt;&gt;"",G20,F20)</f>
        <v>11</v>
      </c>
      <c r="K20" s="21" t="n">
        <v>1</v>
      </c>
      <c r="L20" s="21"/>
    </row>
    <row r="21" customFormat="false" ht="15" hidden="false" customHeight="false" outlineLevel="0" collapsed="false">
      <c r="A21" s="21" t="s">
        <v>476</v>
      </c>
      <c r="B21" s="21" t="s">
        <v>432</v>
      </c>
      <c r="C21" s="21" t="s">
        <v>477</v>
      </c>
      <c r="D21" s="21" t="s">
        <v>434</v>
      </c>
      <c r="E21" s="21" t="s">
        <v>458</v>
      </c>
      <c r="F21" s="22" t="n">
        <v>7</v>
      </c>
      <c r="G21" s="23"/>
      <c r="H21" s="24"/>
      <c r="I21" s="25"/>
      <c r="J21" s="26" t="n">
        <f aca="false">IF(G21&lt;&gt;"",G21,F21)</f>
        <v>7</v>
      </c>
      <c r="K21" s="21" t="n">
        <v>1</v>
      </c>
      <c r="L21" s="21"/>
    </row>
    <row r="22" customFormat="false" ht="15" hidden="false" customHeight="false" outlineLevel="0" collapsed="false">
      <c r="A22" s="21" t="s">
        <v>478</v>
      </c>
      <c r="B22" s="21" t="s">
        <v>432</v>
      </c>
      <c r="C22" s="21" t="s">
        <v>479</v>
      </c>
      <c r="D22" s="21" t="s">
        <v>434</v>
      </c>
      <c r="E22" s="21" t="s">
        <v>467</v>
      </c>
      <c r="F22" s="22" t="n">
        <v>4.5</v>
      </c>
      <c r="G22" s="23"/>
      <c r="H22" s="24"/>
      <c r="I22" s="25"/>
      <c r="J22" s="26" t="n">
        <f aca="false">IF(G22&lt;&gt;"",G22,F22)</f>
        <v>4.5</v>
      </c>
      <c r="K22" s="21" t="n">
        <v>1</v>
      </c>
      <c r="L22" s="21"/>
    </row>
    <row r="23" customFormat="false" ht="15" hidden="false" customHeight="false" outlineLevel="0" collapsed="false">
      <c r="A23" s="21" t="s">
        <v>480</v>
      </c>
      <c r="B23" s="21" t="s">
        <v>432</v>
      </c>
      <c r="C23" s="21" t="s">
        <v>481</v>
      </c>
      <c r="D23" s="21" t="s">
        <v>434</v>
      </c>
      <c r="E23" s="21" t="s">
        <v>464</v>
      </c>
      <c r="F23" s="22" t="n">
        <v>6.5</v>
      </c>
      <c r="G23" s="23"/>
      <c r="H23" s="24"/>
      <c r="I23" s="25"/>
      <c r="J23" s="26" t="n">
        <f aca="false">IF(G23&lt;&gt;"",G23,F23)</f>
        <v>6.5</v>
      </c>
      <c r="K23" s="21" t="n">
        <v>1</v>
      </c>
      <c r="L23" s="21"/>
    </row>
    <row r="24" customFormat="false" ht="15" hidden="false" customHeight="false" outlineLevel="0" collapsed="false">
      <c r="A24" s="21" t="s">
        <v>482</v>
      </c>
      <c r="B24" s="21" t="s">
        <v>432</v>
      </c>
      <c r="C24" s="21" t="s">
        <v>483</v>
      </c>
      <c r="D24" s="21" t="s">
        <v>434</v>
      </c>
      <c r="E24" s="21" t="s">
        <v>461</v>
      </c>
      <c r="F24" s="22" t="n">
        <v>14.5</v>
      </c>
      <c r="G24" s="23"/>
      <c r="H24" s="24"/>
      <c r="I24" s="25"/>
      <c r="J24" s="26" t="n">
        <f aca="false">IF(G24&lt;&gt;"",G24,F24)</f>
        <v>14.5</v>
      </c>
      <c r="K24" s="21" t="n">
        <v>2</v>
      </c>
      <c r="L24" s="21"/>
    </row>
    <row r="25" customFormat="false" ht="15" hidden="false" customHeight="false" outlineLevel="0" collapsed="false">
      <c r="A25" s="21" t="s">
        <v>484</v>
      </c>
      <c r="B25" s="21" t="s">
        <v>432</v>
      </c>
      <c r="C25" s="21" t="s">
        <v>485</v>
      </c>
      <c r="D25" s="21" t="s">
        <v>434</v>
      </c>
      <c r="E25" s="21" t="s">
        <v>461</v>
      </c>
      <c r="F25" s="22" t="n">
        <v>7.5</v>
      </c>
      <c r="G25" s="23"/>
      <c r="H25" s="24"/>
      <c r="I25" s="25"/>
      <c r="J25" s="26" t="n">
        <f aca="false">IF(G25&lt;&gt;"",G25,F25)</f>
        <v>7.5</v>
      </c>
      <c r="K25" s="21" t="n">
        <v>2</v>
      </c>
      <c r="L25" s="21"/>
    </row>
    <row r="26" customFormat="false" ht="15" hidden="false" customHeight="false" outlineLevel="0" collapsed="false">
      <c r="A26" s="21" t="s">
        <v>486</v>
      </c>
      <c r="B26" s="21" t="s">
        <v>432</v>
      </c>
      <c r="C26" s="21" t="s">
        <v>487</v>
      </c>
      <c r="D26" s="21" t="s">
        <v>434</v>
      </c>
      <c r="E26" s="21" t="s">
        <v>461</v>
      </c>
      <c r="F26" s="22" t="n">
        <v>15</v>
      </c>
      <c r="G26" s="23"/>
      <c r="H26" s="24"/>
      <c r="I26" s="25"/>
      <c r="J26" s="26" t="n">
        <f aca="false">IF(G26&lt;&gt;"",G26,F26)</f>
        <v>15</v>
      </c>
      <c r="K26" s="21" t="n">
        <v>1</v>
      </c>
      <c r="L26" s="21"/>
    </row>
    <row r="27" customFormat="false" ht="15" hidden="false" customHeight="false" outlineLevel="0" collapsed="false">
      <c r="A27" s="21" t="s">
        <v>488</v>
      </c>
      <c r="B27" s="21" t="s">
        <v>432</v>
      </c>
      <c r="C27" s="21" t="s">
        <v>489</v>
      </c>
      <c r="D27" s="21" t="s">
        <v>434</v>
      </c>
      <c r="E27" s="21" t="s">
        <v>458</v>
      </c>
      <c r="F27" s="22" t="n">
        <v>13.5</v>
      </c>
      <c r="G27" s="23"/>
      <c r="H27" s="24"/>
      <c r="I27" s="25"/>
      <c r="J27" s="26" t="n">
        <f aca="false">IF(G27&lt;&gt;"",G27,F27)</f>
        <v>13.5</v>
      </c>
      <c r="K27" s="21" t="n">
        <v>3</v>
      </c>
      <c r="L27" s="21"/>
    </row>
    <row r="28" customFormat="false" ht="15" hidden="false" customHeight="false" outlineLevel="0" collapsed="false">
      <c r="A28" s="21" t="s">
        <v>490</v>
      </c>
      <c r="B28" s="21" t="s">
        <v>432</v>
      </c>
      <c r="C28" s="21" t="s">
        <v>491</v>
      </c>
      <c r="D28" s="21" t="s">
        <v>434</v>
      </c>
      <c r="E28" s="21" t="s">
        <v>458</v>
      </c>
      <c r="F28" s="22" t="n">
        <v>11</v>
      </c>
      <c r="G28" s="23"/>
      <c r="H28" s="24"/>
      <c r="I28" s="25"/>
      <c r="J28" s="26" t="n">
        <f aca="false">IF(G28&lt;&gt;"",G28,F28)</f>
        <v>11</v>
      </c>
      <c r="K28" s="21" t="n">
        <v>4</v>
      </c>
      <c r="L28" s="21"/>
    </row>
    <row r="29" customFormat="false" ht="15" hidden="false" customHeight="false" outlineLevel="0" collapsed="false">
      <c r="A29" s="21" t="s">
        <v>492</v>
      </c>
      <c r="B29" s="21" t="s">
        <v>432</v>
      </c>
      <c r="C29" s="21" t="s">
        <v>493</v>
      </c>
      <c r="D29" s="21" t="s">
        <v>434</v>
      </c>
      <c r="E29" s="21" t="s">
        <v>438</v>
      </c>
      <c r="F29" s="22" t="n">
        <v>10</v>
      </c>
      <c r="G29" s="23"/>
      <c r="H29" s="24"/>
      <c r="I29" s="25"/>
      <c r="J29" s="26" t="n">
        <f aca="false">IF(G29&lt;&gt;"",G29,F29)</f>
        <v>10</v>
      </c>
      <c r="K29" s="21" t="n">
        <v>1</v>
      </c>
      <c r="L29" s="21"/>
    </row>
    <row r="30" customFormat="false" ht="15" hidden="false" customHeight="false" outlineLevel="0" collapsed="false">
      <c r="A30" s="21" t="s">
        <v>494</v>
      </c>
      <c r="B30" s="21" t="s">
        <v>432</v>
      </c>
      <c r="C30" s="21" t="s">
        <v>495</v>
      </c>
      <c r="D30" s="21" t="s">
        <v>434</v>
      </c>
      <c r="E30" s="21" t="s">
        <v>458</v>
      </c>
      <c r="F30" s="22" t="n">
        <v>7.5</v>
      </c>
      <c r="G30" s="23"/>
      <c r="H30" s="24"/>
      <c r="I30" s="25"/>
      <c r="J30" s="26" t="n">
        <f aca="false">IF(G30&lt;&gt;"",G30,F30)</f>
        <v>7.5</v>
      </c>
      <c r="K30" s="21" t="n">
        <v>4</v>
      </c>
      <c r="L30" s="21"/>
    </row>
    <row r="31" customFormat="false" ht="15" hidden="false" customHeight="false" outlineLevel="0" collapsed="false">
      <c r="A31" s="21" t="s">
        <v>496</v>
      </c>
      <c r="B31" s="21" t="s">
        <v>432</v>
      </c>
      <c r="C31" s="21" t="s">
        <v>497</v>
      </c>
      <c r="D31" s="21" t="s">
        <v>434</v>
      </c>
      <c r="E31" s="21" t="s">
        <v>458</v>
      </c>
      <c r="F31" s="22" t="n">
        <v>13</v>
      </c>
      <c r="G31" s="23"/>
      <c r="H31" s="24"/>
      <c r="I31" s="25"/>
      <c r="J31" s="26" t="n">
        <f aca="false">IF(G31&lt;&gt;"",G31,F31)</f>
        <v>13</v>
      </c>
      <c r="K31" s="21" t="n">
        <v>1</v>
      </c>
      <c r="L31" s="21"/>
    </row>
    <row r="32" customFormat="false" ht="15" hidden="false" customHeight="false" outlineLevel="0" collapsed="false">
      <c r="A32" s="21" t="s">
        <v>498</v>
      </c>
      <c r="B32" s="21" t="s">
        <v>432</v>
      </c>
      <c r="C32" s="21" t="s">
        <v>499</v>
      </c>
      <c r="D32" s="21" t="s">
        <v>434</v>
      </c>
      <c r="E32" s="21" t="s">
        <v>458</v>
      </c>
      <c r="F32" s="22" t="n">
        <v>14</v>
      </c>
      <c r="G32" s="23"/>
      <c r="H32" s="24"/>
      <c r="I32" s="25"/>
      <c r="J32" s="26" t="n">
        <f aca="false">IF(G32&lt;&gt;"",G32,F32)</f>
        <v>14</v>
      </c>
      <c r="K32" s="21" t="n">
        <v>2</v>
      </c>
      <c r="L32" s="21"/>
    </row>
    <row r="33" customFormat="false" ht="15" hidden="false" customHeight="false" outlineLevel="0" collapsed="false">
      <c r="A33" s="21" t="s">
        <v>500</v>
      </c>
      <c r="B33" s="21" t="s">
        <v>432</v>
      </c>
      <c r="C33" s="21" t="s">
        <v>501</v>
      </c>
      <c r="D33" s="21" t="s">
        <v>434</v>
      </c>
      <c r="E33" s="21" t="s">
        <v>467</v>
      </c>
      <c r="F33" s="22" t="n">
        <v>13</v>
      </c>
      <c r="G33" s="23"/>
      <c r="H33" s="24"/>
      <c r="I33" s="25"/>
      <c r="J33" s="26" t="n">
        <f aca="false">IF(G33&lt;&gt;"",G33,F33)</f>
        <v>13</v>
      </c>
      <c r="K33" s="21" t="n">
        <v>1</v>
      </c>
      <c r="L33" s="21"/>
    </row>
    <row r="34" customFormat="false" ht="15" hidden="false" customHeight="false" outlineLevel="0" collapsed="false">
      <c r="A34" s="21" t="s">
        <v>502</v>
      </c>
      <c r="B34" s="21" t="s">
        <v>432</v>
      </c>
      <c r="C34" s="21" t="s">
        <v>503</v>
      </c>
      <c r="D34" s="21" t="s">
        <v>434</v>
      </c>
      <c r="E34" s="21" t="s">
        <v>453</v>
      </c>
      <c r="F34" s="22" t="n">
        <v>16.5</v>
      </c>
      <c r="G34" s="23"/>
      <c r="H34" s="24"/>
      <c r="I34" s="25"/>
      <c r="J34" s="26" t="n">
        <f aca="false">IF(G34&lt;&gt;"",G34,F34)</f>
        <v>16.5</v>
      </c>
      <c r="K34" s="21" t="n">
        <v>1</v>
      </c>
      <c r="L34" s="21"/>
    </row>
    <row r="35" customFormat="false" ht="15" hidden="false" customHeight="false" outlineLevel="0" collapsed="false">
      <c r="A35" s="21" t="s">
        <v>504</v>
      </c>
      <c r="B35" s="21" t="s">
        <v>432</v>
      </c>
      <c r="C35" s="21" t="s">
        <v>505</v>
      </c>
      <c r="D35" s="21" t="s">
        <v>434</v>
      </c>
      <c r="E35" s="21" t="s">
        <v>506</v>
      </c>
      <c r="F35" s="22" t="n">
        <v>10.5</v>
      </c>
      <c r="G35" s="23"/>
      <c r="H35" s="24"/>
      <c r="I35" s="25"/>
      <c r="J35" s="26" t="n">
        <f aca="false">IF(G35&lt;&gt;"",G35,F35)</f>
        <v>10.5</v>
      </c>
      <c r="K35" s="21" t="n">
        <v>1</v>
      </c>
      <c r="L35" s="21"/>
    </row>
    <row r="36" customFormat="false" ht="15" hidden="false" customHeight="false" outlineLevel="0" collapsed="false">
      <c r="A36" s="21" t="s">
        <v>507</v>
      </c>
      <c r="B36" s="21" t="s">
        <v>432</v>
      </c>
      <c r="C36" s="21" t="s">
        <v>508</v>
      </c>
      <c r="D36" s="21" t="s">
        <v>434</v>
      </c>
      <c r="E36" s="21" t="s">
        <v>509</v>
      </c>
      <c r="F36" s="22" t="n">
        <v>9</v>
      </c>
      <c r="G36" s="23"/>
      <c r="H36" s="24"/>
      <c r="I36" s="25"/>
      <c r="J36" s="26" t="n">
        <f aca="false">IF(G36&lt;&gt;"",G36,F36)</f>
        <v>9</v>
      </c>
      <c r="K36" s="21" t="n">
        <v>1</v>
      </c>
      <c r="L36" s="21"/>
    </row>
    <row r="37" customFormat="false" ht="15" hidden="false" customHeight="false" outlineLevel="0" collapsed="false">
      <c r="A37" s="21" t="s">
        <v>510</v>
      </c>
      <c r="B37" s="21" t="s">
        <v>432</v>
      </c>
      <c r="C37" s="21" t="s">
        <v>511</v>
      </c>
      <c r="D37" s="21" t="s">
        <v>434</v>
      </c>
      <c r="E37" s="21" t="s">
        <v>472</v>
      </c>
      <c r="F37" s="22" t="n">
        <v>8.5</v>
      </c>
      <c r="G37" s="23"/>
      <c r="H37" s="24"/>
      <c r="I37" s="25"/>
      <c r="J37" s="26" t="n">
        <f aca="false">IF(G37&lt;&gt;"",G37,F37)</f>
        <v>8.5</v>
      </c>
      <c r="K37" s="21" t="n">
        <v>1</v>
      </c>
      <c r="L37" s="21"/>
    </row>
    <row r="38" customFormat="false" ht="15" hidden="false" customHeight="false" outlineLevel="0" collapsed="false">
      <c r="A38" s="21" t="s">
        <v>512</v>
      </c>
      <c r="B38" s="21" t="s">
        <v>432</v>
      </c>
      <c r="C38" s="21" t="s">
        <v>513</v>
      </c>
      <c r="D38" s="21" t="s">
        <v>434</v>
      </c>
      <c r="E38" s="21" t="s">
        <v>514</v>
      </c>
      <c r="F38" s="22" t="n">
        <v>6.5</v>
      </c>
      <c r="G38" s="23"/>
      <c r="H38" s="24"/>
      <c r="I38" s="25"/>
      <c r="J38" s="26" t="n">
        <f aca="false">IF(G38&lt;&gt;"",G38,F38)</f>
        <v>6.5</v>
      </c>
      <c r="K38" s="21" t="n">
        <v>1</v>
      </c>
      <c r="L38" s="21"/>
    </row>
    <row r="39" customFormat="false" ht="15" hidden="false" customHeight="false" outlineLevel="0" collapsed="false">
      <c r="A39" s="21" t="s">
        <v>515</v>
      </c>
      <c r="B39" s="21" t="s">
        <v>432</v>
      </c>
      <c r="C39" s="21" t="s">
        <v>516</v>
      </c>
      <c r="D39" s="21" t="s">
        <v>434</v>
      </c>
      <c r="E39" s="21" t="s">
        <v>453</v>
      </c>
      <c r="F39" s="22" t="n">
        <v>9</v>
      </c>
      <c r="G39" s="23"/>
      <c r="H39" s="24"/>
      <c r="I39" s="25"/>
      <c r="J39" s="26" t="n">
        <f aca="false">IF(G39&lt;&gt;"",G39,F39)</f>
        <v>9</v>
      </c>
      <c r="K39" s="21" t="n">
        <v>1</v>
      </c>
      <c r="L39" s="21"/>
    </row>
    <row r="40" customFormat="false" ht="15" hidden="false" customHeight="false" outlineLevel="0" collapsed="false">
      <c r="A40" s="21" t="s">
        <v>517</v>
      </c>
      <c r="B40" s="21" t="s">
        <v>518</v>
      </c>
      <c r="C40" s="21" t="s">
        <v>519</v>
      </c>
      <c r="D40" s="21" t="s">
        <v>434</v>
      </c>
      <c r="E40" s="21" t="s">
        <v>435</v>
      </c>
      <c r="F40" s="22" t="n">
        <v>10.5</v>
      </c>
      <c r="G40" s="23"/>
      <c r="H40" s="24"/>
      <c r="I40" s="25"/>
      <c r="J40" s="26" t="n">
        <f aca="false">IF(G40&lt;&gt;"",G40,F40)</f>
        <v>10.5</v>
      </c>
      <c r="K40" s="21" t="n">
        <v>1</v>
      </c>
      <c r="L40" s="21"/>
    </row>
    <row r="41" customFormat="false" ht="15" hidden="false" customHeight="false" outlineLevel="0" collapsed="false">
      <c r="A41" s="21" t="s">
        <v>520</v>
      </c>
      <c r="B41" s="21" t="s">
        <v>518</v>
      </c>
      <c r="C41" s="21" t="s">
        <v>521</v>
      </c>
      <c r="D41" s="21" t="s">
        <v>434</v>
      </c>
      <c r="E41" s="21" t="s">
        <v>441</v>
      </c>
      <c r="F41" s="22" t="n">
        <v>11</v>
      </c>
      <c r="G41" s="23"/>
      <c r="H41" s="24"/>
      <c r="I41" s="25"/>
      <c r="J41" s="26" t="n">
        <f aca="false">IF(G41&lt;&gt;"",G41,F41)</f>
        <v>11</v>
      </c>
      <c r="K41" s="21" t="n">
        <v>1</v>
      </c>
      <c r="L41" s="21"/>
    </row>
    <row r="42" customFormat="false" ht="15" hidden="false" customHeight="false" outlineLevel="0" collapsed="false">
      <c r="A42" s="21" t="s">
        <v>522</v>
      </c>
      <c r="B42" s="21" t="s">
        <v>518</v>
      </c>
      <c r="C42" s="21" t="s">
        <v>523</v>
      </c>
      <c r="D42" s="21" t="s">
        <v>434</v>
      </c>
      <c r="E42" s="21" t="s">
        <v>438</v>
      </c>
      <c r="F42" s="22" t="n">
        <v>7.5</v>
      </c>
      <c r="G42" s="23"/>
      <c r="H42" s="24"/>
      <c r="I42" s="25"/>
      <c r="J42" s="26" t="n">
        <f aca="false">IF(G42&lt;&gt;"",G42,F42)</f>
        <v>7.5</v>
      </c>
      <c r="K42" s="21" t="n">
        <v>2</v>
      </c>
      <c r="L42" s="21"/>
    </row>
    <row r="43" customFormat="false" ht="15" hidden="false" customHeight="false" outlineLevel="0" collapsed="false">
      <c r="A43" s="21" t="s">
        <v>524</v>
      </c>
      <c r="B43" s="21" t="s">
        <v>518</v>
      </c>
      <c r="C43" s="21" t="s">
        <v>525</v>
      </c>
      <c r="D43" s="21" t="s">
        <v>434</v>
      </c>
      <c r="E43" s="21" t="s">
        <v>458</v>
      </c>
      <c r="F43" s="22" t="n">
        <v>12</v>
      </c>
      <c r="G43" s="23"/>
      <c r="H43" s="24"/>
      <c r="I43" s="25"/>
      <c r="J43" s="26" t="n">
        <f aca="false">IF(G43&lt;&gt;"",G43,F43)</f>
        <v>12</v>
      </c>
      <c r="K43" s="21" t="n">
        <v>1</v>
      </c>
      <c r="L43" s="21"/>
    </row>
    <row r="44" customFormat="false" ht="15" hidden="false" customHeight="false" outlineLevel="0" collapsed="false">
      <c r="A44" s="21" t="s">
        <v>526</v>
      </c>
      <c r="B44" s="21" t="s">
        <v>518</v>
      </c>
      <c r="C44" s="21" t="s">
        <v>527</v>
      </c>
      <c r="D44" s="21" t="s">
        <v>434</v>
      </c>
      <c r="E44" s="21" t="s">
        <v>438</v>
      </c>
      <c r="F44" s="22" t="n">
        <v>9</v>
      </c>
      <c r="G44" s="23"/>
      <c r="H44" s="24"/>
      <c r="I44" s="25"/>
      <c r="J44" s="26" t="n">
        <f aca="false">IF(G44&lt;&gt;"",G44,F44)</f>
        <v>9</v>
      </c>
      <c r="K44" s="21" t="n">
        <v>1</v>
      </c>
      <c r="L44" s="21"/>
    </row>
    <row r="45" customFormat="false" ht="15" hidden="false" customHeight="false" outlineLevel="0" collapsed="false">
      <c r="A45" s="21" t="s">
        <v>528</v>
      </c>
      <c r="B45" s="21" t="s">
        <v>518</v>
      </c>
      <c r="C45" s="21" t="s">
        <v>529</v>
      </c>
      <c r="D45" s="21" t="s">
        <v>434</v>
      </c>
      <c r="E45" s="21" t="s">
        <v>438</v>
      </c>
      <c r="F45" s="22" t="n">
        <v>4.5</v>
      </c>
      <c r="G45" s="23"/>
      <c r="H45" s="24"/>
      <c r="I45" s="25"/>
      <c r="J45" s="26" t="n">
        <f aca="false">IF(G45&lt;&gt;"",G45,F45)</f>
        <v>4.5</v>
      </c>
      <c r="K45" s="21" t="n">
        <v>1</v>
      </c>
      <c r="L45" s="21"/>
    </row>
    <row r="46" customFormat="false" ht="15" hidden="false" customHeight="false" outlineLevel="0" collapsed="false">
      <c r="A46" s="21" t="s">
        <v>530</v>
      </c>
      <c r="B46" s="21" t="s">
        <v>518</v>
      </c>
      <c r="C46" s="21" t="s">
        <v>531</v>
      </c>
      <c r="D46" s="21" t="s">
        <v>434</v>
      </c>
      <c r="E46" s="21" t="s">
        <v>453</v>
      </c>
      <c r="F46" s="22" t="n">
        <v>9</v>
      </c>
      <c r="G46" s="23"/>
      <c r="H46" s="24"/>
      <c r="I46" s="25"/>
      <c r="J46" s="26" t="n">
        <f aca="false">IF(G46&lt;&gt;"",G46,F46)</f>
        <v>9</v>
      </c>
      <c r="K46" s="21" t="n">
        <v>1</v>
      </c>
      <c r="L46" s="21"/>
    </row>
    <row r="47" customFormat="false" ht="15" hidden="false" customHeight="false" outlineLevel="0" collapsed="false">
      <c r="A47" s="21" t="s">
        <v>532</v>
      </c>
      <c r="B47" s="21" t="s">
        <v>518</v>
      </c>
      <c r="C47" s="21" t="s">
        <v>533</v>
      </c>
      <c r="D47" s="21" t="s">
        <v>434</v>
      </c>
      <c r="E47" s="21" t="s">
        <v>534</v>
      </c>
      <c r="F47" s="22" t="n">
        <v>7</v>
      </c>
      <c r="G47" s="23"/>
      <c r="H47" s="24"/>
      <c r="I47" s="25"/>
      <c r="J47" s="26" t="n">
        <f aca="false">IF(G47&lt;&gt;"",G47,F47)</f>
        <v>7</v>
      </c>
      <c r="K47" s="21" t="n">
        <v>2</v>
      </c>
      <c r="L47" s="21"/>
    </row>
    <row r="48" customFormat="false" ht="15" hidden="false" customHeight="false" outlineLevel="0" collapsed="false">
      <c r="A48" s="21" t="s">
        <v>535</v>
      </c>
      <c r="B48" s="21" t="s">
        <v>518</v>
      </c>
      <c r="C48" s="21" t="s">
        <v>536</v>
      </c>
      <c r="D48" s="21" t="s">
        <v>434</v>
      </c>
      <c r="E48" s="21" t="s">
        <v>438</v>
      </c>
      <c r="F48" s="22" t="n">
        <v>5</v>
      </c>
      <c r="G48" s="23"/>
      <c r="H48" s="24"/>
      <c r="I48" s="25"/>
      <c r="J48" s="26" t="n">
        <f aca="false">IF(G48&lt;&gt;"",G48,F48)</f>
        <v>5</v>
      </c>
      <c r="K48" s="21" t="n">
        <v>2</v>
      </c>
      <c r="L48" s="21"/>
    </row>
    <row r="49" customFormat="false" ht="15" hidden="false" customHeight="false" outlineLevel="0" collapsed="false">
      <c r="A49" s="21" t="s">
        <v>537</v>
      </c>
      <c r="B49" s="21" t="s">
        <v>518</v>
      </c>
      <c r="C49" s="21" t="s">
        <v>538</v>
      </c>
      <c r="D49" s="21" t="s">
        <v>434</v>
      </c>
      <c r="E49" s="21" t="s">
        <v>458</v>
      </c>
      <c r="F49" s="22" t="n">
        <v>7.5</v>
      </c>
      <c r="G49" s="23"/>
      <c r="H49" s="24"/>
      <c r="I49" s="25"/>
      <c r="J49" s="26" t="n">
        <f aca="false">IF(G49&lt;&gt;"",G49,F49)</f>
        <v>7.5</v>
      </c>
      <c r="K49" s="21" t="n">
        <v>3</v>
      </c>
      <c r="L49" s="21"/>
    </row>
    <row r="50" customFormat="false" ht="15" hidden="false" customHeight="false" outlineLevel="0" collapsed="false">
      <c r="A50" s="21" t="s">
        <v>539</v>
      </c>
      <c r="B50" s="21" t="s">
        <v>518</v>
      </c>
      <c r="C50" s="21" t="s">
        <v>540</v>
      </c>
      <c r="D50" s="21" t="s">
        <v>434</v>
      </c>
      <c r="E50" s="21" t="s">
        <v>453</v>
      </c>
      <c r="F50" s="22" t="n">
        <v>8.5</v>
      </c>
      <c r="G50" s="23"/>
      <c r="H50" s="24"/>
      <c r="I50" s="25"/>
      <c r="J50" s="26" t="n">
        <f aca="false">IF(G50&lt;&gt;"",G50,F50)</f>
        <v>8.5</v>
      </c>
      <c r="K50" s="21" t="n">
        <v>1</v>
      </c>
      <c r="L50" s="21"/>
    </row>
    <row r="51" customFormat="false" ht="15" hidden="false" customHeight="false" outlineLevel="0" collapsed="false">
      <c r="A51" s="21" t="s">
        <v>541</v>
      </c>
      <c r="B51" s="21" t="s">
        <v>518</v>
      </c>
      <c r="C51" s="21" t="s">
        <v>542</v>
      </c>
      <c r="D51" s="21" t="s">
        <v>434</v>
      </c>
      <c r="E51" s="21" t="s">
        <v>543</v>
      </c>
      <c r="F51" s="22" t="n">
        <v>17</v>
      </c>
      <c r="G51" s="23"/>
      <c r="H51" s="24"/>
      <c r="I51" s="25"/>
      <c r="J51" s="26" t="n">
        <f aca="false">IF(G51&lt;&gt;"",G51,F51)</f>
        <v>17</v>
      </c>
      <c r="K51" s="21" t="n">
        <v>1</v>
      </c>
      <c r="L51" s="21"/>
    </row>
    <row r="52" customFormat="false" ht="15" hidden="false" customHeight="false" outlineLevel="0" collapsed="false">
      <c r="A52" s="21" t="s">
        <v>544</v>
      </c>
      <c r="B52" s="21" t="s">
        <v>518</v>
      </c>
      <c r="C52" s="21" t="s">
        <v>545</v>
      </c>
      <c r="D52" s="21" t="s">
        <v>434</v>
      </c>
      <c r="E52" s="21" t="s">
        <v>475</v>
      </c>
      <c r="F52" s="22" t="n">
        <v>8.5</v>
      </c>
      <c r="G52" s="23"/>
      <c r="H52" s="24"/>
      <c r="I52" s="25"/>
      <c r="J52" s="26" t="n">
        <f aca="false">IF(G52&lt;&gt;"",G52,F52)</f>
        <v>8.5</v>
      </c>
      <c r="K52" s="21" t="n">
        <v>1</v>
      </c>
      <c r="L52" s="21"/>
    </row>
    <row r="53" customFormat="false" ht="15" hidden="false" customHeight="false" outlineLevel="0" collapsed="false">
      <c r="A53" s="21" t="s">
        <v>546</v>
      </c>
      <c r="B53" s="21" t="s">
        <v>518</v>
      </c>
      <c r="C53" s="21" t="s">
        <v>547</v>
      </c>
      <c r="D53" s="21" t="s">
        <v>434</v>
      </c>
      <c r="E53" s="21" t="s">
        <v>461</v>
      </c>
      <c r="F53" s="22" t="n">
        <v>8.5</v>
      </c>
      <c r="G53" s="23"/>
      <c r="H53" s="24"/>
      <c r="I53" s="25"/>
      <c r="J53" s="26" t="n">
        <f aca="false">IF(G53&lt;&gt;"",G53,F53)</f>
        <v>8.5</v>
      </c>
      <c r="K53" s="21" t="n">
        <v>1</v>
      </c>
      <c r="L53" s="21"/>
    </row>
    <row r="54" customFormat="false" ht="15" hidden="false" customHeight="false" outlineLevel="0" collapsed="false">
      <c r="A54" s="21" t="s">
        <v>548</v>
      </c>
      <c r="B54" s="21" t="s">
        <v>518</v>
      </c>
      <c r="C54" s="21" t="s">
        <v>549</v>
      </c>
      <c r="D54" s="21" t="s">
        <v>434</v>
      </c>
      <c r="E54" s="21" t="s">
        <v>458</v>
      </c>
      <c r="F54" s="22" t="n">
        <v>8</v>
      </c>
      <c r="G54" s="23"/>
      <c r="H54" s="24"/>
      <c r="I54" s="25"/>
      <c r="J54" s="26" t="n">
        <f aca="false">IF(G54&lt;&gt;"",G54,F54)</f>
        <v>8</v>
      </c>
      <c r="K54" s="21" t="n">
        <v>1</v>
      </c>
      <c r="L54" s="21"/>
    </row>
    <row r="55" customFormat="false" ht="15" hidden="false" customHeight="false" outlineLevel="0" collapsed="false">
      <c r="A55" s="21" t="s">
        <v>550</v>
      </c>
      <c r="B55" s="21" t="s">
        <v>518</v>
      </c>
      <c r="C55" s="21" t="s">
        <v>551</v>
      </c>
      <c r="D55" s="21" t="s">
        <v>434</v>
      </c>
      <c r="E55" s="21" t="s">
        <v>534</v>
      </c>
      <c r="F55" s="22" t="n">
        <v>9.5</v>
      </c>
      <c r="G55" s="23"/>
      <c r="H55" s="24"/>
      <c r="I55" s="25"/>
      <c r="J55" s="26" t="n">
        <f aca="false">IF(G55&lt;&gt;"",G55,F55)</f>
        <v>9.5</v>
      </c>
      <c r="K55" s="21" t="n">
        <v>1</v>
      </c>
      <c r="L55" s="21"/>
    </row>
    <row r="56" customFormat="false" ht="15" hidden="false" customHeight="false" outlineLevel="0" collapsed="false">
      <c r="A56" s="21" t="s">
        <v>552</v>
      </c>
      <c r="B56" s="21" t="s">
        <v>518</v>
      </c>
      <c r="C56" s="21" t="s">
        <v>553</v>
      </c>
      <c r="D56" s="21" t="s">
        <v>434</v>
      </c>
      <c r="E56" s="21" t="s">
        <v>453</v>
      </c>
      <c r="F56" s="22" t="n">
        <v>9</v>
      </c>
      <c r="G56" s="23"/>
      <c r="H56" s="24"/>
      <c r="I56" s="25"/>
      <c r="J56" s="26" t="n">
        <f aca="false">IF(G56&lt;&gt;"",G56,F56)</f>
        <v>9</v>
      </c>
      <c r="K56" s="21" t="n">
        <v>3</v>
      </c>
      <c r="L56" s="21"/>
    </row>
    <row r="57" customFormat="false" ht="15" hidden="false" customHeight="false" outlineLevel="0" collapsed="false">
      <c r="A57" s="21" t="s">
        <v>554</v>
      </c>
      <c r="B57" s="21" t="s">
        <v>555</v>
      </c>
      <c r="C57" s="21" t="s">
        <v>556</v>
      </c>
      <c r="D57" s="21" t="s">
        <v>434</v>
      </c>
      <c r="E57" s="21" t="s">
        <v>557</v>
      </c>
      <c r="F57" s="22" t="n">
        <v>11</v>
      </c>
      <c r="G57" s="23"/>
      <c r="H57" s="24"/>
      <c r="I57" s="25"/>
      <c r="J57" s="26" t="n">
        <f aca="false">IF(G57&lt;&gt;"",G57,F57)</f>
        <v>11</v>
      </c>
      <c r="K57" s="21" t="n">
        <v>1</v>
      </c>
      <c r="L57" s="21"/>
    </row>
    <row r="58" customFormat="false" ht="15" hidden="false" customHeight="false" outlineLevel="0" collapsed="false">
      <c r="A58" s="21" t="s">
        <v>558</v>
      </c>
      <c r="B58" s="21" t="s">
        <v>555</v>
      </c>
      <c r="C58" s="21" t="s">
        <v>559</v>
      </c>
      <c r="D58" s="21" t="s">
        <v>434</v>
      </c>
      <c r="E58" s="21" t="s">
        <v>560</v>
      </c>
      <c r="F58" s="22" t="n">
        <v>45</v>
      </c>
      <c r="G58" s="23"/>
      <c r="H58" s="24"/>
      <c r="I58" s="25"/>
      <c r="J58" s="26" t="n">
        <f aca="false">IF(G58&lt;&gt;"",G58,F58)</f>
        <v>45</v>
      </c>
      <c r="K58" s="21" t="n">
        <v>1</v>
      </c>
      <c r="L58" s="21"/>
    </row>
    <row r="59" customFormat="false" ht="15" hidden="false" customHeight="false" outlineLevel="0" collapsed="false">
      <c r="A59" s="21" t="s">
        <v>561</v>
      </c>
      <c r="B59" s="21" t="s">
        <v>555</v>
      </c>
      <c r="C59" s="21" t="s">
        <v>562</v>
      </c>
      <c r="D59" s="21" t="s">
        <v>434</v>
      </c>
      <c r="E59" s="21" t="s">
        <v>438</v>
      </c>
      <c r="F59" s="22" t="n">
        <v>8.5</v>
      </c>
      <c r="G59" s="23"/>
      <c r="H59" s="24"/>
      <c r="I59" s="25"/>
      <c r="J59" s="26" t="n">
        <f aca="false">IF(G59&lt;&gt;"",G59,F59)</f>
        <v>8.5</v>
      </c>
      <c r="K59" s="21" t="n">
        <v>1</v>
      </c>
      <c r="L59" s="21"/>
    </row>
    <row r="60" customFormat="false" ht="15" hidden="false" customHeight="false" outlineLevel="0" collapsed="false">
      <c r="A60" s="21" t="s">
        <v>563</v>
      </c>
      <c r="B60" s="21" t="s">
        <v>555</v>
      </c>
      <c r="C60" s="21" t="s">
        <v>564</v>
      </c>
      <c r="D60" s="21" t="s">
        <v>434</v>
      </c>
      <c r="E60" s="21" t="s">
        <v>438</v>
      </c>
      <c r="F60" s="22" t="n">
        <v>7</v>
      </c>
      <c r="G60" s="23"/>
      <c r="H60" s="24"/>
      <c r="I60" s="25"/>
      <c r="J60" s="26" t="n">
        <f aca="false">IF(G60&lt;&gt;"",G60,F60)</f>
        <v>7</v>
      </c>
      <c r="K60" s="21" t="n">
        <v>1</v>
      </c>
      <c r="L60" s="21"/>
    </row>
    <row r="61" customFormat="false" ht="15" hidden="false" customHeight="false" outlineLevel="0" collapsed="false">
      <c r="A61" s="21" t="s">
        <v>565</v>
      </c>
      <c r="B61" s="21" t="s">
        <v>555</v>
      </c>
      <c r="C61" s="21" t="s">
        <v>566</v>
      </c>
      <c r="D61" s="21" t="s">
        <v>434</v>
      </c>
      <c r="E61" s="21" t="s">
        <v>435</v>
      </c>
      <c r="F61" s="22" t="n">
        <v>6.5</v>
      </c>
      <c r="G61" s="23"/>
      <c r="H61" s="24"/>
      <c r="I61" s="25"/>
      <c r="J61" s="26" t="n">
        <f aca="false">IF(G61&lt;&gt;"",G61,F61)</f>
        <v>6.5</v>
      </c>
      <c r="K61" s="21" t="n">
        <v>5</v>
      </c>
      <c r="L61" s="21"/>
    </row>
    <row r="62" customFormat="false" ht="15" hidden="false" customHeight="false" outlineLevel="0" collapsed="false">
      <c r="A62" s="21" t="s">
        <v>567</v>
      </c>
      <c r="B62" s="21" t="s">
        <v>555</v>
      </c>
      <c r="C62" s="21" t="s">
        <v>568</v>
      </c>
      <c r="D62" s="21" t="s">
        <v>434</v>
      </c>
      <c r="E62" s="21" t="s">
        <v>438</v>
      </c>
      <c r="F62" s="22" t="n">
        <v>7</v>
      </c>
      <c r="G62" s="23"/>
      <c r="H62" s="24"/>
      <c r="I62" s="25"/>
      <c r="J62" s="26" t="n">
        <f aca="false">IF(G62&lt;&gt;"",G62,F62)</f>
        <v>7</v>
      </c>
      <c r="K62" s="21" t="n">
        <v>1</v>
      </c>
      <c r="L62" s="21"/>
    </row>
    <row r="63" customFormat="false" ht="15" hidden="false" customHeight="false" outlineLevel="0" collapsed="false">
      <c r="A63" s="21" t="s">
        <v>569</v>
      </c>
      <c r="B63" s="21" t="s">
        <v>555</v>
      </c>
      <c r="C63" s="21" t="s">
        <v>570</v>
      </c>
      <c r="D63" s="21" t="s">
        <v>434</v>
      </c>
      <c r="E63" s="21" t="s">
        <v>571</v>
      </c>
      <c r="F63" s="22" t="n">
        <v>9.5</v>
      </c>
      <c r="G63" s="23"/>
      <c r="H63" s="24"/>
      <c r="I63" s="25"/>
      <c r="J63" s="26" t="n">
        <f aca="false">IF(G63&lt;&gt;"",G63,F63)</f>
        <v>9.5</v>
      </c>
      <c r="K63" s="21" t="n">
        <v>0</v>
      </c>
      <c r="L63" s="21"/>
    </row>
    <row r="64" customFormat="false" ht="15" hidden="false" customHeight="false" outlineLevel="0" collapsed="false">
      <c r="A64" s="21" t="s">
        <v>572</v>
      </c>
      <c r="B64" s="21" t="s">
        <v>555</v>
      </c>
      <c r="C64" s="21" t="s">
        <v>573</v>
      </c>
      <c r="D64" s="21" t="s">
        <v>434</v>
      </c>
      <c r="E64" s="21" t="s">
        <v>574</v>
      </c>
      <c r="F64" s="22" t="n">
        <v>10.5</v>
      </c>
      <c r="G64" s="23"/>
      <c r="H64" s="24"/>
      <c r="I64" s="25"/>
      <c r="J64" s="26" t="n">
        <f aca="false">IF(G64&lt;&gt;"",G64,F64)</f>
        <v>10.5</v>
      </c>
      <c r="K64" s="21" t="n">
        <v>2</v>
      </c>
      <c r="L64" s="21"/>
    </row>
    <row r="65" customFormat="false" ht="15" hidden="false" customHeight="false" outlineLevel="0" collapsed="false">
      <c r="A65" s="21" t="s">
        <v>575</v>
      </c>
      <c r="B65" s="21" t="s">
        <v>555</v>
      </c>
      <c r="C65" s="21" t="s">
        <v>576</v>
      </c>
      <c r="D65" s="21" t="s">
        <v>434</v>
      </c>
      <c r="E65" s="21" t="s">
        <v>446</v>
      </c>
      <c r="F65" s="22" t="n">
        <v>8.5</v>
      </c>
      <c r="G65" s="23"/>
      <c r="H65" s="24"/>
      <c r="I65" s="25"/>
      <c r="J65" s="26" t="n">
        <f aca="false">IF(G65&lt;&gt;"",G65,F65)</f>
        <v>8.5</v>
      </c>
      <c r="K65" s="21" t="n">
        <v>4</v>
      </c>
      <c r="L65" s="21"/>
    </row>
    <row r="66" customFormat="false" ht="15" hidden="false" customHeight="false" outlineLevel="0" collapsed="false">
      <c r="A66" s="21" t="s">
        <v>577</v>
      </c>
      <c r="B66" s="21" t="s">
        <v>555</v>
      </c>
      <c r="C66" s="21" t="s">
        <v>578</v>
      </c>
      <c r="D66" s="21" t="s">
        <v>434</v>
      </c>
      <c r="E66" s="21" t="s">
        <v>579</v>
      </c>
      <c r="F66" s="22" t="n">
        <v>9.5</v>
      </c>
      <c r="G66" s="23"/>
      <c r="H66" s="24"/>
      <c r="I66" s="25"/>
      <c r="J66" s="26" t="n">
        <f aca="false">IF(G66&lt;&gt;"",G66,F66)</f>
        <v>9.5</v>
      </c>
      <c r="K66" s="21" t="n">
        <v>7</v>
      </c>
      <c r="L66" s="21"/>
    </row>
    <row r="67" customFormat="false" ht="15" hidden="false" customHeight="false" outlineLevel="0" collapsed="false">
      <c r="A67" s="21" t="s">
        <v>580</v>
      </c>
      <c r="B67" s="21" t="s">
        <v>555</v>
      </c>
      <c r="C67" s="21" t="s">
        <v>581</v>
      </c>
      <c r="D67" s="21" t="s">
        <v>434</v>
      </c>
      <c r="E67" s="21" t="s">
        <v>582</v>
      </c>
      <c r="F67" s="22" t="n">
        <v>22</v>
      </c>
      <c r="G67" s="23"/>
      <c r="H67" s="24"/>
      <c r="I67" s="25"/>
      <c r="J67" s="26" t="n">
        <f aca="false">IF(G67&lt;&gt;"",G67,F67)</f>
        <v>22</v>
      </c>
      <c r="K67" s="21" t="n">
        <v>3</v>
      </c>
      <c r="L67" s="21"/>
    </row>
    <row r="68" customFormat="false" ht="15" hidden="false" customHeight="false" outlineLevel="0" collapsed="false">
      <c r="A68" s="21" t="s">
        <v>583</v>
      </c>
      <c r="B68" s="21" t="s">
        <v>555</v>
      </c>
      <c r="C68" s="21" t="s">
        <v>584</v>
      </c>
      <c r="D68" s="21" t="s">
        <v>434</v>
      </c>
      <c r="E68" s="21" t="s">
        <v>585</v>
      </c>
      <c r="F68" s="22" t="n">
        <v>8</v>
      </c>
      <c r="G68" s="23"/>
      <c r="H68" s="24"/>
      <c r="I68" s="25"/>
      <c r="J68" s="26" t="n">
        <f aca="false">IF(G68&lt;&gt;"",G68,F68)</f>
        <v>8</v>
      </c>
      <c r="K68" s="21" t="n">
        <v>1</v>
      </c>
      <c r="L68" s="21"/>
    </row>
    <row r="69" customFormat="false" ht="15" hidden="false" customHeight="false" outlineLevel="0" collapsed="false">
      <c r="A69" s="21" t="s">
        <v>586</v>
      </c>
      <c r="B69" s="21" t="s">
        <v>555</v>
      </c>
      <c r="C69" s="21" t="s">
        <v>587</v>
      </c>
      <c r="D69" s="21" t="s">
        <v>434</v>
      </c>
      <c r="E69" s="21" t="s">
        <v>446</v>
      </c>
      <c r="F69" s="22" t="n">
        <v>8</v>
      </c>
      <c r="G69" s="23"/>
      <c r="H69" s="24"/>
      <c r="I69" s="25"/>
      <c r="J69" s="26" t="n">
        <f aca="false">IF(G69&lt;&gt;"",G69,F69)</f>
        <v>8</v>
      </c>
      <c r="K69" s="21" t="n">
        <v>18</v>
      </c>
      <c r="L69" s="21"/>
    </row>
    <row r="70" customFormat="false" ht="15" hidden="false" customHeight="false" outlineLevel="0" collapsed="false">
      <c r="A70" s="21" t="s">
        <v>588</v>
      </c>
      <c r="B70" s="21" t="s">
        <v>555</v>
      </c>
      <c r="C70" s="21" t="s">
        <v>589</v>
      </c>
      <c r="D70" s="21" t="s">
        <v>434</v>
      </c>
      <c r="E70" s="21" t="s">
        <v>582</v>
      </c>
      <c r="F70" s="22" t="n">
        <v>28</v>
      </c>
      <c r="G70" s="23"/>
      <c r="H70" s="24"/>
      <c r="I70" s="25"/>
      <c r="J70" s="26" t="n">
        <f aca="false">IF(G70&lt;&gt;"",G70,F70)</f>
        <v>28</v>
      </c>
      <c r="K70" s="21" t="n">
        <v>1</v>
      </c>
      <c r="L70" s="21"/>
    </row>
    <row r="71" customFormat="false" ht="15" hidden="false" customHeight="false" outlineLevel="0" collapsed="false">
      <c r="A71" s="21" t="s">
        <v>590</v>
      </c>
      <c r="B71" s="21" t="s">
        <v>555</v>
      </c>
      <c r="C71" s="21" t="s">
        <v>591</v>
      </c>
      <c r="D71" s="21" t="s">
        <v>434</v>
      </c>
      <c r="E71" s="21" t="s">
        <v>438</v>
      </c>
      <c r="F71" s="22" t="n">
        <v>8</v>
      </c>
      <c r="G71" s="23"/>
      <c r="H71" s="24"/>
      <c r="I71" s="25"/>
      <c r="J71" s="26" t="n">
        <f aca="false">IF(G71&lt;&gt;"",G71,F71)</f>
        <v>8</v>
      </c>
      <c r="K71" s="21" t="n">
        <v>2</v>
      </c>
      <c r="L71" s="21"/>
    </row>
    <row r="72" customFormat="false" ht="15" hidden="false" customHeight="false" outlineLevel="0" collapsed="false">
      <c r="A72" s="21" t="s">
        <v>592</v>
      </c>
      <c r="B72" s="21" t="s">
        <v>555</v>
      </c>
      <c r="C72" s="21" t="s">
        <v>593</v>
      </c>
      <c r="D72" s="21" t="s">
        <v>434</v>
      </c>
      <c r="E72" s="21" t="s">
        <v>594</v>
      </c>
      <c r="F72" s="22" t="n">
        <v>7.5</v>
      </c>
      <c r="G72" s="23"/>
      <c r="H72" s="24"/>
      <c r="I72" s="25"/>
      <c r="J72" s="26" t="n">
        <f aca="false">IF(G72&lt;&gt;"",G72,F72)</f>
        <v>7.5</v>
      </c>
      <c r="K72" s="21" t="n">
        <v>1</v>
      </c>
      <c r="L72" s="21"/>
    </row>
    <row r="73" customFormat="false" ht="15" hidden="false" customHeight="false" outlineLevel="0" collapsed="false">
      <c r="A73" s="21" t="s">
        <v>595</v>
      </c>
      <c r="B73" s="21" t="s">
        <v>555</v>
      </c>
      <c r="C73" s="21" t="s">
        <v>596</v>
      </c>
      <c r="D73" s="21" t="s">
        <v>434</v>
      </c>
      <c r="E73" s="21" t="s">
        <v>597</v>
      </c>
      <c r="F73" s="22" t="n">
        <v>9</v>
      </c>
      <c r="G73" s="23"/>
      <c r="H73" s="24"/>
      <c r="I73" s="25"/>
      <c r="J73" s="26" t="n">
        <f aca="false">IF(G73&lt;&gt;"",G73,F73)</f>
        <v>9</v>
      </c>
      <c r="K73" s="21" t="n">
        <v>1</v>
      </c>
      <c r="L73" s="21"/>
    </row>
    <row r="74" customFormat="false" ht="15" hidden="false" customHeight="false" outlineLevel="0" collapsed="false">
      <c r="A74" s="21" t="s">
        <v>598</v>
      </c>
      <c r="B74" s="21" t="s">
        <v>555</v>
      </c>
      <c r="C74" s="21" t="s">
        <v>599</v>
      </c>
      <c r="D74" s="21" t="s">
        <v>434</v>
      </c>
      <c r="E74" s="21" t="s">
        <v>600</v>
      </c>
      <c r="F74" s="22" t="n">
        <v>8</v>
      </c>
      <c r="G74" s="23"/>
      <c r="H74" s="24"/>
      <c r="I74" s="25"/>
      <c r="J74" s="26" t="n">
        <f aca="false">IF(G74&lt;&gt;"",G74,F74)</f>
        <v>8</v>
      </c>
      <c r="K74" s="21" t="n">
        <v>1</v>
      </c>
      <c r="L74" s="21"/>
    </row>
    <row r="75" customFormat="false" ht="15" hidden="false" customHeight="false" outlineLevel="0" collapsed="false">
      <c r="A75" s="21" t="s">
        <v>601</v>
      </c>
      <c r="B75" s="21" t="s">
        <v>555</v>
      </c>
      <c r="C75" s="21" t="s">
        <v>602</v>
      </c>
      <c r="D75" s="21" t="s">
        <v>434</v>
      </c>
      <c r="E75" s="21" t="s">
        <v>600</v>
      </c>
      <c r="F75" s="22" t="n">
        <v>7.5</v>
      </c>
      <c r="G75" s="23"/>
      <c r="H75" s="24"/>
      <c r="I75" s="25"/>
      <c r="J75" s="26" t="n">
        <f aca="false">IF(G75&lt;&gt;"",G75,F75)</f>
        <v>7.5</v>
      </c>
      <c r="K75" s="21" t="n">
        <v>2</v>
      </c>
      <c r="L75" s="21"/>
    </row>
    <row r="76" customFormat="false" ht="15" hidden="false" customHeight="false" outlineLevel="0" collapsed="false">
      <c r="A76" s="21" t="s">
        <v>603</v>
      </c>
      <c r="B76" s="21" t="s">
        <v>555</v>
      </c>
      <c r="C76" s="21" t="s">
        <v>604</v>
      </c>
      <c r="D76" s="21" t="s">
        <v>434</v>
      </c>
      <c r="E76" s="21" t="s">
        <v>600</v>
      </c>
      <c r="F76" s="22" t="n">
        <v>10</v>
      </c>
      <c r="G76" s="23"/>
      <c r="H76" s="24"/>
      <c r="I76" s="25"/>
      <c r="J76" s="26" t="n">
        <f aca="false">IF(G76&lt;&gt;"",G76,F76)</f>
        <v>10</v>
      </c>
      <c r="K76" s="21" t="n">
        <v>1</v>
      </c>
      <c r="L76" s="21"/>
    </row>
    <row r="77" customFormat="false" ht="15" hidden="false" customHeight="false" outlineLevel="0" collapsed="false">
      <c r="A77" s="21" t="s">
        <v>605</v>
      </c>
      <c r="B77" s="21" t="s">
        <v>555</v>
      </c>
      <c r="C77" s="21" t="s">
        <v>606</v>
      </c>
      <c r="D77" s="21" t="s">
        <v>434</v>
      </c>
      <c r="E77" s="21" t="s">
        <v>607</v>
      </c>
      <c r="F77" s="22" t="n">
        <v>8.5</v>
      </c>
      <c r="G77" s="23"/>
      <c r="H77" s="24"/>
      <c r="I77" s="25"/>
      <c r="J77" s="26" t="n">
        <f aca="false">IF(G77&lt;&gt;"",G77,F77)</f>
        <v>8.5</v>
      </c>
      <c r="K77" s="21" t="n">
        <v>1</v>
      </c>
      <c r="L77" s="21"/>
    </row>
    <row r="78" customFormat="false" ht="15" hidden="false" customHeight="false" outlineLevel="0" collapsed="false">
      <c r="A78" s="21" t="s">
        <v>608</v>
      </c>
      <c r="B78" s="21" t="s">
        <v>555</v>
      </c>
      <c r="C78" s="21" t="s">
        <v>609</v>
      </c>
      <c r="D78" s="21" t="s">
        <v>434</v>
      </c>
      <c r="E78" s="21" t="s">
        <v>582</v>
      </c>
      <c r="F78" s="22" t="n">
        <v>15</v>
      </c>
      <c r="G78" s="23"/>
      <c r="H78" s="24"/>
      <c r="I78" s="25"/>
      <c r="J78" s="26" t="n">
        <f aca="false">IF(G78&lt;&gt;"",G78,F78)</f>
        <v>15</v>
      </c>
      <c r="K78" s="21" t="n">
        <v>2</v>
      </c>
      <c r="L78" s="21"/>
    </row>
    <row r="79" customFormat="false" ht="15" hidden="false" customHeight="false" outlineLevel="0" collapsed="false">
      <c r="A79" s="21" t="s">
        <v>610</v>
      </c>
      <c r="B79" s="21" t="s">
        <v>555</v>
      </c>
      <c r="C79" s="21" t="s">
        <v>611</v>
      </c>
      <c r="D79" s="21" t="s">
        <v>434</v>
      </c>
      <c r="E79" s="21" t="s">
        <v>612</v>
      </c>
      <c r="F79" s="22" t="n">
        <v>11</v>
      </c>
      <c r="G79" s="23"/>
      <c r="H79" s="24"/>
      <c r="I79" s="25"/>
      <c r="J79" s="26" t="n">
        <f aca="false">IF(G79&lt;&gt;"",G79,F79)</f>
        <v>11</v>
      </c>
      <c r="K79" s="21" t="n">
        <v>1</v>
      </c>
      <c r="L79" s="21"/>
    </row>
    <row r="80" customFormat="false" ht="15" hidden="false" customHeight="false" outlineLevel="0" collapsed="false">
      <c r="A80" s="21" t="s">
        <v>613</v>
      </c>
      <c r="B80" s="21" t="s">
        <v>555</v>
      </c>
      <c r="C80" s="21" t="s">
        <v>614</v>
      </c>
      <c r="D80" s="21" t="s">
        <v>434</v>
      </c>
      <c r="E80" s="21" t="s">
        <v>438</v>
      </c>
      <c r="F80" s="22" t="n">
        <v>7.5</v>
      </c>
      <c r="G80" s="23"/>
      <c r="H80" s="24"/>
      <c r="I80" s="25"/>
      <c r="J80" s="26" t="n">
        <f aca="false">IF(G80&lt;&gt;"",G80,F80)</f>
        <v>7.5</v>
      </c>
      <c r="K80" s="21" t="n">
        <v>2</v>
      </c>
      <c r="L80" s="21"/>
    </row>
    <row r="81" customFormat="false" ht="15" hidden="false" customHeight="false" outlineLevel="0" collapsed="false">
      <c r="A81" s="21" t="s">
        <v>615</v>
      </c>
      <c r="B81" s="21" t="s">
        <v>555</v>
      </c>
      <c r="C81" s="21" t="s">
        <v>48</v>
      </c>
      <c r="D81" s="21" t="s">
        <v>434</v>
      </c>
      <c r="E81" s="21" t="s">
        <v>616</v>
      </c>
      <c r="F81" s="22" t="n">
        <v>14</v>
      </c>
      <c r="G81" s="23"/>
      <c r="H81" s="24"/>
      <c r="I81" s="25"/>
      <c r="J81" s="26" t="n">
        <f aca="false">IF(G81&lt;&gt;"",G81,F81)</f>
        <v>14</v>
      </c>
      <c r="K81" s="21" t="n">
        <v>1</v>
      </c>
      <c r="L81" s="21"/>
    </row>
    <row r="82" customFormat="false" ht="15" hidden="false" customHeight="false" outlineLevel="0" collapsed="false">
      <c r="A82" s="21" t="s">
        <v>617</v>
      </c>
      <c r="B82" s="21" t="s">
        <v>555</v>
      </c>
      <c r="C82" s="21" t="s">
        <v>618</v>
      </c>
      <c r="D82" s="21" t="s">
        <v>434</v>
      </c>
      <c r="E82" s="21" t="s">
        <v>438</v>
      </c>
      <c r="F82" s="22" t="n">
        <v>9.5</v>
      </c>
      <c r="G82" s="23"/>
      <c r="H82" s="24"/>
      <c r="I82" s="25"/>
      <c r="J82" s="26" t="n">
        <f aca="false">IF(G82&lt;&gt;"",G82,F82)</f>
        <v>9.5</v>
      </c>
      <c r="K82" s="21" t="n">
        <v>3</v>
      </c>
      <c r="L82" s="21"/>
    </row>
    <row r="83" customFormat="false" ht="15" hidden="false" customHeight="false" outlineLevel="0" collapsed="false">
      <c r="A83" s="21" t="s">
        <v>619</v>
      </c>
      <c r="B83" s="21" t="s">
        <v>555</v>
      </c>
      <c r="C83" s="21" t="s">
        <v>620</v>
      </c>
      <c r="D83" s="21" t="s">
        <v>434</v>
      </c>
      <c r="E83" s="21" t="s">
        <v>446</v>
      </c>
      <c r="F83" s="22" t="n">
        <v>6.5</v>
      </c>
      <c r="G83" s="23"/>
      <c r="H83" s="24"/>
      <c r="I83" s="25"/>
      <c r="J83" s="26" t="n">
        <f aca="false">IF(G83&lt;&gt;"",G83,F83)</f>
        <v>6.5</v>
      </c>
      <c r="K83" s="21" t="n">
        <v>1</v>
      </c>
      <c r="L83" s="21"/>
    </row>
    <row r="84" customFormat="false" ht="15" hidden="false" customHeight="false" outlineLevel="0" collapsed="false">
      <c r="A84" s="21" t="s">
        <v>621</v>
      </c>
      <c r="B84" s="21" t="s">
        <v>555</v>
      </c>
      <c r="C84" s="21" t="s">
        <v>622</v>
      </c>
      <c r="D84" s="21" t="s">
        <v>434</v>
      </c>
      <c r="E84" s="21" t="s">
        <v>438</v>
      </c>
      <c r="F84" s="22" t="n">
        <v>7.5</v>
      </c>
      <c r="G84" s="23"/>
      <c r="H84" s="24"/>
      <c r="I84" s="25"/>
      <c r="J84" s="26" t="n">
        <f aca="false">IF(G84&lt;&gt;"",G84,F84)</f>
        <v>7.5</v>
      </c>
      <c r="K84" s="21" t="n">
        <v>1</v>
      </c>
      <c r="L84" s="21"/>
    </row>
    <row r="85" customFormat="false" ht="15" hidden="false" customHeight="false" outlineLevel="0" collapsed="false">
      <c r="A85" s="21" t="s">
        <v>623</v>
      </c>
      <c r="B85" s="21" t="s">
        <v>555</v>
      </c>
      <c r="C85" s="21" t="s">
        <v>624</v>
      </c>
      <c r="D85" s="21" t="s">
        <v>434</v>
      </c>
      <c r="E85" s="21" t="s">
        <v>571</v>
      </c>
      <c r="F85" s="22" t="n">
        <v>12</v>
      </c>
      <c r="G85" s="23"/>
      <c r="H85" s="24"/>
      <c r="I85" s="25"/>
      <c r="J85" s="26" t="n">
        <f aca="false">IF(G85&lt;&gt;"",G85,F85)</f>
        <v>12</v>
      </c>
      <c r="K85" s="21" t="n">
        <v>1</v>
      </c>
      <c r="L85" s="21"/>
    </row>
    <row r="86" customFormat="false" ht="15" hidden="false" customHeight="false" outlineLevel="0" collapsed="false">
      <c r="A86" s="21" t="s">
        <v>625</v>
      </c>
      <c r="B86" s="21" t="s">
        <v>626</v>
      </c>
      <c r="C86" s="21" t="s">
        <v>627</v>
      </c>
      <c r="D86" s="21" t="s">
        <v>434</v>
      </c>
      <c r="E86" s="21" t="s">
        <v>574</v>
      </c>
      <c r="F86" s="22" t="n">
        <v>8.5</v>
      </c>
      <c r="G86" s="23"/>
      <c r="H86" s="24"/>
      <c r="I86" s="25"/>
      <c r="J86" s="26" t="n">
        <f aca="false">IF(G86&lt;&gt;"",G86,F86)</f>
        <v>8.5</v>
      </c>
      <c r="K86" s="21" t="n">
        <v>2</v>
      </c>
      <c r="L86" s="21"/>
    </row>
    <row r="87" customFormat="false" ht="15" hidden="false" customHeight="false" outlineLevel="0" collapsed="false">
      <c r="A87" s="21" t="s">
        <v>628</v>
      </c>
      <c r="B87" s="21" t="s">
        <v>626</v>
      </c>
      <c r="C87" s="21" t="s">
        <v>629</v>
      </c>
      <c r="D87" s="21" t="s">
        <v>434</v>
      </c>
      <c r="E87" s="21" t="s">
        <v>574</v>
      </c>
      <c r="F87" s="22" t="n">
        <v>6</v>
      </c>
      <c r="G87" s="23"/>
      <c r="H87" s="24"/>
      <c r="I87" s="25"/>
      <c r="J87" s="26" t="n">
        <f aca="false">IF(G87&lt;&gt;"",G87,F87)</f>
        <v>6</v>
      </c>
      <c r="K87" s="21" t="n">
        <v>1</v>
      </c>
      <c r="L87" s="21"/>
    </row>
    <row r="88" customFormat="false" ht="15" hidden="false" customHeight="false" outlineLevel="0" collapsed="false">
      <c r="A88" s="21" t="s">
        <v>630</v>
      </c>
      <c r="B88" s="21" t="s">
        <v>626</v>
      </c>
      <c r="C88" s="21" t="s">
        <v>631</v>
      </c>
      <c r="D88" s="21" t="s">
        <v>434</v>
      </c>
      <c r="E88" s="21" t="s">
        <v>438</v>
      </c>
      <c r="F88" s="22" t="n">
        <v>8</v>
      </c>
      <c r="G88" s="23"/>
      <c r="H88" s="24"/>
      <c r="I88" s="25"/>
      <c r="J88" s="26" t="n">
        <f aca="false">IF(G88&lt;&gt;"",G88,F88)</f>
        <v>8</v>
      </c>
      <c r="K88" s="21" t="n">
        <v>0</v>
      </c>
      <c r="L88" s="21"/>
    </row>
    <row r="89" customFormat="false" ht="15" hidden="false" customHeight="false" outlineLevel="0" collapsed="false">
      <c r="A89" s="21" t="s">
        <v>632</v>
      </c>
      <c r="B89" s="21" t="s">
        <v>626</v>
      </c>
      <c r="C89" s="21" t="s">
        <v>633</v>
      </c>
      <c r="D89" s="21" t="s">
        <v>434</v>
      </c>
      <c r="E89" s="21" t="s">
        <v>574</v>
      </c>
      <c r="F89" s="22" t="n">
        <v>12</v>
      </c>
      <c r="G89" s="23"/>
      <c r="H89" s="24"/>
      <c r="I89" s="25"/>
      <c r="J89" s="26" t="n">
        <f aca="false">IF(G89&lt;&gt;"",G89,F89)</f>
        <v>12</v>
      </c>
      <c r="K89" s="21" t="n">
        <v>1</v>
      </c>
      <c r="L89" s="21"/>
    </row>
    <row r="90" customFormat="false" ht="15" hidden="false" customHeight="false" outlineLevel="0" collapsed="false">
      <c r="A90" s="21" t="s">
        <v>634</v>
      </c>
      <c r="B90" s="21" t="s">
        <v>626</v>
      </c>
      <c r="C90" s="21" t="s">
        <v>635</v>
      </c>
      <c r="D90" s="21" t="s">
        <v>434</v>
      </c>
      <c r="E90" s="21" t="s">
        <v>446</v>
      </c>
      <c r="F90" s="22" t="n">
        <v>8.5</v>
      </c>
      <c r="G90" s="23"/>
      <c r="H90" s="24"/>
      <c r="I90" s="25"/>
      <c r="J90" s="26" t="n">
        <f aca="false">IF(G90&lt;&gt;"",G90,F90)</f>
        <v>8.5</v>
      </c>
      <c r="K90" s="21" t="n">
        <v>3</v>
      </c>
      <c r="L90" s="21"/>
    </row>
    <row r="91" customFormat="false" ht="15" hidden="false" customHeight="false" outlineLevel="0" collapsed="false">
      <c r="A91" s="21" t="s">
        <v>636</v>
      </c>
      <c r="B91" s="21" t="s">
        <v>626</v>
      </c>
      <c r="C91" s="21" t="s">
        <v>637</v>
      </c>
      <c r="D91" s="21" t="s">
        <v>434</v>
      </c>
      <c r="E91" s="21" t="s">
        <v>446</v>
      </c>
      <c r="F91" s="22" t="n">
        <v>13</v>
      </c>
      <c r="G91" s="23"/>
      <c r="H91" s="24"/>
      <c r="I91" s="25"/>
      <c r="J91" s="26" t="n">
        <f aca="false">IF(G91&lt;&gt;"",G91,F91)</f>
        <v>13</v>
      </c>
      <c r="K91" s="21" t="n">
        <v>1</v>
      </c>
      <c r="L91" s="21"/>
    </row>
    <row r="92" customFormat="false" ht="15" hidden="false" customHeight="false" outlineLevel="0" collapsed="false">
      <c r="A92" s="21" t="s">
        <v>638</v>
      </c>
      <c r="B92" s="21" t="s">
        <v>626</v>
      </c>
      <c r="C92" s="21" t="s">
        <v>639</v>
      </c>
      <c r="D92" s="21" t="s">
        <v>434</v>
      </c>
      <c r="E92" s="21" t="s">
        <v>438</v>
      </c>
      <c r="F92" s="22" t="n">
        <v>14</v>
      </c>
      <c r="G92" s="23"/>
      <c r="H92" s="24"/>
      <c r="I92" s="25"/>
      <c r="J92" s="26" t="n">
        <f aca="false">IF(G92&lt;&gt;"",G92,F92)</f>
        <v>14</v>
      </c>
      <c r="K92" s="21" t="n">
        <v>1</v>
      </c>
      <c r="L92" s="21"/>
    </row>
    <row r="93" customFormat="false" ht="15" hidden="false" customHeight="false" outlineLevel="0" collapsed="false">
      <c r="A93" s="21" t="s">
        <v>640</v>
      </c>
      <c r="B93" s="21" t="s">
        <v>626</v>
      </c>
      <c r="C93" s="21" t="s">
        <v>641</v>
      </c>
      <c r="D93" s="21" t="s">
        <v>434</v>
      </c>
      <c r="E93" s="21" t="s">
        <v>438</v>
      </c>
      <c r="F93" s="22" t="n">
        <v>10.5</v>
      </c>
      <c r="G93" s="23"/>
      <c r="H93" s="24"/>
      <c r="I93" s="25"/>
      <c r="J93" s="26" t="n">
        <f aca="false">IF(G93&lt;&gt;"",G93,F93)</f>
        <v>10.5</v>
      </c>
      <c r="K93" s="21" t="n">
        <v>2</v>
      </c>
      <c r="L93" s="21"/>
    </row>
    <row r="94" customFormat="false" ht="15" hidden="false" customHeight="false" outlineLevel="0" collapsed="false">
      <c r="A94" s="21" t="s">
        <v>642</v>
      </c>
      <c r="B94" s="21" t="s">
        <v>626</v>
      </c>
      <c r="C94" s="21" t="s">
        <v>643</v>
      </c>
      <c r="D94" s="21" t="s">
        <v>434</v>
      </c>
      <c r="E94" s="21" t="s">
        <v>438</v>
      </c>
      <c r="F94" s="22" t="n">
        <v>15</v>
      </c>
      <c r="G94" s="23"/>
      <c r="H94" s="24"/>
      <c r="I94" s="25"/>
      <c r="J94" s="26" t="n">
        <f aca="false">IF(G94&lt;&gt;"",G94,F94)</f>
        <v>15</v>
      </c>
      <c r="K94" s="21" t="n">
        <v>1</v>
      </c>
      <c r="L94" s="21"/>
    </row>
    <row r="95" customFormat="false" ht="15" hidden="false" customHeight="false" outlineLevel="0" collapsed="false">
      <c r="A95" s="21" t="s">
        <v>644</v>
      </c>
      <c r="B95" s="21" t="s">
        <v>626</v>
      </c>
      <c r="C95" s="21" t="s">
        <v>645</v>
      </c>
      <c r="D95" s="21" t="s">
        <v>434</v>
      </c>
      <c r="E95" s="21" t="s">
        <v>646</v>
      </c>
      <c r="F95" s="22" t="n">
        <v>40</v>
      </c>
      <c r="G95" s="23"/>
      <c r="H95" s="24"/>
      <c r="I95" s="25"/>
      <c r="J95" s="26" t="n">
        <f aca="false">IF(G95&lt;&gt;"",G95,F95)</f>
        <v>40</v>
      </c>
      <c r="K95" s="21" t="n">
        <v>1</v>
      </c>
      <c r="L95" s="21"/>
    </row>
    <row r="96" customFormat="false" ht="15" hidden="false" customHeight="false" outlineLevel="0" collapsed="false">
      <c r="A96" s="21" t="s">
        <v>647</v>
      </c>
      <c r="B96" s="21" t="s">
        <v>626</v>
      </c>
      <c r="C96" s="21" t="s">
        <v>648</v>
      </c>
      <c r="D96" s="21" t="s">
        <v>434</v>
      </c>
      <c r="E96" s="21" t="s">
        <v>438</v>
      </c>
      <c r="F96" s="22" t="n">
        <v>7.5</v>
      </c>
      <c r="G96" s="23"/>
      <c r="H96" s="24"/>
      <c r="I96" s="25"/>
      <c r="J96" s="26" t="n">
        <f aca="false">IF(G96&lt;&gt;"",G96,F96)</f>
        <v>7.5</v>
      </c>
      <c r="K96" s="21" t="n">
        <v>1</v>
      </c>
      <c r="L96" s="21"/>
    </row>
    <row r="97" customFormat="false" ht="15" hidden="false" customHeight="false" outlineLevel="0" collapsed="false">
      <c r="A97" s="21" t="s">
        <v>649</v>
      </c>
      <c r="B97" s="21" t="s">
        <v>626</v>
      </c>
      <c r="C97" s="21" t="s">
        <v>650</v>
      </c>
      <c r="D97" s="21" t="s">
        <v>434</v>
      </c>
      <c r="E97" s="21" t="s">
        <v>438</v>
      </c>
      <c r="F97" s="22" t="n">
        <v>9</v>
      </c>
      <c r="G97" s="23"/>
      <c r="H97" s="24"/>
      <c r="I97" s="25"/>
      <c r="J97" s="26" t="n">
        <f aca="false">IF(G97&lt;&gt;"",G97,F97)</f>
        <v>9</v>
      </c>
      <c r="K97" s="21" t="n">
        <v>2</v>
      </c>
      <c r="L97" s="21"/>
    </row>
    <row r="98" customFormat="false" ht="15" hidden="false" customHeight="false" outlineLevel="0" collapsed="false">
      <c r="A98" s="21" t="s">
        <v>651</v>
      </c>
      <c r="B98" s="21" t="s">
        <v>626</v>
      </c>
      <c r="C98" s="21" t="s">
        <v>652</v>
      </c>
      <c r="D98" s="21" t="s">
        <v>434</v>
      </c>
      <c r="E98" s="21" t="s">
        <v>438</v>
      </c>
      <c r="F98" s="22" t="n">
        <v>13.5</v>
      </c>
      <c r="G98" s="23"/>
      <c r="H98" s="24"/>
      <c r="I98" s="25"/>
      <c r="J98" s="26" t="n">
        <f aca="false">IF(G98&lt;&gt;"",G98,F98)</f>
        <v>13.5</v>
      </c>
      <c r="K98" s="21" t="n">
        <v>1</v>
      </c>
      <c r="L98" s="21"/>
    </row>
    <row r="99" customFormat="false" ht="15" hidden="false" customHeight="false" outlineLevel="0" collapsed="false">
      <c r="A99" s="21" t="s">
        <v>653</v>
      </c>
      <c r="B99" s="21" t="s">
        <v>626</v>
      </c>
      <c r="C99" s="21" t="s">
        <v>654</v>
      </c>
      <c r="D99" s="21" t="s">
        <v>434</v>
      </c>
      <c r="E99" s="21" t="s">
        <v>438</v>
      </c>
      <c r="F99" s="22" t="n">
        <v>12</v>
      </c>
      <c r="G99" s="23"/>
      <c r="H99" s="24"/>
      <c r="I99" s="25"/>
      <c r="J99" s="26" t="n">
        <f aca="false">IF(G99&lt;&gt;"",G99,F99)</f>
        <v>12</v>
      </c>
      <c r="K99" s="21" t="n">
        <v>1</v>
      </c>
      <c r="L99" s="21"/>
    </row>
    <row r="100" customFormat="false" ht="15" hidden="false" customHeight="false" outlineLevel="0" collapsed="false">
      <c r="A100" s="21" t="s">
        <v>655</v>
      </c>
      <c r="B100" s="21" t="s">
        <v>626</v>
      </c>
      <c r="C100" s="21" t="s">
        <v>656</v>
      </c>
      <c r="D100" s="21" t="s">
        <v>434</v>
      </c>
      <c r="E100" s="21" t="s">
        <v>657</v>
      </c>
      <c r="F100" s="22" t="n">
        <v>4</v>
      </c>
      <c r="G100" s="23"/>
      <c r="H100" s="24"/>
      <c r="I100" s="25"/>
      <c r="J100" s="26" t="n">
        <f aca="false">IF(G100&lt;&gt;"",G100,F100)</f>
        <v>4</v>
      </c>
      <c r="K100" s="21" t="n">
        <v>1</v>
      </c>
      <c r="L100" s="21"/>
    </row>
    <row r="101" customFormat="false" ht="15" hidden="false" customHeight="false" outlineLevel="0" collapsed="false">
      <c r="A101" s="21" t="s">
        <v>658</v>
      </c>
      <c r="B101" s="21" t="s">
        <v>626</v>
      </c>
      <c r="C101" s="21" t="s">
        <v>659</v>
      </c>
      <c r="D101" s="21" t="s">
        <v>434</v>
      </c>
      <c r="E101" s="21" t="s">
        <v>574</v>
      </c>
      <c r="F101" s="22" t="n">
        <v>7</v>
      </c>
      <c r="G101" s="23"/>
      <c r="H101" s="24"/>
      <c r="I101" s="25"/>
      <c r="J101" s="26" t="n">
        <f aca="false">IF(G101&lt;&gt;"",G101,F101)</f>
        <v>7</v>
      </c>
      <c r="K101" s="21" t="n">
        <v>1</v>
      </c>
      <c r="L101" s="21"/>
    </row>
    <row r="102" customFormat="false" ht="15" hidden="false" customHeight="false" outlineLevel="0" collapsed="false">
      <c r="A102" s="21" t="s">
        <v>660</v>
      </c>
      <c r="B102" s="21" t="s">
        <v>626</v>
      </c>
      <c r="C102" s="21" t="s">
        <v>661</v>
      </c>
      <c r="D102" s="21" t="s">
        <v>434</v>
      </c>
      <c r="E102" s="21" t="s">
        <v>574</v>
      </c>
      <c r="F102" s="22" t="n">
        <v>24</v>
      </c>
      <c r="G102" s="23"/>
      <c r="H102" s="24"/>
      <c r="I102" s="25"/>
      <c r="J102" s="26" t="n">
        <f aca="false">IF(G102&lt;&gt;"",G102,F102)</f>
        <v>24</v>
      </c>
      <c r="K102" s="21" t="n">
        <v>2</v>
      </c>
      <c r="L102" s="21"/>
    </row>
    <row r="103" customFormat="false" ht="15" hidden="false" customHeight="false" outlineLevel="0" collapsed="false">
      <c r="A103" s="21" t="s">
        <v>662</v>
      </c>
      <c r="B103" s="21" t="s">
        <v>626</v>
      </c>
      <c r="C103" s="21" t="s">
        <v>663</v>
      </c>
      <c r="D103" s="21" t="s">
        <v>434</v>
      </c>
      <c r="E103" s="21" t="s">
        <v>438</v>
      </c>
      <c r="F103" s="22" t="n">
        <v>9.5</v>
      </c>
      <c r="G103" s="23"/>
      <c r="H103" s="24"/>
      <c r="I103" s="25"/>
      <c r="J103" s="26" t="n">
        <f aca="false">IF(G103&lt;&gt;"",G103,F103)</f>
        <v>9.5</v>
      </c>
      <c r="K103" s="21" t="n">
        <v>1</v>
      </c>
      <c r="L103" s="21"/>
    </row>
    <row r="104" customFormat="false" ht="15" hidden="false" customHeight="false" outlineLevel="0" collapsed="false">
      <c r="A104" s="21" t="s">
        <v>664</v>
      </c>
      <c r="B104" s="21" t="s">
        <v>626</v>
      </c>
      <c r="C104" s="21" t="s">
        <v>665</v>
      </c>
      <c r="D104" s="21" t="s">
        <v>434</v>
      </c>
      <c r="E104" s="21" t="s">
        <v>438</v>
      </c>
      <c r="F104" s="22" t="n">
        <v>15</v>
      </c>
      <c r="G104" s="23"/>
      <c r="H104" s="24"/>
      <c r="I104" s="25"/>
      <c r="J104" s="26" t="n">
        <f aca="false">IF(G104&lt;&gt;"",G104,F104)</f>
        <v>15</v>
      </c>
      <c r="K104" s="21" t="n">
        <v>1</v>
      </c>
      <c r="L104" s="21"/>
    </row>
    <row r="105" customFormat="false" ht="15" hidden="false" customHeight="false" outlineLevel="0" collapsed="false">
      <c r="A105" s="21" t="s">
        <v>666</v>
      </c>
      <c r="B105" s="21" t="s">
        <v>626</v>
      </c>
      <c r="C105" s="21" t="s">
        <v>667</v>
      </c>
      <c r="D105" s="21" t="s">
        <v>434</v>
      </c>
      <c r="E105" s="21" t="s">
        <v>438</v>
      </c>
      <c r="F105" s="22" t="n">
        <v>14</v>
      </c>
      <c r="G105" s="23"/>
      <c r="H105" s="24"/>
      <c r="I105" s="25"/>
      <c r="J105" s="26" t="n">
        <f aca="false">IF(G105&lt;&gt;"",G105,F105)</f>
        <v>14</v>
      </c>
      <c r="K105" s="21" t="n">
        <v>1</v>
      </c>
      <c r="L105" s="21"/>
    </row>
    <row r="106" customFormat="false" ht="15" hidden="false" customHeight="false" outlineLevel="0" collapsed="false">
      <c r="A106" s="21" t="s">
        <v>668</v>
      </c>
      <c r="B106" s="21" t="s">
        <v>626</v>
      </c>
      <c r="C106" s="21" t="s">
        <v>669</v>
      </c>
      <c r="D106" s="21" t="s">
        <v>434</v>
      </c>
      <c r="E106" s="21" t="s">
        <v>438</v>
      </c>
      <c r="F106" s="22" t="n">
        <v>7</v>
      </c>
      <c r="G106" s="23"/>
      <c r="H106" s="24"/>
      <c r="I106" s="25"/>
      <c r="J106" s="26" t="n">
        <f aca="false">IF(G106&lt;&gt;"",G106,F106)</f>
        <v>7</v>
      </c>
      <c r="K106" s="21" t="n">
        <v>1</v>
      </c>
      <c r="L106" s="21"/>
    </row>
    <row r="107" customFormat="false" ht="15" hidden="false" customHeight="false" outlineLevel="0" collapsed="false">
      <c r="A107" s="21" t="s">
        <v>670</v>
      </c>
      <c r="B107" s="21" t="s">
        <v>626</v>
      </c>
      <c r="C107" s="21" t="s">
        <v>671</v>
      </c>
      <c r="D107" s="21" t="s">
        <v>434</v>
      </c>
      <c r="E107" s="21" t="s">
        <v>672</v>
      </c>
      <c r="F107" s="22" t="n">
        <v>26</v>
      </c>
      <c r="G107" s="23"/>
      <c r="H107" s="24"/>
      <c r="I107" s="25"/>
      <c r="J107" s="26" t="n">
        <f aca="false">IF(G107&lt;&gt;"",G107,F107)</f>
        <v>26</v>
      </c>
      <c r="K107" s="21" t="n">
        <v>1</v>
      </c>
      <c r="L107" s="21"/>
    </row>
    <row r="108" customFormat="false" ht="15" hidden="false" customHeight="false" outlineLevel="0" collapsed="false">
      <c r="A108" s="21" t="s">
        <v>673</v>
      </c>
      <c r="B108" s="21" t="s">
        <v>674</v>
      </c>
      <c r="C108" s="21" t="s">
        <v>675</v>
      </c>
      <c r="D108" s="21" t="s">
        <v>434</v>
      </c>
      <c r="E108" s="21" t="s">
        <v>676</v>
      </c>
      <c r="F108" s="22" t="n">
        <v>9</v>
      </c>
      <c r="G108" s="23"/>
      <c r="H108" s="24"/>
      <c r="I108" s="25"/>
      <c r="J108" s="26" t="n">
        <f aca="false">IF(G108&lt;&gt;"",G108,F108)</f>
        <v>9</v>
      </c>
      <c r="K108" s="21" t="n">
        <v>104</v>
      </c>
      <c r="L108" s="21"/>
    </row>
    <row r="109" customFormat="false" ht="15" hidden="false" customHeight="false" outlineLevel="0" collapsed="false">
      <c r="A109" s="21" t="s">
        <v>677</v>
      </c>
      <c r="B109" s="21" t="s">
        <v>674</v>
      </c>
      <c r="C109" s="21" t="s">
        <v>678</v>
      </c>
      <c r="D109" s="21" t="s">
        <v>434</v>
      </c>
      <c r="E109" s="21" t="s">
        <v>679</v>
      </c>
      <c r="F109" s="22" t="n">
        <v>10.5</v>
      </c>
      <c r="G109" s="23"/>
      <c r="H109" s="24"/>
      <c r="I109" s="25"/>
      <c r="J109" s="26" t="n">
        <f aca="false">IF(G109&lt;&gt;"",G109,F109)</f>
        <v>10.5</v>
      </c>
      <c r="K109" s="21" t="n">
        <v>8</v>
      </c>
      <c r="L109" s="21"/>
    </row>
    <row r="110" customFormat="false" ht="15" hidden="false" customHeight="false" outlineLevel="0" collapsed="false">
      <c r="A110" s="21" t="s">
        <v>680</v>
      </c>
      <c r="B110" s="21" t="s">
        <v>674</v>
      </c>
      <c r="C110" s="21" t="s">
        <v>681</v>
      </c>
      <c r="D110" s="21" t="s">
        <v>682</v>
      </c>
      <c r="E110" s="21" t="s">
        <v>683</v>
      </c>
      <c r="F110" s="22" t="n">
        <v>4.5</v>
      </c>
      <c r="G110" s="23"/>
      <c r="H110" s="24"/>
      <c r="I110" s="25"/>
      <c r="J110" s="26" t="n">
        <f aca="false">IF(G110&lt;&gt;"",G110,F110)</f>
        <v>4.5</v>
      </c>
      <c r="K110" s="21" t="n">
        <v>1</v>
      </c>
      <c r="L110" s="21"/>
    </row>
    <row r="111" customFormat="false" ht="15" hidden="false" customHeight="false" outlineLevel="0" collapsed="false">
      <c r="A111" s="21" t="s">
        <v>684</v>
      </c>
      <c r="B111" s="21" t="s">
        <v>674</v>
      </c>
      <c r="C111" s="21" t="s">
        <v>685</v>
      </c>
      <c r="D111" s="21" t="s">
        <v>434</v>
      </c>
      <c r="E111" s="21" t="s">
        <v>686</v>
      </c>
      <c r="F111" s="22" t="n">
        <v>10.5</v>
      </c>
      <c r="G111" s="23"/>
      <c r="H111" s="24"/>
      <c r="I111" s="25"/>
      <c r="J111" s="26" t="n">
        <f aca="false">IF(G111&lt;&gt;"",G111,F111)</f>
        <v>10.5</v>
      </c>
      <c r="K111" s="21" t="n">
        <v>1</v>
      </c>
      <c r="L111" s="21"/>
    </row>
    <row r="112" customFormat="false" ht="15" hidden="false" customHeight="false" outlineLevel="0" collapsed="false">
      <c r="A112" s="21" t="s">
        <v>687</v>
      </c>
      <c r="B112" s="21" t="s">
        <v>674</v>
      </c>
      <c r="C112" s="21" t="s">
        <v>688</v>
      </c>
      <c r="D112" s="21" t="s">
        <v>434</v>
      </c>
      <c r="E112" s="21" t="s">
        <v>689</v>
      </c>
      <c r="F112" s="22" t="n">
        <v>11</v>
      </c>
      <c r="G112" s="23"/>
      <c r="H112" s="24"/>
      <c r="I112" s="25"/>
      <c r="J112" s="26" t="n">
        <f aca="false">IF(G112&lt;&gt;"",G112,F112)</f>
        <v>11</v>
      </c>
      <c r="K112" s="21" t="n">
        <v>2</v>
      </c>
      <c r="L112" s="21"/>
    </row>
    <row r="113" customFormat="false" ht="15" hidden="false" customHeight="false" outlineLevel="0" collapsed="false">
      <c r="A113" s="21" t="s">
        <v>690</v>
      </c>
      <c r="B113" s="21" t="s">
        <v>674</v>
      </c>
      <c r="C113" s="21" t="s">
        <v>691</v>
      </c>
      <c r="D113" s="21" t="s">
        <v>434</v>
      </c>
      <c r="E113" s="21" t="s">
        <v>692</v>
      </c>
      <c r="F113" s="22" t="n">
        <v>11</v>
      </c>
      <c r="G113" s="23"/>
      <c r="H113" s="24"/>
      <c r="I113" s="25"/>
      <c r="J113" s="26" t="n">
        <f aca="false">IF(G113&lt;&gt;"",G113,F113)</f>
        <v>11</v>
      </c>
      <c r="K113" s="21" t="n">
        <v>1</v>
      </c>
      <c r="L113" s="21"/>
    </row>
    <row r="114" customFormat="false" ht="15" hidden="false" customHeight="false" outlineLevel="0" collapsed="false">
      <c r="A114" s="21" t="s">
        <v>693</v>
      </c>
      <c r="B114" s="21" t="s">
        <v>674</v>
      </c>
      <c r="C114" s="21" t="s">
        <v>694</v>
      </c>
      <c r="D114" s="21" t="s">
        <v>434</v>
      </c>
      <c r="E114" s="21" t="s">
        <v>695</v>
      </c>
      <c r="F114" s="22" t="n">
        <v>9.5</v>
      </c>
      <c r="G114" s="23"/>
      <c r="H114" s="24"/>
      <c r="I114" s="25"/>
      <c r="J114" s="26" t="n">
        <f aca="false">IF(G114&lt;&gt;"",G114,F114)</f>
        <v>9.5</v>
      </c>
      <c r="K114" s="21" t="n">
        <v>1</v>
      </c>
      <c r="L114" s="21"/>
    </row>
    <row r="115" customFormat="false" ht="15" hidden="false" customHeight="false" outlineLevel="0" collapsed="false">
      <c r="A115" s="21" t="s">
        <v>696</v>
      </c>
      <c r="B115" s="21" t="s">
        <v>674</v>
      </c>
      <c r="C115" s="21" t="s">
        <v>697</v>
      </c>
      <c r="D115" s="21" t="s">
        <v>434</v>
      </c>
      <c r="E115" s="21" t="s">
        <v>574</v>
      </c>
      <c r="F115" s="22" t="n">
        <v>13</v>
      </c>
      <c r="G115" s="23"/>
      <c r="H115" s="24"/>
      <c r="I115" s="25"/>
      <c r="J115" s="26" t="n">
        <f aca="false">IF(G115&lt;&gt;"",G115,F115)</f>
        <v>13</v>
      </c>
      <c r="K115" s="21" t="n">
        <v>2</v>
      </c>
      <c r="L115" s="21"/>
    </row>
    <row r="116" customFormat="false" ht="15" hidden="false" customHeight="false" outlineLevel="0" collapsed="false">
      <c r="A116" s="21" t="s">
        <v>698</v>
      </c>
      <c r="B116" s="21" t="s">
        <v>674</v>
      </c>
      <c r="C116" s="21" t="s">
        <v>699</v>
      </c>
      <c r="D116" s="21" t="s">
        <v>434</v>
      </c>
      <c r="E116" s="21" t="s">
        <v>514</v>
      </c>
      <c r="F116" s="22" t="n">
        <v>5</v>
      </c>
      <c r="G116" s="23"/>
      <c r="H116" s="24"/>
      <c r="I116" s="25"/>
      <c r="J116" s="26" t="n">
        <f aca="false">IF(G116&lt;&gt;"",G116,F116)</f>
        <v>5</v>
      </c>
      <c r="K116" s="21" t="n">
        <v>3</v>
      </c>
      <c r="L116" s="21"/>
    </row>
    <row r="117" customFormat="false" ht="15" hidden="false" customHeight="false" outlineLevel="0" collapsed="false">
      <c r="A117" s="21" t="s">
        <v>700</v>
      </c>
      <c r="B117" s="21" t="s">
        <v>674</v>
      </c>
      <c r="C117" s="21" t="s">
        <v>701</v>
      </c>
      <c r="D117" s="21" t="s">
        <v>682</v>
      </c>
      <c r="E117" s="21" t="s">
        <v>702</v>
      </c>
      <c r="F117" s="22" t="n">
        <v>5.5</v>
      </c>
      <c r="G117" s="23"/>
      <c r="H117" s="24"/>
      <c r="I117" s="25"/>
      <c r="J117" s="26" t="n">
        <f aca="false">IF(G117&lt;&gt;"",G117,F117)</f>
        <v>5.5</v>
      </c>
      <c r="K117" s="21" t="n">
        <v>84</v>
      </c>
      <c r="L117" s="21"/>
    </row>
    <row r="118" customFormat="false" ht="15" hidden="false" customHeight="false" outlineLevel="0" collapsed="false">
      <c r="A118" s="21" t="s">
        <v>703</v>
      </c>
      <c r="B118" s="21" t="s">
        <v>674</v>
      </c>
      <c r="C118" s="21" t="s">
        <v>704</v>
      </c>
      <c r="D118" s="21" t="s">
        <v>434</v>
      </c>
      <c r="E118" s="21" t="s">
        <v>574</v>
      </c>
      <c r="F118" s="22" t="n">
        <v>8</v>
      </c>
      <c r="G118" s="23"/>
      <c r="H118" s="24"/>
      <c r="I118" s="25"/>
      <c r="J118" s="26" t="n">
        <f aca="false">IF(G118&lt;&gt;"",G118,F118)</f>
        <v>8</v>
      </c>
      <c r="K118" s="21" t="n">
        <v>1</v>
      </c>
      <c r="L118" s="21"/>
    </row>
    <row r="119" customFormat="false" ht="15" hidden="false" customHeight="false" outlineLevel="0" collapsed="false">
      <c r="A119" s="21" t="s">
        <v>705</v>
      </c>
      <c r="B119" s="21" t="s">
        <v>674</v>
      </c>
      <c r="C119" s="21" t="s">
        <v>706</v>
      </c>
      <c r="D119" s="21" t="s">
        <v>434</v>
      </c>
      <c r="E119" s="21" t="s">
        <v>574</v>
      </c>
      <c r="F119" s="22" t="n">
        <v>7.5</v>
      </c>
      <c r="G119" s="23"/>
      <c r="H119" s="24"/>
      <c r="I119" s="25"/>
      <c r="J119" s="26" t="n">
        <f aca="false">IF(G119&lt;&gt;"",G119,F119)</f>
        <v>7.5</v>
      </c>
      <c r="K119" s="21" t="n">
        <v>42</v>
      </c>
      <c r="L119" s="21"/>
    </row>
    <row r="120" customFormat="false" ht="15" hidden="false" customHeight="false" outlineLevel="0" collapsed="false">
      <c r="A120" s="21" t="s">
        <v>707</v>
      </c>
      <c r="B120" s="21" t="s">
        <v>674</v>
      </c>
      <c r="C120" s="21" t="s">
        <v>708</v>
      </c>
      <c r="D120" s="21" t="s">
        <v>434</v>
      </c>
      <c r="E120" s="21" t="s">
        <v>709</v>
      </c>
      <c r="F120" s="22" t="n">
        <v>9</v>
      </c>
      <c r="G120" s="23"/>
      <c r="H120" s="24"/>
      <c r="I120" s="25"/>
      <c r="J120" s="26" t="n">
        <f aca="false">IF(G120&lt;&gt;"",G120,F120)</f>
        <v>9</v>
      </c>
      <c r="K120" s="21" t="n">
        <v>4</v>
      </c>
      <c r="L120" s="21"/>
    </row>
    <row r="121" customFormat="false" ht="15" hidden="false" customHeight="false" outlineLevel="0" collapsed="false">
      <c r="A121" s="21" t="s">
        <v>710</v>
      </c>
      <c r="B121" s="21" t="s">
        <v>674</v>
      </c>
      <c r="C121" s="21" t="s">
        <v>711</v>
      </c>
      <c r="D121" s="21" t="s">
        <v>434</v>
      </c>
      <c r="E121" s="21" t="s">
        <v>514</v>
      </c>
      <c r="F121" s="22" t="n">
        <v>2.8</v>
      </c>
      <c r="G121" s="23"/>
      <c r="H121" s="24"/>
      <c r="I121" s="25"/>
      <c r="J121" s="26" t="n">
        <f aca="false">IF(G121&lt;&gt;"",G121,F121)</f>
        <v>2.8</v>
      </c>
      <c r="K121" s="21" t="n">
        <v>4</v>
      </c>
      <c r="L121" s="21"/>
    </row>
    <row r="122" customFormat="false" ht="15" hidden="false" customHeight="false" outlineLevel="0" collapsed="false">
      <c r="A122" s="21" t="s">
        <v>712</v>
      </c>
      <c r="B122" s="21" t="s">
        <v>674</v>
      </c>
      <c r="C122" s="21" t="s">
        <v>713</v>
      </c>
      <c r="D122" s="21" t="s">
        <v>434</v>
      </c>
      <c r="E122" s="21" t="s">
        <v>714</v>
      </c>
      <c r="F122" s="22" t="n">
        <v>8</v>
      </c>
      <c r="G122" s="23"/>
      <c r="H122" s="24"/>
      <c r="I122" s="25"/>
      <c r="J122" s="26" t="n">
        <f aca="false">IF(G122&lt;&gt;"",G122,F122)</f>
        <v>8</v>
      </c>
      <c r="K122" s="21" t="n">
        <v>1</v>
      </c>
      <c r="L122" s="21"/>
    </row>
    <row r="123" customFormat="false" ht="15" hidden="false" customHeight="false" outlineLevel="0" collapsed="false">
      <c r="A123" s="21" t="s">
        <v>715</v>
      </c>
      <c r="B123" s="21" t="s">
        <v>674</v>
      </c>
      <c r="C123" s="21" t="s">
        <v>716</v>
      </c>
      <c r="D123" s="21" t="s">
        <v>682</v>
      </c>
      <c r="E123" s="21" t="s">
        <v>683</v>
      </c>
      <c r="F123" s="22" t="n">
        <v>6.5</v>
      </c>
      <c r="G123" s="23"/>
      <c r="H123" s="24"/>
      <c r="I123" s="25"/>
      <c r="J123" s="26" t="n">
        <f aca="false">IF(G123&lt;&gt;"",G123,F123)</f>
        <v>6.5</v>
      </c>
      <c r="K123" s="21" t="n">
        <v>8</v>
      </c>
      <c r="L123" s="21"/>
    </row>
    <row r="124" customFormat="false" ht="15" hidden="false" customHeight="false" outlineLevel="0" collapsed="false">
      <c r="A124" s="21" t="s">
        <v>717</v>
      </c>
      <c r="B124" s="21" t="s">
        <v>674</v>
      </c>
      <c r="C124" s="21" t="s">
        <v>718</v>
      </c>
      <c r="D124" s="21" t="s">
        <v>682</v>
      </c>
      <c r="E124" s="21" t="s">
        <v>702</v>
      </c>
      <c r="F124" s="22" t="n">
        <v>2.4</v>
      </c>
      <c r="G124" s="23"/>
      <c r="H124" s="24"/>
      <c r="I124" s="25"/>
      <c r="J124" s="26" t="n">
        <f aca="false">IF(G124&lt;&gt;"",G124,F124)</f>
        <v>2.4</v>
      </c>
      <c r="K124" s="21" t="n">
        <v>29</v>
      </c>
      <c r="L124" s="21"/>
    </row>
    <row r="125" customFormat="false" ht="15" hidden="false" customHeight="false" outlineLevel="0" collapsed="false">
      <c r="A125" s="21" t="s">
        <v>719</v>
      </c>
      <c r="B125" s="21" t="s">
        <v>674</v>
      </c>
      <c r="C125" s="21" t="s">
        <v>720</v>
      </c>
      <c r="D125" s="21" t="s">
        <v>682</v>
      </c>
      <c r="E125" s="21" t="s">
        <v>702</v>
      </c>
      <c r="F125" s="22" t="n">
        <v>2.5</v>
      </c>
      <c r="G125" s="23"/>
      <c r="H125" s="24"/>
      <c r="I125" s="25"/>
      <c r="J125" s="26" t="n">
        <f aca="false">IF(G125&lt;&gt;"",G125,F125)</f>
        <v>2.5</v>
      </c>
      <c r="K125" s="21" t="n">
        <v>16</v>
      </c>
      <c r="L125" s="21"/>
    </row>
    <row r="126" customFormat="false" ht="15" hidden="false" customHeight="false" outlineLevel="0" collapsed="false">
      <c r="A126" s="21" t="s">
        <v>721</v>
      </c>
      <c r="B126" s="21" t="s">
        <v>674</v>
      </c>
      <c r="C126" s="21" t="s">
        <v>722</v>
      </c>
      <c r="D126" s="21" t="s">
        <v>434</v>
      </c>
      <c r="E126" s="21" t="s">
        <v>714</v>
      </c>
      <c r="F126" s="22" t="n">
        <v>7.5</v>
      </c>
      <c r="G126" s="23"/>
      <c r="H126" s="24"/>
      <c r="I126" s="25"/>
      <c r="J126" s="26" t="n">
        <f aca="false">IF(G126&lt;&gt;"",G126,F126)</f>
        <v>7.5</v>
      </c>
      <c r="K126" s="21" t="n">
        <v>1</v>
      </c>
      <c r="L126" s="21"/>
    </row>
    <row r="127" customFormat="false" ht="15" hidden="false" customHeight="false" outlineLevel="0" collapsed="false">
      <c r="A127" s="21" t="s">
        <v>723</v>
      </c>
      <c r="B127" s="21" t="s">
        <v>674</v>
      </c>
      <c r="C127" s="21" t="s">
        <v>724</v>
      </c>
      <c r="D127" s="21" t="s">
        <v>434</v>
      </c>
      <c r="E127" s="21" t="s">
        <v>709</v>
      </c>
      <c r="F127" s="22" t="n">
        <v>9</v>
      </c>
      <c r="G127" s="23"/>
      <c r="H127" s="24"/>
      <c r="I127" s="25"/>
      <c r="J127" s="26" t="n">
        <f aca="false">IF(G127&lt;&gt;"",G127,F127)</f>
        <v>9</v>
      </c>
      <c r="K127" s="21" t="n">
        <v>1</v>
      </c>
      <c r="L127" s="21"/>
    </row>
    <row r="128" customFormat="false" ht="15" hidden="false" customHeight="false" outlineLevel="0" collapsed="false">
      <c r="A128" s="21" t="s">
        <v>725</v>
      </c>
      <c r="B128" s="21" t="s">
        <v>674</v>
      </c>
      <c r="C128" s="21" t="s">
        <v>726</v>
      </c>
      <c r="D128" s="21" t="s">
        <v>434</v>
      </c>
      <c r="E128" s="21" t="s">
        <v>574</v>
      </c>
      <c r="F128" s="22" t="n">
        <v>7.5</v>
      </c>
      <c r="G128" s="23"/>
      <c r="H128" s="24"/>
      <c r="I128" s="25"/>
      <c r="J128" s="26" t="n">
        <f aca="false">IF(G128&lt;&gt;"",G128,F128)</f>
        <v>7.5</v>
      </c>
      <c r="K128" s="21" t="n">
        <v>1</v>
      </c>
      <c r="L128" s="21"/>
    </row>
    <row r="129" customFormat="false" ht="15" hidden="false" customHeight="false" outlineLevel="0" collapsed="false">
      <c r="A129" s="21" t="s">
        <v>727</v>
      </c>
      <c r="B129" s="21" t="s">
        <v>674</v>
      </c>
      <c r="C129" s="21" t="s">
        <v>728</v>
      </c>
      <c r="D129" s="21" t="s">
        <v>434</v>
      </c>
      <c r="E129" s="21" t="s">
        <v>574</v>
      </c>
      <c r="F129" s="22" t="n">
        <v>16</v>
      </c>
      <c r="G129" s="23"/>
      <c r="H129" s="24"/>
      <c r="I129" s="25"/>
      <c r="J129" s="26" t="n">
        <f aca="false">IF(G129&lt;&gt;"",G129,F129)</f>
        <v>16</v>
      </c>
      <c r="K129" s="21" t="n">
        <v>7</v>
      </c>
      <c r="L129" s="21"/>
    </row>
    <row r="130" customFormat="false" ht="15" hidden="false" customHeight="false" outlineLevel="0" collapsed="false">
      <c r="A130" s="21" t="s">
        <v>729</v>
      </c>
      <c r="B130" s="21" t="s">
        <v>674</v>
      </c>
      <c r="C130" s="21" t="s">
        <v>730</v>
      </c>
      <c r="D130" s="21" t="s">
        <v>434</v>
      </c>
      <c r="E130" s="21" t="s">
        <v>731</v>
      </c>
      <c r="F130" s="22" t="n">
        <v>13</v>
      </c>
      <c r="G130" s="23"/>
      <c r="H130" s="24"/>
      <c r="I130" s="25"/>
      <c r="J130" s="26" t="n">
        <f aca="false">IF(G130&lt;&gt;"",G130,F130)</f>
        <v>13</v>
      </c>
      <c r="K130" s="21" t="n">
        <v>2</v>
      </c>
      <c r="L130" s="21"/>
    </row>
    <row r="131" customFormat="false" ht="15" hidden="false" customHeight="false" outlineLevel="0" collapsed="false">
      <c r="A131" s="21" t="s">
        <v>732</v>
      </c>
      <c r="B131" s="21" t="s">
        <v>674</v>
      </c>
      <c r="C131" s="21" t="s">
        <v>733</v>
      </c>
      <c r="D131" s="21" t="s">
        <v>434</v>
      </c>
      <c r="E131" s="21" t="s">
        <v>514</v>
      </c>
      <c r="F131" s="22" t="n">
        <v>3.5</v>
      </c>
      <c r="G131" s="23"/>
      <c r="H131" s="24"/>
      <c r="I131" s="25"/>
      <c r="J131" s="26" t="n">
        <f aca="false">IF(G131&lt;&gt;"",G131,F131)</f>
        <v>3.5</v>
      </c>
      <c r="K131" s="21" t="n">
        <v>1</v>
      </c>
      <c r="L131" s="21"/>
    </row>
    <row r="132" customFormat="false" ht="15" hidden="false" customHeight="false" outlineLevel="0" collapsed="false">
      <c r="A132" s="21" t="s">
        <v>734</v>
      </c>
      <c r="B132" s="21" t="s">
        <v>674</v>
      </c>
      <c r="C132" s="21" t="s">
        <v>735</v>
      </c>
      <c r="D132" s="21" t="s">
        <v>434</v>
      </c>
      <c r="E132" s="21" t="s">
        <v>607</v>
      </c>
      <c r="F132" s="22" t="n">
        <v>12</v>
      </c>
      <c r="G132" s="23"/>
      <c r="H132" s="24"/>
      <c r="I132" s="25"/>
      <c r="J132" s="26" t="n">
        <f aca="false">IF(G132&lt;&gt;"",G132,F132)</f>
        <v>12</v>
      </c>
      <c r="K132" s="21" t="n">
        <v>1</v>
      </c>
      <c r="L132" s="21"/>
    </row>
    <row r="133" customFormat="false" ht="15" hidden="false" customHeight="false" outlineLevel="0" collapsed="false">
      <c r="A133" s="21" t="s">
        <v>736</v>
      </c>
      <c r="B133" s="21" t="s">
        <v>674</v>
      </c>
      <c r="C133" s="21" t="s">
        <v>737</v>
      </c>
      <c r="D133" s="21" t="s">
        <v>434</v>
      </c>
      <c r="E133" s="21" t="s">
        <v>738</v>
      </c>
      <c r="F133" s="22" t="n">
        <v>3</v>
      </c>
      <c r="G133" s="23"/>
      <c r="H133" s="24"/>
      <c r="I133" s="25"/>
      <c r="J133" s="26" t="n">
        <f aca="false">IF(G133&lt;&gt;"",G133,F133)</f>
        <v>3</v>
      </c>
      <c r="K133" s="21" t="n">
        <v>1</v>
      </c>
      <c r="L133" s="21" t="s">
        <v>739</v>
      </c>
    </row>
    <row r="134" customFormat="false" ht="15" hidden="false" customHeight="false" outlineLevel="0" collapsed="false">
      <c r="A134" s="21" t="s">
        <v>740</v>
      </c>
      <c r="B134" s="21" t="s">
        <v>674</v>
      </c>
      <c r="C134" s="21" t="s">
        <v>741</v>
      </c>
      <c r="D134" s="21" t="s">
        <v>434</v>
      </c>
      <c r="E134" s="21" t="s">
        <v>742</v>
      </c>
      <c r="F134" s="22" t="n">
        <v>5.6</v>
      </c>
      <c r="G134" s="23"/>
      <c r="H134" s="24"/>
      <c r="I134" s="25"/>
      <c r="J134" s="26" t="n">
        <f aca="false">IF(G134&lt;&gt;"",G134,F134)</f>
        <v>5.6</v>
      </c>
      <c r="K134" s="21" t="n">
        <v>12</v>
      </c>
      <c r="L134" s="21" t="s">
        <v>743</v>
      </c>
    </row>
    <row r="135" customFormat="false" ht="15" hidden="false" customHeight="false" outlineLevel="0" collapsed="false">
      <c r="A135" s="21" t="s">
        <v>744</v>
      </c>
      <c r="B135" s="21" t="s">
        <v>674</v>
      </c>
      <c r="C135" s="21" t="s">
        <v>745</v>
      </c>
      <c r="D135" s="21" t="s">
        <v>682</v>
      </c>
      <c r="E135" s="21" t="s">
        <v>702</v>
      </c>
      <c r="F135" s="22" t="n">
        <v>3.8</v>
      </c>
      <c r="G135" s="23"/>
      <c r="H135" s="24"/>
      <c r="I135" s="25"/>
      <c r="J135" s="26" t="n">
        <f aca="false">IF(G135&lt;&gt;"",G135,F135)</f>
        <v>3.8</v>
      </c>
      <c r="K135" s="21" t="n">
        <v>21</v>
      </c>
      <c r="L135" s="21"/>
    </row>
    <row r="136" customFormat="false" ht="15" hidden="false" customHeight="false" outlineLevel="0" collapsed="false">
      <c r="A136" s="21" t="s">
        <v>746</v>
      </c>
      <c r="B136" s="21" t="s">
        <v>674</v>
      </c>
      <c r="C136" s="21" t="s">
        <v>747</v>
      </c>
      <c r="D136" s="21" t="s">
        <v>434</v>
      </c>
      <c r="E136" s="21" t="s">
        <v>514</v>
      </c>
      <c r="F136" s="22" t="n">
        <v>2.5</v>
      </c>
      <c r="G136" s="23"/>
      <c r="H136" s="24"/>
      <c r="I136" s="25"/>
      <c r="J136" s="26" t="n">
        <f aca="false">IF(G136&lt;&gt;"",G136,F136)</f>
        <v>2.5</v>
      </c>
      <c r="K136" s="21" t="n">
        <v>1</v>
      </c>
      <c r="L136" s="21"/>
    </row>
    <row r="137" customFormat="false" ht="15" hidden="false" customHeight="false" outlineLevel="0" collapsed="false">
      <c r="A137" s="21" t="s">
        <v>748</v>
      </c>
      <c r="B137" s="21" t="s">
        <v>749</v>
      </c>
      <c r="C137" s="21" t="s">
        <v>750</v>
      </c>
      <c r="D137" s="21" t="s">
        <v>434</v>
      </c>
      <c r="E137" s="21" t="s">
        <v>751</v>
      </c>
      <c r="F137" s="22" t="n">
        <v>6</v>
      </c>
      <c r="G137" s="23"/>
      <c r="H137" s="24"/>
      <c r="I137" s="25"/>
      <c r="J137" s="26" t="n">
        <f aca="false">IF(G137&lt;&gt;"",G137,F137)</f>
        <v>6</v>
      </c>
      <c r="K137" s="21" t="n">
        <v>0</v>
      </c>
      <c r="L137" s="21"/>
    </row>
    <row r="138" customFormat="false" ht="15" hidden="false" customHeight="false" outlineLevel="0" collapsed="false">
      <c r="A138" s="21" t="s">
        <v>752</v>
      </c>
      <c r="B138" s="21" t="s">
        <v>749</v>
      </c>
      <c r="C138" s="21" t="s">
        <v>753</v>
      </c>
      <c r="D138" s="21" t="s">
        <v>434</v>
      </c>
      <c r="E138" s="21" t="s">
        <v>754</v>
      </c>
      <c r="F138" s="22" t="n">
        <v>1.87</v>
      </c>
      <c r="G138" s="23"/>
      <c r="H138" s="24"/>
      <c r="I138" s="25"/>
      <c r="J138" s="26" t="n">
        <f aca="false">IF(G138&lt;&gt;"",G138,F138)</f>
        <v>1.87</v>
      </c>
      <c r="K138" s="21" t="n">
        <v>1</v>
      </c>
      <c r="L138" s="21" t="s">
        <v>755</v>
      </c>
    </row>
    <row r="139" customFormat="false" ht="15" hidden="false" customHeight="false" outlineLevel="0" collapsed="false">
      <c r="A139" s="21" t="s">
        <v>756</v>
      </c>
      <c r="B139" s="21" t="s">
        <v>749</v>
      </c>
      <c r="C139" s="21" t="s">
        <v>757</v>
      </c>
      <c r="D139" s="21" t="s">
        <v>434</v>
      </c>
      <c r="E139" s="21" t="s">
        <v>758</v>
      </c>
      <c r="F139" s="22" t="n">
        <v>9</v>
      </c>
      <c r="G139" s="23"/>
      <c r="H139" s="24"/>
      <c r="I139" s="25"/>
      <c r="J139" s="26" t="n">
        <f aca="false">IF(G139&lt;&gt;"",G139,F139)</f>
        <v>9</v>
      </c>
      <c r="K139" s="21" t="n">
        <v>1</v>
      </c>
      <c r="L139" s="21"/>
    </row>
    <row r="140" customFormat="false" ht="15" hidden="false" customHeight="false" outlineLevel="0" collapsed="false">
      <c r="A140" s="21" t="s">
        <v>759</v>
      </c>
      <c r="B140" s="21" t="s">
        <v>749</v>
      </c>
      <c r="C140" s="21" t="s">
        <v>760</v>
      </c>
      <c r="D140" s="21" t="s">
        <v>434</v>
      </c>
      <c r="E140" s="21" t="s">
        <v>761</v>
      </c>
      <c r="F140" s="22" t="n">
        <v>2.6</v>
      </c>
      <c r="G140" s="23"/>
      <c r="H140" s="24"/>
      <c r="I140" s="25"/>
      <c r="J140" s="26" t="n">
        <f aca="false">IF(G140&lt;&gt;"",G140,F140)</f>
        <v>2.6</v>
      </c>
      <c r="K140" s="21" t="n">
        <v>2</v>
      </c>
      <c r="L140" s="21"/>
    </row>
    <row r="141" customFormat="false" ht="15" hidden="false" customHeight="false" outlineLevel="0" collapsed="false">
      <c r="A141" s="21" t="s">
        <v>762</v>
      </c>
      <c r="B141" s="21" t="s">
        <v>749</v>
      </c>
      <c r="C141" s="21" t="s">
        <v>763</v>
      </c>
      <c r="D141" s="21" t="s">
        <v>434</v>
      </c>
      <c r="E141" s="21" t="s">
        <v>764</v>
      </c>
      <c r="F141" s="22" t="n">
        <v>5.5</v>
      </c>
      <c r="G141" s="23"/>
      <c r="H141" s="24"/>
      <c r="I141" s="25"/>
      <c r="J141" s="26" t="n">
        <f aca="false">IF(G141&lt;&gt;"",G141,F141)</f>
        <v>5.5</v>
      </c>
      <c r="K141" s="21" t="n">
        <v>1</v>
      </c>
      <c r="L141" s="21" t="s">
        <v>765</v>
      </c>
    </row>
    <row r="142" customFormat="false" ht="15" hidden="false" customHeight="false" outlineLevel="0" collapsed="false">
      <c r="A142" s="21" t="s">
        <v>766</v>
      </c>
      <c r="B142" s="21" t="s">
        <v>749</v>
      </c>
      <c r="C142" s="21" t="s">
        <v>767</v>
      </c>
      <c r="D142" s="21" t="s">
        <v>434</v>
      </c>
      <c r="E142" s="21" t="s">
        <v>768</v>
      </c>
      <c r="F142" s="22" t="n">
        <v>1.6</v>
      </c>
      <c r="G142" s="23"/>
      <c r="H142" s="24"/>
      <c r="I142" s="25"/>
      <c r="J142" s="26" t="n">
        <f aca="false">IF(G142&lt;&gt;"",G142,F142)</f>
        <v>1.6</v>
      </c>
      <c r="K142" s="21" t="n">
        <v>1</v>
      </c>
      <c r="L142" s="21"/>
    </row>
    <row r="143" customFormat="false" ht="15" hidden="false" customHeight="false" outlineLevel="0" collapsed="false">
      <c r="A143" s="21" t="s">
        <v>769</v>
      </c>
      <c r="B143" s="21" t="s">
        <v>749</v>
      </c>
      <c r="C143" s="21" t="s">
        <v>770</v>
      </c>
      <c r="D143" s="21" t="s">
        <v>434</v>
      </c>
      <c r="E143" s="21" t="s">
        <v>771</v>
      </c>
      <c r="F143" s="22" t="n">
        <v>32</v>
      </c>
      <c r="G143" s="23"/>
      <c r="H143" s="24"/>
      <c r="I143" s="25"/>
      <c r="J143" s="26" t="n">
        <f aca="false">IF(G143&lt;&gt;"",G143,F143)</f>
        <v>32</v>
      </c>
      <c r="K143" s="21" t="n">
        <v>2</v>
      </c>
      <c r="L143" s="21" t="s">
        <v>743</v>
      </c>
    </row>
    <row r="144" customFormat="false" ht="15" hidden="false" customHeight="false" outlineLevel="0" collapsed="false">
      <c r="A144" s="21" t="s">
        <v>772</v>
      </c>
      <c r="B144" s="21" t="s">
        <v>749</v>
      </c>
      <c r="C144" s="21" t="s">
        <v>773</v>
      </c>
      <c r="D144" s="21" t="s">
        <v>434</v>
      </c>
      <c r="E144" s="21" t="s">
        <v>774</v>
      </c>
      <c r="F144" s="22" t="n">
        <v>1.4</v>
      </c>
      <c r="G144" s="23"/>
      <c r="H144" s="24"/>
      <c r="I144" s="25"/>
      <c r="J144" s="26" t="n">
        <f aca="false">IF(G144&lt;&gt;"",G144,F144)</f>
        <v>1.4</v>
      </c>
      <c r="K144" s="21" t="n">
        <v>2</v>
      </c>
      <c r="L144" s="21"/>
    </row>
    <row r="145" customFormat="false" ht="15" hidden="false" customHeight="false" outlineLevel="0" collapsed="false">
      <c r="A145" s="21" t="s">
        <v>775</v>
      </c>
      <c r="B145" s="21" t="s">
        <v>749</v>
      </c>
      <c r="C145" s="21" t="s">
        <v>776</v>
      </c>
      <c r="D145" s="21" t="s">
        <v>434</v>
      </c>
      <c r="E145" s="21" t="s">
        <v>446</v>
      </c>
      <c r="F145" s="22" t="n">
        <v>3.2</v>
      </c>
      <c r="G145" s="23"/>
      <c r="H145" s="24"/>
      <c r="I145" s="25"/>
      <c r="J145" s="26" t="n">
        <f aca="false">IF(G145&lt;&gt;"",G145,F145)</f>
        <v>3.2</v>
      </c>
      <c r="K145" s="21" t="n">
        <v>1</v>
      </c>
      <c r="L145" s="21"/>
    </row>
    <row r="146" customFormat="false" ht="15" hidden="false" customHeight="false" outlineLevel="0" collapsed="false">
      <c r="A146" s="21" t="s">
        <v>777</v>
      </c>
      <c r="B146" s="21" t="s">
        <v>749</v>
      </c>
      <c r="C146" s="21" t="s">
        <v>778</v>
      </c>
      <c r="D146" s="21" t="s">
        <v>434</v>
      </c>
      <c r="E146" s="21" t="s">
        <v>657</v>
      </c>
      <c r="F146" s="22" t="n">
        <v>1</v>
      </c>
      <c r="G146" s="23"/>
      <c r="H146" s="24"/>
      <c r="I146" s="25"/>
      <c r="J146" s="26" t="n">
        <f aca="false">IF(G146&lt;&gt;"",G146,F146)</f>
        <v>1</v>
      </c>
      <c r="K146" s="21" t="n">
        <v>3</v>
      </c>
      <c r="L146" s="21"/>
    </row>
    <row r="147" customFormat="false" ht="15" hidden="false" customHeight="false" outlineLevel="0" collapsed="false">
      <c r="A147" s="21" t="s">
        <v>779</v>
      </c>
      <c r="B147" s="21" t="s">
        <v>749</v>
      </c>
      <c r="C147" s="21" t="s">
        <v>780</v>
      </c>
      <c r="D147" s="21" t="s">
        <v>434</v>
      </c>
      <c r="E147" s="21" t="s">
        <v>446</v>
      </c>
      <c r="F147" s="22" t="n">
        <v>3.2</v>
      </c>
      <c r="G147" s="23"/>
      <c r="H147" s="24"/>
      <c r="I147" s="25"/>
      <c r="J147" s="26" t="n">
        <f aca="false">IF(G147&lt;&gt;"",G147,F147)</f>
        <v>3.2</v>
      </c>
      <c r="K147" s="21" t="n">
        <v>2</v>
      </c>
      <c r="L147" s="21"/>
    </row>
    <row r="148" customFormat="false" ht="15" hidden="false" customHeight="false" outlineLevel="0" collapsed="false">
      <c r="A148" s="21" t="s">
        <v>781</v>
      </c>
      <c r="B148" s="21" t="s">
        <v>749</v>
      </c>
      <c r="C148" s="21" t="s">
        <v>782</v>
      </c>
      <c r="D148" s="21" t="s">
        <v>434</v>
      </c>
      <c r="E148" s="21" t="s">
        <v>783</v>
      </c>
      <c r="F148" s="22" t="n">
        <v>1.6</v>
      </c>
      <c r="G148" s="23"/>
      <c r="H148" s="24"/>
      <c r="I148" s="25"/>
      <c r="J148" s="26" t="n">
        <f aca="false">IF(G148&lt;&gt;"",G148,F148)</f>
        <v>1.6</v>
      </c>
      <c r="K148" s="21" t="n">
        <v>1</v>
      </c>
      <c r="L148" s="21"/>
    </row>
    <row r="149" customFormat="false" ht="15" hidden="false" customHeight="false" outlineLevel="0" collapsed="false">
      <c r="A149" s="21" t="s">
        <v>784</v>
      </c>
      <c r="B149" s="21" t="s">
        <v>749</v>
      </c>
      <c r="C149" s="21" t="s">
        <v>785</v>
      </c>
      <c r="D149" s="21" t="s">
        <v>434</v>
      </c>
      <c r="E149" s="21" t="s">
        <v>446</v>
      </c>
      <c r="F149" s="22" t="n">
        <v>3.5</v>
      </c>
      <c r="G149" s="23"/>
      <c r="H149" s="24"/>
      <c r="I149" s="25"/>
      <c r="J149" s="26" t="n">
        <f aca="false">IF(G149&lt;&gt;"",G149,F149)</f>
        <v>3.5</v>
      </c>
      <c r="K149" s="21" t="n">
        <v>1</v>
      </c>
      <c r="L149" s="21"/>
    </row>
    <row r="150" customFormat="false" ht="15" hidden="false" customHeight="false" outlineLevel="0" collapsed="false">
      <c r="A150" s="21" t="s">
        <v>786</v>
      </c>
      <c r="B150" s="21" t="s">
        <v>749</v>
      </c>
      <c r="C150" s="21" t="s">
        <v>787</v>
      </c>
      <c r="D150" s="21" t="s">
        <v>434</v>
      </c>
      <c r="E150" s="21" t="s">
        <v>783</v>
      </c>
      <c r="F150" s="22" t="n">
        <v>1</v>
      </c>
      <c r="G150" s="23"/>
      <c r="H150" s="24"/>
      <c r="I150" s="25"/>
      <c r="J150" s="26" t="n">
        <f aca="false">IF(G150&lt;&gt;"",G150,F150)</f>
        <v>1</v>
      </c>
      <c r="K150" s="21" t="n">
        <v>1</v>
      </c>
      <c r="L150" s="21"/>
    </row>
    <row r="151" customFormat="false" ht="15" hidden="false" customHeight="false" outlineLevel="0" collapsed="false">
      <c r="A151" s="21" t="s">
        <v>788</v>
      </c>
      <c r="B151" s="21" t="s">
        <v>749</v>
      </c>
      <c r="C151" s="21" t="s">
        <v>789</v>
      </c>
      <c r="D151" s="21" t="s">
        <v>434</v>
      </c>
      <c r="E151" s="21" t="s">
        <v>790</v>
      </c>
      <c r="F151" s="22" t="n">
        <v>1.9</v>
      </c>
      <c r="G151" s="23"/>
      <c r="H151" s="24"/>
      <c r="I151" s="25"/>
      <c r="J151" s="26" t="n">
        <f aca="false">IF(G151&lt;&gt;"",G151,F151)</f>
        <v>1.9</v>
      </c>
      <c r="K151" s="21" t="n">
        <v>1</v>
      </c>
      <c r="L151" s="21"/>
    </row>
    <row r="152" customFormat="false" ht="15" hidden="false" customHeight="false" outlineLevel="0" collapsed="false">
      <c r="A152" s="21" t="s">
        <v>791</v>
      </c>
      <c r="B152" s="21" t="s">
        <v>749</v>
      </c>
      <c r="C152" s="21" t="s">
        <v>792</v>
      </c>
      <c r="D152" s="21" t="s">
        <v>434</v>
      </c>
      <c r="E152" s="21" t="s">
        <v>446</v>
      </c>
      <c r="F152" s="22" t="n">
        <v>3.2</v>
      </c>
      <c r="G152" s="23"/>
      <c r="H152" s="24"/>
      <c r="I152" s="25"/>
      <c r="J152" s="26" t="n">
        <f aca="false">IF(G152&lt;&gt;"",G152,F152)</f>
        <v>3.2</v>
      </c>
      <c r="K152" s="21" t="n">
        <v>1</v>
      </c>
      <c r="L152" s="21"/>
    </row>
    <row r="153" customFormat="false" ht="15" hidden="false" customHeight="false" outlineLevel="0" collapsed="false">
      <c r="A153" s="21" t="s">
        <v>793</v>
      </c>
      <c r="B153" s="21" t="s">
        <v>749</v>
      </c>
      <c r="C153" s="21" t="s">
        <v>794</v>
      </c>
      <c r="D153" s="21" t="s">
        <v>434</v>
      </c>
      <c r="E153" s="21" t="s">
        <v>783</v>
      </c>
      <c r="F153" s="22" t="n">
        <v>1.3</v>
      </c>
      <c r="G153" s="23"/>
      <c r="H153" s="24"/>
      <c r="I153" s="25"/>
      <c r="J153" s="26" t="n">
        <f aca="false">IF(G153&lt;&gt;"",G153,F153)</f>
        <v>1.3</v>
      </c>
      <c r="K153" s="21" t="n">
        <v>1</v>
      </c>
      <c r="L153" s="21"/>
    </row>
    <row r="154" customFormat="false" ht="15" hidden="false" customHeight="false" outlineLevel="0" collapsed="false">
      <c r="A154" s="21" t="s">
        <v>795</v>
      </c>
      <c r="B154" s="21" t="s">
        <v>749</v>
      </c>
      <c r="C154" s="21" t="s">
        <v>796</v>
      </c>
      <c r="D154" s="21" t="s">
        <v>434</v>
      </c>
      <c r="E154" s="21" t="s">
        <v>783</v>
      </c>
      <c r="F154" s="22" t="n">
        <v>2.2</v>
      </c>
      <c r="G154" s="23"/>
      <c r="H154" s="24"/>
      <c r="I154" s="25"/>
      <c r="J154" s="26" t="n">
        <f aca="false">IF(G154&lt;&gt;"",G154,F154)</f>
        <v>2.2</v>
      </c>
      <c r="K154" s="21" t="n">
        <v>13</v>
      </c>
      <c r="L154" s="21"/>
    </row>
    <row r="155" customFormat="false" ht="15" hidden="false" customHeight="false" outlineLevel="0" collapsed="false">
      <c r="A155" s="21" t="s">
        <v>797</v>
      </c>
      <c r="B155" s="21" t="s">
        <v>749</v>
      </c>
      <c r="C155" s="21" t="s">
        <v>798</v>
      </c>
      <c r="D155" s="21" t="s">
        <v>434</v>
      </c>
      <c r="E155" s="21" t="s">
        <v>799</v>
      </c>
      <c r="F155" s="22" t="n">
        <v>3.5</v>
      </c>
      <c r="G155" s="23"/>
      <c r="H155" s="24"/>
      <c r="I155" s="25"/>
      <c r="J155" s="26" t="n">
        <f aca="false">IF(G155&lt;&gt;"",G155,F155)</f>
        <v>3.5</v>
      </c>
      <c r="K155" s="21" t="n">
        <v>1</v>
      </c>
      <c r="L155" s="21"/>
    </row>
    <row r="156" customFormat="false" ht="15" hidden="false" customHeight="false" outlineLevel="0" collapsed="false">
      <c r="A156" s="21" t="s">
        <v>800</v>
      </c>
      <c r="B156" s="21" t="s">
        <v>749</v>
      </c>
      <c r="C156" s="21" t="s">
        <v>801</v>
      </c>
      <c r="D156" s="21" t="s">
        <v>434</v>
      </c>
      <c r="E156" s="21" t="s">
        <v>802</v>
      </c>
      <c r="F156" s="22" t="n">
        <v>2.25</v>
      </c>
      <c r="G156" s="23"/>
      <c r="H156" s="24"/>
      <c r="I156" s="25"/>
      <c r="J156" s="26" t="n">
        <f aca="false">IF(G156&lt;&gt;"",G156,F156)</f>
        <v>2.25</v>
      </c>
      <c r="K156" s="21" t="n">
        <v>5</v>
      </c>
      <c r="L156" s="21" t="s">
        <v>803</v>
      </c>
    </row>
    <row r="157" customFormat="false" ht="15" hidden="false" customHeight="false" outlineLevel="0" collapsed="false">
      <c r="A157" s="21" t="s">
        <v>804</v>
      </c>
      <c r="B157" s="21" t="s">
        <v>749</v>
      </c>
      <c r="C157" s="21" t="s">
        <v>805</v>
      </c>
      <c r="D157" s="21" t="s">
        <v>434</v>
      </c>
      <c r="E157" s="21" t="s">
        <v>806</v>
      </c>
      <c r="F157" s="22" t="n">
        <v>30</v>
      </c>
      <c r="G157" s="23"/>
      <c r="H157" s="24"/>
      <c r="I157" s="25"/>
      <c r="J157" s="26" t="n">
        <f aca="false">IF(G157&lt;&gt;"",G157,F157)</f>
        <v>30</v>
      </c>
      <c r="K157" s="21" t="n">
        <v>2</v>
      </c>
      <c r="L157" s="21" t="s">
        <v>743</v>
      </c>
    </row>
    <row r="158" customFormat="false" ht="15" hidden="false" customHeight="false" outlineLevel="0" collapsed="false">
      <c r="A158" s="21" t="s">
        <v>807</v>
      </c>
      <c r="B158" s="21" t="s">
        <v>749</v>
      </c>
      <c r="C158" s="21" t="s">
        <v>808</v>
      </c>
      <c r="D158" s="21" t="s">
        <v>434</v>
      </c>
      <c r="E158" s="21" t="s">
        <v>783</v>
      </c>
      <c r="F158" s="22" t="n">
        <v>2</v>
      </c>
      <c r="G158" s="23"/>
      <c r="H158" s="24"/>
      <c r="I158" s="25"/>
      <c r="J158" s="26" t="n">
        <f aca="false">IF(G158&lt;&gt;"",G158,F158)</f>
        <v>2</v>
      </c>
      <c r="K158" s="21" t="n">
        <v>2</v>
      </c>
      <c r="L158" s="21"/>
    </row>
    <row r="159" customFormat="false" ht="15" hidden="false" customHeight="false" outlineLevel="0" collapsed="false">
      <c r="A159" s="21" t="s">
        <v>809</v>
      </c>
      <c r="B159" s="21" t="s">
        <v>749</v>
      </c>
      <c r="C159" s="21" t="s">
        <v>810</v>
      </c>
      <c r="D159" s="21" t="s">
        <v>434</v>
      </c>
      <c r="E159" s="21" t="s">
        <v>761</v>
      </c>
      <c r="F159" s="22" t="n">
        <v>2.6</v>
      </c>
      <c r="G159" s="23"/>
      <c r="H159" s="24"/>
      <c r="I159" s="25"/>
      <c r="J159" s="26" t="n">
        <f aca="false">IF(G159&lt;&gt;"",G159,F159)</f>
        <v>2.6</v>
      </c>
      <c r="K159" s="21" t="n">
        <v>4</v>
      </c>
      <c r="L159" s="21"/>
    </row>
    <row r="160" customFormat="false" ht="15" hidden="false" customHeight="false" outlineLevel="0" collapsed="false">
      <c r="A160" s="21" t="s">
        <v>811</v>
      </c>
      <c r="B160" s="21" t="s">
        <v>749</v>
      </c>
      <c r="C160" s="21" t="s">
        <v>812</v>
      </c>
      <c r="D160" s="21" t="s">
        <v>434</v>
      </c>
      <c r="E160" s="21" t="s">
        <v>761</v>
      </c>
      <c r="F160" s="22" t="n">
        <v>2.8</v>
      </c>
      <c r="G160" s="23"/>
      <c r="H160" s="24"/>
      <c r="I160" s="25"/>
      <c r="J160" s="26" t="n">
        <f aca="false">IF(G160&lt;&gt;"",G160,F160)</f>
        <v>2.8</v>
      </c>
      <c r="K160" s="21" t="n">
        <v>0</v>
      </c>
      <c r="L160" s="21"/>
    </row>
    <row r="161" customFormat="false" ht="15" hidden="false" customHeight="false" outlineLevel="0" collapsed="false">
      <c r="A161" s="21" t="s">
        <v>813</v>
      </c>
      <c r="B161" s="21" t="s">
        <v>749</v>
      </c>
      <c r="C161" s="21" t="s">
        <v>814</v>
      </c>
      <c r="D161" s="21" t="s">
        <v>434</v>
      </c>
      <c r="E161" s="21" t="s">
        <v>815</v>
      </c>
      <c r="F161" s="22" t="n">
        <v>6.5</v>
      </c>
      <c r="G161" s="23"/>
      <c r="H161" s="24"/>
      <c r="I161" s="25"/>
      <c r="J161" s="26" t="n">
        <f aca="false">IF(G161&lt;&gt;"",G161,F161)</f>
        <v>6.5</v>
      </c>
      <c r="K161" s="21" t="n">
        <v>3</v>
      </c>
      <c r="L161" s="21"/>
    </row>
    <row r="162" customFormat="false" ht="15" hidden="false" customHeight="false" outlineLevel="0" collapsed="false">
      <c r="A162" s="21" t="s">
        <v>816</v>
      </c>
      <c r="B162" s="21" t="s">
        <v>749</v>
      </c>
      <c r="C162" s="21" t="s">
        <v>817</v>
      </c>
      <c r="D162" s="21" t="s">
        <v>434</v>
      </c>
      <c r="E162" s="21" t="s">
        <v>818</v>
      </c>
      <c r="F162" s="22" t="n">
        <v>2.8</v>
      </c>
      <c r="G162" s="23"/>
      <c r="H162" s="24"/>
      <c r="I162" s="25"/>
      <c r="J162" s="26" t="n">
        <f aca="false">IF(G162&lt;&gt;"",G162,F162)</f>
        <v>2.8</v>
      </c>
      <c r="K162" s="21" t="n">
        <v>1</v>
      </c>
      <c r="L162" s="21"/>
    </row>
    <row r="163" customFormat="false" ht="15" hidden="false" customHeight="false" outlineLevel="0" collapsed="false">
      <c r="A163" s="21" t="s">
        <v>819</v>
      </c>
      <c r="B163" s="21" t="s">
        <v>749</v>
      </c>
      <c r="C163" s="21" t="s">
        <v>820</v>
      </c>
      <c r="D163" s="21" t="s">
        <v>434</v>
      </c>
      <c r="E163" s="21" t="s">
        <v>821</v>
      </c>
      <c r="F163" s="22" t="n">
        <v>9.5</v>
      </c>
      <c r="G163" s="23"/>
      <c r="H163" s="24"/>
      <c r="I163" s="25"/>
      <c r="J163" s="26" t="n">
        <f aca="false">IF(G163&lt;&gt;"",G163,F163)</f>
        <v>9.5</v>
      </c>
      <c r="K163" s="21" t="n">
        <v>3</v>
      </c>
      <c r="L163" s="21"/>
    </row>
    <row r="164" customFormat="false" ht="15" hidden="false" customHeight="false" outlineLevel="0" collapsed="false">
      <c r="A164" s="21" t="s">
        <v>822</v>
      </c>
      <c r="B164" s="21" t="s">
        <v>749</v>
      </c>
      <c r="C164" s="21" t="s">
        <v>823</v>
      </c>
      <c r="D164" s="21" t="s">
        <v>434</v>
      </c>
      <c r="E164" s="21" t="s">
        <v>824</v>
      </c>
      <c r="F164" s="22" t="n">
        <v>1.8</v>
      </c>
      <c r="G164" s="23"/>
      <c r="H164" s="24"/>
      <c r="I164" s="25"/>
      <c r="J164" s="26" t="n">
        <f aca="false">IF(G164&lt;&gt;"",G164,F164)</f>
        <v>1.8</v>
      </c>
      <c r="K164" s="21" t="n">
        <v>1</v>
      </c>
      <c r="L164" s="21" t="s">
        <v>825</v>
      </c>
    </row>
    <row r="165" customFormat="false" ht="15" hidden="false" customHeight="false" outlineLevel="0" collapsed="false">
      <c r="A165" s="21" t="s">
        <v>826</v>
      </c>
      <c r="B165" s="21" t="s">
        <v>749</v>
      </c>
      <c r="C165" s="21" t="s">
        <v>827</v>
      </c>
      <c r="D165" s="21" t="s">
        <v>434</v>
      </c>
      <c r="E165" s="21" t="s">
        <v>806</v>
      </c>
      <c r="F165" s="22" t="n">
        <v>30</v>
      </c>
      <c r="G165" s="23"/>
      <c r="H165" s="24"/>
      <c r="I165" s="25"/>
      <c r="J165" s="26" t="n">
        <f aca="false">IF(G165&lt;&gt;"",G165,F165)</f>
        <v>30</v>
      </c>
      <c r="K165" s="21" t="n">
        <v>6</v>
      </c>
      <c r="L165" s="21" t="s">
        <v>743</v>
      </c>
    </row>
    <row r="166" customFormat="false" ht="15" hidden="false" customHeight="false" outlineLevel="0" collapsed="false">
      <c r="A166" s="21" t="s">
        <v>828</v>
      </c>
      <c r="B166" s="21" t="s">
        <v>749</v>
      </c>
      <c r="C166" s="21" t="s">
        <v>829</v>
      </c>
      <c r="D166" s="21" t="s">
        <v>434</v>
      </c>
      <c r="E166" s="21" t="s">
        <v>574</v>
      </c>
      <c r="F166" s="22" t="n">
        <v>7</v>
      </c>
      <c r="G166" s="23"/>
      <c r="H166" s="24"/>
      <c r="I166" s="25"/>
      <c r="J166" s="26" t="n">
        <f aca="false">IF(G166&lt;&gt;"",G166,F166)</f>
        <v>7</v>
      </c>
      <c r="K166" s="21" t="n">
        <v>3</v>
      </c>
      <c r="L166" s="21"/>
    </row>
    <row r="167" customFormat="false" ht="15" hidden="false" customHeight="false" outlineLevel="0" collapsed="false">
      <c r="A167" s="21" t="s">
        <v>830</v>
      </c>
      <c r="B167" s="21" t="s">
        <v>749</v>
      </c>
      <c r="C167" s="21" t="s">
        <v>831</v>
      </c>
      <c r="D167" s="21" t="s">
        <v>434</v>
      </c>
      <c r="E167" s="21" t="s">
        <v>446</v>
      </c>
      <c r="F167" s="22" t="n">
        <v>2.5</v>
      </c>
      <c r="G167" s="23"/>
      <c r="H167" s="24"/>
      <c r="I167" s="25"/>
      <c r="J167" s="26" t="n">
        <f aca="false">IF(G167&lt;&gt;"",G167,F167)</f>
        <v>2.5</v>
      </c>
      <c r="K167" s="21" t="n">
        <v>0</v>
      </c>
      <c r="L167" s="21"/>
    </row>
    <row r="168" customFormat="false" ht="15" hidden="false" customHeight="false" outlineLevel="0" collapsed="false">
      <c r="A168" s="21" t="s">
        <v>832</v>
      </c>
      <c r="B168" s="21" t="s">
        <v>749</v>
      </c>
      <c r="C168" s="21" t="s">
        <v>833</v>
      </c>
      <c r="D168" s="21" t="s">
        <v>434</v>
      </c>
      <c r="E168" s="21" t="s">
        <v>657</v>
      </c>
      <c r="F168" s="22" t="n">
        <v>1</v>
      </c>
      <c r="G168" s="23"/>
      <c r="H168" s="24"/>
      <c r="I168" s="25"/>
      <c r="J168" s="26" t="n">
        <f aca="false">IF(G168&lt;&gt;"",G168,F168)</f>
        <v>1</v>
      </c>
      <c r="K168" s="21" t="n">
        <v>0</v>
      </c>
      <c r="L168" s="21"/>
    </row>
    <row r="169" customFormat="false" ht="15" hidden="false" customHeight="false" outlineLevel="0" collapsed="false">
      <c r="A169" s="21" t="s">
        <v>834</v>
      </c>
      <c r="B169" s="21" t="s">
        <v>749</v>
      </c>
      <c r="C169" s="21" t="s">
        <v>835</v>
      </c>
      <c r="D169" s="21" t="s">
        <v>434</v>
      </c>
      <c r="E169" s="21" t="s">
        <v>774</v>
      </c>
      <c r="F169" s="22" t="n">
        <v>1.8</v>
      </c>
      <c r="G169" s="23"/>
      <c r="H169" s="24"/>
      <c r="I169" s="25"/>
      <c r="J169" s="26" t="n">
        <f aca="false">IF(G169&lt;&gt;"",G169,F169)</f>
        <v>1.8</v>
      </c>
      <c r="K169" s="21" t="n">
        <v>8</v>
      </c>
      <c r="L169" s="21"/>
    </row>
    <row r="170" customFormat="false" ht="15" hidden="false" customHeight="false" outlineLevel="0" collapsed="false">
      <c r="A170" s="21" t="s">
        <v>836</v>
      </c>
      <c r="B170" s="21" t="s">
        <v>749</v>
      </c>
      <c r="C170" s="21" t="s">
        <v>837</v>
      </c>
      <c r="D170" s="21" t="s">
        <v>434</v>
      </c>
      <c r="E170" s="21" t="s">
        <v>783</v>
      </c>
      <c r="F170" s="22" t="n">
        <v>1.6</v>
      </c>
      <c r="G170" s="23"/>
      <c r="H170" s="24"/>
      <c r="I170" s="25"/>
      <c r="J170" s="26" t="n">
        <f aca="false">IF(G170&lt;&gt;"",G170,F170)</f>
        <v>1.6</v>
      </c>
      <c r="K170" s="21" t="n">
        <v>3</v>
      </c>
      <c r="L170" s="21"/>
    </row>
    <row r="171" customFormat="false" ht="15" hidden="false" customHeight="false" outlineLevel="0" collapsed="false">
      <c r="A171" s="21" t="s">
        <v>838</v>
      </c>
      <c r="B171" s="21" t="s">
        <v>749</v>
      </c>
      <c r="C171" s="21" t="s">
        <v>839</v>
      </c>
      <c r="D171" s="21" t="s">
        <v>434</v>
      </c>
      <c r="E171" s="21" t="s">
        <v>840</v>
      </c>
      <c r="F171" s="22" t="n">
        <v>2.25</v>
      </c>
      <c r="G171" s="23"/>
      <c r="H171" s="24"/>
      <c r="I171" s="25"/>
      <c r="J171" s="26" t="n">
        <f aca="false">IF(G171&lt;&gt;"",G171,F171)</f>
        <v>2.25</v>
      </c>
      <c r="K171" s="21" t="n">
        <v>1</v>
      </c>
      <c r="L171" s="21" t="s">
        <v>803</v>
      </c>
    </row>
    <row r="172" customFormat="false" ht="15" hidden="false" customHeight="false" outlineLevel="0" collapsed="false">
      <c r="A172" s="21" t="s">
        <v>841</v>
      </c>
      <c r="B172" s="21" t="s">
        <v>749</v>
      </c>
      <c r="C172" s="21" t="s">
        <v>842</v>
      </c>
      <c r="D172" s="21" t="s">
        <v>434</v>
      </c>
      <c r="E172" s="21" t="s">
        <v>761</v>
      </c>
      <c r="F172" s="22" t="n">
        <v>2.5</v>
      </c>
      <c r="G172" s="23"/>
      <c r="H172" s="24"/>
      <c r="I172" s="25"/>
      <c r="J172" s="26" t="n">
        <f aca="false">IF(G172&lt;&gt;"",G172,F172)</f>
        <v>2.5</v>
      </c>
      <c r="K172" s="21" t="n">
        <v>0</v>
      </c>
      <c r="L172" s="21"/>
    </row>
    <row r="173" customFormat="false" ht="15" hidden="false" customHeight="false" outlineLevel="0" collapsed="false">
      <c r="A173" s="21" t="s">
        <v>843</v>
      </c>
      <c r="B173" s="21" t="s">
        <v>749</v>
      </c>
      <c r="C173" s="21" t="s">
        <v>30</v>
      </c>
      <c r="D173" s="21" t="s">
        <v>434</v>
      </c>
      <c r="E173" s="21" t="s">
        <v>844</v>
      </c>
      <c r="F173" s="22" t="n">
        <v>1.1</v>
      </c>
      <c r="G173" s="23"/>
      <c r="H173" s="24"/>
      <c r="I173" s="25"/>
      <c r="J173" s="26" t="n">
        <f aca="false">IF(G173&lt;&gt;"",G173,F173)</f>
        <v>1.1</v>
      </c>
      <c r="K173" s="21" t="n">
        <v>1</v>
      </c>
      <c r="L173" s="21"/>
    </row>
    <row r="174" customFormat="false" ht="15" hidden="false" customHeight="false" outlineLevel="0" collapsed="false">
      <c r="A174" s="21" t="s">
        <v>845</v>
      </c>
      <c r="B174" s="21" t="s">
        <v>749</v>
      </c>
      <c r="C174" s="21" t="s">
        <v>846</v>
      </c>
      <c r="D174" s="21" t="s">
        <v>434</v>
      </c>
      <c r="E174" s="21" t="s">
        <v>783</v>
      </c>
      <c r="F174" s="22" t="n">
        <v>2</v>
      </c>
      <c r="G174" s="23"/>
      <c r="H174" s="24"/>
      <c r="I174" s="25"/>
      <c r="J174" s="26" t="n">
        <f aca="false">IF(G174&lt;&gt;"",G174,F174)</f>
        <v>2</v>
      </c>
      <c r="K174" s="21" t="n">
        <v>1</v>
      </c>
      <c r="L174" s="21"/>
    </row>
    <row r="175" customFormat="false" ht="15" hidden="false" customHeight="false" outlineLevel="0" collapsed="false">
      <c r="A175" s="21" t="s">
        <v>847</v>
      </c>
      <c r="B175" s="21" t="s">
        <v>749</v>
      </c>
      <c r="C175" s="21" t="s">
        <v>848</v>
      </c>
      <c r="D175" s="21" t="s">
        <v>434</v>
      </c>
      <c r="E175" s="21" t="s">
        <v>849</v>
      </c>
      <c r="F175" s="22" t="n">
        <v>2.4</v>
      </c>
      <c r="G175" s="23"/>
      <c r="H175" s="24"/>
      <c r="I175" s="25"/>
      <c r="J175" s="26" t="n">
        <f aca="false">IF(G175&lt;&gt;"",G175,F175)</f>
        <v>2.4</v>
      </c>
      <c r="K175" s="21" t="n">
        <v>2</v>
      </c>
      <c r="L175" s="21"/>
    </row>
    <row r="176" customFormat="false" ht="15" hidden="false" customHeight="false" outlineLevel="0" collapsed="false">
      <c r="A176" s="21" t="s">
        <v>850</v>
      </c>
      <c r="B176" s="21" t="s">
        <v>749</v>
      </c>
      <c r="C176" s="21" t="s">
        <v>851</v>
      </c>
      <c r="D176" s="21" t="s">
        <v>434</v>
      </c>
      <c r="E176" s="21" t="s">
        <v>761</v>
      </c>
      <c r="F176" s="22" t="n">
        <v>3</v>
      </c>
      <c r="G176" s="23"/>
      <c r="H176" s="24"/>
      <c r="I176" s="25"/>
      <c r="J176" s="26" t="n">
        <f aca="false">IF(G176&lt;&gt;"",G176,F176)</f>
        <v>3</v>
      </c>
      <c r="K176" s="21" t="n">
        <v>1</v>
      </c>
      <c r="L176" s="21"/>
    </row>
    <row r="177" customFormat="false" ht="15" hidden="false" customHeight="false" outlineLevel="0" collapsed="false">
      <c r="A177" s="21" t="s">
        <v>852</v>
      </c>
      <c r="B177" s="21" t="s">
        <v>749</v>
      </c>
      <c r="C177" s="21" t="s">
        <v>853</v>
      </c>
      <c r="D177" s="21" t="s">
        <v>434</v>
      </c>
      <c r="E177" s="21" t="s">
        <v>854</v>
      </c>
      <c r="F177" s="22" t="n">
        <v>1.7</v>
      </c>
      <c r="G177" s="23"/>
      <c r="H177" s="24"/>
      <c r="I177" s="25"/>
      <c r="J177" s="26" t="n">
        <f aca="false">IF(G177&lt;&gt;"",G177,F177)</f>
        <v>1.7</v>
      </c>
      <c r="K177" s="21" t="n">
        <v>7</v>
      </c>
      <c r="L177" s="21"/>
    </row>
    <row r="178" customFormat="false" ht="15" hidden="false" customHeight="false" outlineLevel="0" collapsed="false">
      <c r="A178" s="21" t="s">
        <v>855</v>
      </c>
      <c r="B178" s="21" t="s">
        <v>749</v>
      </c>
      <c r="C178" s="21" t="s">
        <v>856</v>
      </c>
      <c r="D178" s="21" t="s">
        <v>434</v>
      </c>
      <c r="E178" s="21" t="s">
        <v>657</v>
      </c>
      <c r="F178" s="22" t="n">
        <v>1.2</v>
      </c>
      <c r="G178" s="23"/>
      <c r="H178" s="24"/>
      <c r="I178" s="25"/>
      <c r="J178" s="26" t="n">
        <f aca="false">IF(G178&lt;&gt;"",G178,F178)</f>
        <v>1.2</v>
      </c>
      <c r="K178" s="21" t="n">
        <v>1</v>
      </c>
      <c r="L178" s="21"/>
    </row>
    <row r="179" customFormat="false" ht="15" hidden="false" customHeight="false" outlineLevel="0" collapsed="false">
      <c r="A179" s="21" t="s">
        <v>857</v>
      </c>
      <c r="B179" s="21" t="s">
        <v>749</v>
      </c>
      <c r="C179" s="21" t="s">
        <v>858</v>
      </c>
      <c r="D179" s="21" t="s">
        <v>434</v>
      </c>
      <c r="E179" s="21" t="s">
        <v>859</v>
      </c>
      <c r="F179" s="22" t="n">
        <v>2.2</v>
      </c>
      <c r="G179" s="23"/>
      <c r="H179" s="24"/>
      <c r="I179" s="25"/>
      <c r="J179" s="26" t="n">
        <f aca="false">IF(G179&lt;&gt;"",G179,F179)</f>
        <v>2.2</v>
      </c>
      <c r="K179" s="21" t="n">
        <v>9</v>
      </c>
      <c r="L179" s="21"/>
    </row>
    <row r="180" customFormat="false" ht="15" hidden="false" customHeight="false" outlineLevel="0" collapsed="false">
      <c r="A180" s="21" t="s">
        <v>860</v>
      </c>
      <c r="B180" s="21" t="s">
        <v>749</v>
      </c>
      <c r="C180" s="21" t="s">
        <v>861</v>
      </c>
      <c r="D180" s="21" t="s">
        <v>434</v>
      </c>
      <c r="E180" s="21" t="s">
        <v>859</v>
      </c>
      <c r="F180" s="22" t="n">
        <v>2</v>
      </c>
      <c r="G180" s="23"/>
      <c r="H180" s="24"/>
      <c r="I180" s="25"/>
      <c r="J180" s="26" t="n">
        <f aca="false">IF(G180&lt;&gt;"",G180,F180)</f>
        <v>2</v>
      </c>
      <c r="K180" s="21" t="n">
        <v>10</v>
      </c>
      <c r="L180" s="21"/>
    </row>
    <row r="181" customFormat="false" ht="15" hidden="false" customHeight="false" outlineLevel="0" collapsed="false">
      <c r="A181" s="21" t="s">
        <v>862</v>
      </c>
      <c r="B181" s="21" t="s">
        <v>749</v>
      </c>
      <c r="C181" s="21" t="s">
        <v>863</v>
      </c>
      <c r="D181" s="21" t="s">
        <v>434</v>
      </c>
      <c r="E181" s="21" t="s">
        <v>859</v>
      </c>
      <c r="F181" s="22" t="n">
        <v>2.2</v>
      </c>
      <c r="G181" s="23"/>
      <c r="H181" s="24"/>
      <c r="I181" s="25"/>
      <c r="J181" s="26" t="n">
        <f aca="false">IF(G181&lt;&gt;"",G181,F181)</f>
        <v>2.2</v>
      </c>
      <c r="K181" s="21" t="n">
        <v>4</v>
      </c>
      <c r="L181" s="21"/>
    </row>
    <row r="182" customFormat="false" ht="15" hidden="false" customHeight="false" outlineLevel="0" collapsed="false">
      <c r="A182" s="21" t="s">
        <v>864</v>
      </c>
      <c r="B182" s="21" t="s">
        <v>749</v>
      </c>
      <c r="C182" s="21" t="s">
        <v>865</v>
      </c>
      <c r="D182" s="21" t="s">
        <v>434</v>
      </c>
      <c r="E182" s="21" t="s">
        <v>446</v>
      </c>
      <c r="F182" s="22" t="n">
        <v>2.6</v>
      </c>
      <c r="G182" s="23"/>
      <c r="H182" s="24"/>
      <c r="I182" s="25"/>
      <c r="J182" s="26" t="n">
        <f aca="false">IF(G182&lt;&gt;"",G182,F182)</f>
        <v>2.6</v>
      </c>
      <c r="K182" s="21" t="n">
        <v>1</v>
      </c>
      <c r="L182" s="21"/>
    </row>
    <row r="183" customFormat="false" ht="15" hidden="false" customHeight="false" outlineLevel="0" collapsed="false">
      <c r="A183" s="21" t="s">
        <v>866</v>
      </c>
      <c r="B183" s="21" t="s">
        <v>749</v>
      </c>
      <c r="C183" s="21" t="s">
        <v>867</v>
      </c>
      <c r="D183" s="21" t="s">
        <v>434</v>
      </c>
      <c r="E183" s="21" t="s">
        <v>783</v>
      </c>
      <c r="F183" s="22" t="n">
        <v>2</v>
      </c>
      <c r="G183" s="23"/>
      <c r="H183" s="24"/>
      <c r="I183" s="25"/>
      <c r="J183" s="26" t="n">
        <f aca="false">IF(G183&lt;&gt;"",G183,F183)</f>
        <v>2</v>
      </c>
      <c r="K183" s="21" t="n">
        <v>0</v>
      </c>
      <c r="L183" s="21"/>
    </row>
    <row r="184" customFormat="false" ht="15" hidden="false" customHeight="false" outlineLevel="0" collapsed="false">
      <c r="A184" s="21" t="s">
        <v>868</v>
      </c>
      <c r="B184" s="21" t="s">
        <v>749</v>
      </c>
      <c r="C184" s="21" t="s">
        <v>869</v>
      </c>
      <c r="D184" s="21" t="s">
        <v>434</v>
      </c>
      <c r="E184" s="21" t="s">
        <v>870</v>
      </c>
      <c r="F184" s="22" t="n">
        <v>3.33</v>
      </c>
      <c r="G184" s="23"/>
      <c r="H184" s="24"/>
      <c r="I184" s="25"/>
      <c r="J184" s="26" t="n">
        <f aca="false">IF(G184&lt;&gt;"",G184,F184)</f>
        <v>3.33</v>
      </c>
      <c r="K184" s="21" t="n">
        <v>1</v>
      </c>
      <c r="L184" s="21" t="s">
        <v>871</v>
      </c>
    </row>
    <row r="185" customFormat="false" ht="15" hidden="false" customHeight="false" outlineLevel="0" collapsed="false">
      <c r="A185" s="21" t="s">
        <v>872</v>
      </c>
      <c r="B185" s="21" t="s">
        <v>749</v>
      </c>
      <c r="C185" s="21" t="s">
        <v>873</v>
      </c>
      <c r="D185" s="21" t="s">
        <v>434</v>
      </c>
      <c r="E185" s="21" t="s">
        <v>874</v>
      </c>
      <c r="F185" s="22" t="n">
        <v>3.5</v>
      </c>
      <c r="G185" s="23"/>
      <c r="H185" s="24"/>
      <c r="I185" s="25"/>
      <c r="J185" s="26" t="n">
        <f aca="false">IF(G185&lt;&gt;"",G185,F185)</f>
        <v>3.5</v>
      </c>
      <c r="K185" s="21" t="n">
        <v>1</v>
      </c>
      <c r="L185" s="21"/>
    </row>
    <row r="186" customFormat="false" ht="15" hidden="false" customHeight="false" outlineLevel="0" collapsed="false">
      <c r="A186" s="21" t="s">
        <v>875</v>
      </c>
      <c r="B186" s="21" t="s">
        <v>749</v>
      </c>
      <c r="C186" s="21" t="s">
        <v>876</v>
      </c>
      <c r="D186" s="21" t="s">
        <v>434</v>
      </c>
      <c r="E186" s="21" t="s">
        <v>821</v>
      </c>
      <c r="F186" s="22" t="n">
        <v>10</v>
      </c>
      <c r="G186" s="23"/>
      <c r="H186" s="24"/>
      <c r="I186" s="25"/>
      <c r="J186" s="26" t="n">
        <f aca="false">IF(G186&lt;&gt;"",G186,F186)</f>
        <v>10</v>
      </c>
      <c r="K186" s="21" t="n">
        <v>1</v>
      </c>
      <c r="L186" s="21"/>
    </row>
    <row r="187" customFormat="false" ht="15" hidden="false" customHeight="false" outlineLevel="0" collapsed="false">
      <c r="A187" s="21" t="s">
        <v>877</v>
      </c>
      <c r="B187" s="21" t="s">
        <v>749</v>
      </c>
      <c r="C187" s="21" t="s">
        <v>878</v>
      </c>
      <c r="D187" s="21" t="s">
        <v>434</v>
      </c>
      <c r="E187" s="21" t="s">
        <v>879</v>
      </c>
      <c r="F187" s="22" t="n">
        <v>3.6</v>
      </c>
      <c r="G187" s="23"/>
      <c r="H187" s="24"/>
      <c r="I187" s="25"/>
      <c r="J187" s="26" t="n">
        <f aca="false">IF(G187&lt;&gt;"",G187,F187)</f>
        <v>3.6</v>
      </c>
      <c r="K187" s="21" t="n">
        <v>8</v>
      </c>
      <c r="L187" s="21" t="s">
        <v>880</v>
      </c>
    </row>
    <row r="188" customFormat="false" ht="15" hidden="false" customHeight="false" outlineLevel="0" collapsed="false">
      <c r="A188" s="21" t="s">
        <v>881</v>
      </c>
      <c r="B188" s="21" t="s">
        <v>749</v>
      </c>
      <c r="C188" s="21" t="s">
        <v>882</v>
      </c>
      <c r="D188" s="21" t="s">
        <v>434</v>
      </c>
      <c r="E188" s="21" t="s">
        <v>883</v>
      </c>
      <c r="F188" s="22" t="n">
        <v>2.6</v>
      </c>
      <c r="G188" s="23"/>
      <c r="H188" s="24"/>
      <c r="I188" s="25"/>
      <c r="J188" s="26" t="n">
        <f aca="false">IF(G188&lt;&gt;"",G188,F188)</f>
        <v>2.6</v>
      </c>
      <c r="K188" s="21" t="n">
        <v>2</v>
      </c>
      <c r="L188" s="21" t="s">
        <v>880</v>
      </c>
    </row>
    <row r="189" customFormat="false" ht="15" hidden="false" customHeight="false" outlineLevel="0" collapsed="false">
      <c r="A189" s="21" t="s">
        <v>884</v>
      </c>
      <c r="B189" s="21" t="s">
        <v>749</v>
      </c>
      <c r="C189" s="21" t="s">
        <v>885</v>
      </c>
      <c r="D189" s="21" t="s">
        <v>434</v>
      </c>
      <c r="E189" s="21" t="s">
        <v>574</v>
      </c>
      <c r="F189" s="22" t="n">
        <v>5.5</v>
      </c>
      <c r="G189" s="23"/>
      <c r="H189" s="24"/>
      <c r="I189" s="25"/>
      <c r="J189" s="26" t="n">
        <f aca="false">IF(G189&lt;&gt;"",G189,F189)</f>
        <v>5.5</v>
      </c>
      <c r="K189" s="21" t="n">
        <v>14</v>
      </c>
      <c r="L189" s="21"/>
    </row>
    <row r="190" customFormat="false" ht="15" hidden="false" customHeight="false" outlineLevel="0" collapsed="false">
      <c r="A190" s="21" t="s">
        <v>886</v>
      </c>
      <c r="B190" s="21" t="s">
        <v>749</v>
      </c>
      <c r="C190" s="21" t="s">
        <v>887</v>
      </c>
      <c r="D190" s="21" t="s">
        <v>434</v>
      </c>
      <c r="E190" s="21" t="s">
        <v>888</v>
      </c>
      <c r="F190" s="22" t="n">
        <v>4.5</v>
      </c>
      <c r="G190" s="23"/>
      <c r="H190" s="24"/>
      <c r="I190" s="25"/>
      <c r="J190" s="26" t="n">
        <f aca="false">IF(G190&lt;&gt;"",G190,F190)</f>
        <v>4.5</v>
      </c>
      <c r="K190" s="21" t="n">
        <v>6</v>
      </c>
      <c r="L190" s="21"/>
    </row>
    <row r="191" customFormat="false" ht="15" hidden="false" customHeight="false" outlineLevel="0" collapsed="false">
      <c r="A191" s="21" t="s">
        <v>889</v>
      </c>
      <c r="B191" s="21" t="s">
        <v>749</v>
      </c>
      <c r="C191" s="21" t="s">
        <v>890</v>
      </c>
      <c r="D191" s="21" t="s">
        <v>434</v>
      </c>
      <c r="E191" s="21" t="s">
        <v>891</v>
      </c>
      <c r="F191" s="22" t="n">
        <v>2.4</v>
      </c>
      <c r="G191" s="23"/>
      <c r="H191" s="24"/>
      <c r="I191" s="25"/>
      <c r="J191" s="26" t="n">
        <f aca="false">IF(G191&lt;&gt;"",G191,F191)</f>
        <v>2.4</v>
      </c>
      <c r="K191" s="21" t="n">
        <v>17</v>
      </c>
      <c r="L191" s="21"/>
    </row>
    <row r="192" customFormat="false" ht="15" hidden="false" customHeight="false" outlineLevel="0" collapsed="false">
      <c r="A192" s="21" t="s">
        <v>892</v>
      </c>
      <c r="B192" s="21" t="s">
        <v>893</v>
      </c>
      <c r="C192" s="21" t="s">
        <v>894</v>
      </c>
      <c r="D192" s="21" t="s">
        <v>434</v>
      </c>
      <c r="E192" s="21" t="s">
        <v>574</v>
      </c>
      <c r="F192" s="22" t="n">
        <v>5.5</v>
      </c>
      <c r="G192" s="23"/>
      <c r="H192" s="24"/>
      <c r="I192" s="25"/>
      <c r="J192" s="26" t="n">
        <f aca="false">IF(G192&lt;&gt;"",G192,F192)</f>
        <v>5.5</v>
      </c>
      <c r="K192" s="21" t="n">
        <v>83</v>
      </c>
      <c r="L192" s="21"/>
    </row>
    <row r="193" customFormat="false" ht="15" hidden="false" customHeight="false" outlineLevel="0" collapsed="false">
      <c r="A193" s="21" t="s">
        <v>895</v>
      </c>
      <c r="B193" s="21" t="s">
        <v>893</v>
      </c>
      <c r="C193" s="21" t="s">
        <v>896</v>
      </c>
      <c r="D193" s="21" t="s">
        <v>434</v>
      </c>
      <c r="E193" s="21" t="s">
        <v>897</v>
      </c>
      <c r="F193" s="22" t="n">
        <v>14</v>
      </c>
      <c r="G193" s="23"/>
      <c r="H193" s="24"/>
      <c r="I193" s="25"/>
      <c r="J193" s="26" t="n">
        <f aca="false">IF(G193&lt;&gt;"",G193,F193)</f>
        <v>14</v>
      </c>
      <c r="K193" s="21" t="n">
        <v>3</v>
      </c>
      <c r="L193" s="21"/>
    </row>
    <row r="194" customFormat="false" ht="15" hidden="false" customHeight="false" outlineLevel="0" collapsed="false">
      <c r="A194" s="21" t="s">
        <v>898</v>
      </c>
      <c r="B194" s="21" t="s">
        <v>893</v>
      </c>
      <c r="C194" s="21" t="s">
        <v>899</v>
      </c>
      <c r="D194" s="21" t="s">
        <v>434</v>
      </c>
      <c r="E194" s="21" t="s">
        <v>574</v>
      </c>
      <c r="F194" s="22" t="n">
        <v>7.5</v>
      </c>
      <c r="G194" s="23"/>
      <c r="H194" s="24"/>
      <c r="I194" s="25"/>
      <c r="J194" s="26" t="n">
        <f aca="false">IF(G194&lt;&gt;"",G194,F194)</f>
        <v>7.5</v>
      </c>
      <c r="K194" s="21" t="n">
        <v>1</v>
      </c>
      <c r="L194" s="21"/>
    </row>
    <row r="195" customFormat="false" ht="15" hidden="false" customHeight="false" outlineLevel="0" collapsed="false">
      <c r="A195" s="21" t="s">
        <v>900</v>
      </c>
      <c r="B195" s="21" t="s">
        <v>893</v>
      </c>
      <c r="C195" s="21" t="s">
        <v>901</v>
      </c>
      <c r="D195" s="21" t="s">
        <v>434</v>
      </c>
      <c r="E195" s="21" t="s">
        <v>446</v>
      </c>
      <c r="F195" s="22" t="n">
        <v>2.8</v>
      </c>
      <c r="G195" s="23"/>
      <c r="H195" s="24"/>
      <c r="I195" s="25"/>
      <c r="J195" s="26" t="n">
        <f aca="false">IF(G195&lt;&gt;"",G195,F195)</f>
        <v>2.8</v>
      </c>
      <c r="K195" s="21" t="n">
        <v>1</v>
      </c>
      <c r="L195" s="21"/>
    </row>
    <row r="196" customFormat="false" ht="15" hidden="false" customHeight="false" outlineLevel="0" collapsed="false">
      <c r="A196" s="21" t="s">
        <v>902</v>
      </c>
      <c r="B196" s="21" t="s">
        <v>893</v>
      </c>
      <c r="C196" s="21" t="s">
        <v>903</v>
      </c>
      <c r="D196" s="21" t="s">
        <v>434</v>
      </c>
      <c r="E196" s="21" t="s">
        <v>574</v>
      </c>
      <c r="F196" s="22" t="n">
        <v>5.5</v>
      </c>
      <c r="G196" s="23"/>
      <c r="H196" s="24"/>
      <c r="I196" s="25"/>
      <c r="J196" s="26" t="n">
        <f aca="false">IF(G196&lt;&gt;"",G196,F196)</f>
        <v>5.5</v>
      </c>
      <c r="K196" s="21" t="n">
        <v>1</v>
      </c>
      <c r="L196" s="21"/>
    </row>
    <row r="197" customFormat="false" ht="15" hidden="false" customHeight="false" outlineLevel="0" collapsed="false">
      <c r="A197" s="21" t="s">
        <v>904</v>
      </c>
      <c r="B197" s="21" t="s">
        <v>893</v>
      </c>
      <c r="C197" s="21" t="s">
        <v>905</v>
      </c>
      <c r="D197" s="21" t="s">
        <v>434</v>
      </c>
      <c r="E197" s="21" t="s">
        <v>897</v>
      </c>
      <c r="F197" s="22" t="n">
        <v>12</v>
      </c>
      <c r="G197" s="23"/>
      <c r="H197" s="24"/>
      <c r="I197" s="25"/>
      <c r="J197" s="26" t="n">
        <f aca="false">IF(G197&lt;&gt;"",G197,F197)</f>
        <v>12</v>
      </c>
      <c r="K197" s="21" t="n">
        <v>8</v>
      </c>
      <c r="L197" s="21"/>
    </row>
    <row r="198" customFormat="false" ht="15" hidden="false" customHeight="false" outlineLevel="0" collapsed="false">
      <c r="A198" s="21" t="s">
        <v>906</v>
      </c>
      <c r="B198" s="21" t="s">
        <v>893</v>
      </c>
      <c r="C198" s="21" t="s">
        <v>907</v>
      </c>
      <c r="D198" s="21" t="s">
        <v>434</v>
      </c>
      <c r="E198" s="21" t="s">
        <v>446</v>
      </c>
      <c r="F198" s="22" t="n">
        <v>2.3</v>
      </c>
      <c r="G198" s="23"/>
      <c r="H198" s="24"/>
      <c r="I198" s="25"/>
      <c r="J198" s="26" t="n">
        <f aca="false">IF(G198&lt;&gt;"",G198,F198)</f>
        <v>2.3</v>
      </c>
      <c r="K198" s="21" t="n">
        <v>4</v>
      </c>
      <c r="L198" s="21"/>
    </row>
    <row r="199" customFormat="false" ht="15" hidden="false" customHeight="false" outlineLevel="0" collapsed="false">
      <c r="A199" s="21" t="s">
        <v>908</v>
      </c>
      <c r="B199" s="21" t="s">
        <v>893</v>
      </c>
      <c r="C199" s="21" t="s">
        <v>909</v>
      </c>
      <c r="D199" s="21" t="s">
        <v>434</v>
      </c>
      <c r="E199" s="21" t="s">
        <v>446</v>
      </c>
      <c r="F199" s="22" t="n">
        <v>4</v>
      </c>
      <c r="G199" s="23"/>
      <c r="H199" s="24"/>
      <c r="I199" s="25"/>
      <c r="J199" s="26" t="n">
        <f aca="false">IF(G199&lt;&gt;"",G199,F199)</f>
        <v>4</v>
      </c>
      <c r="K199" s="21" t="n">
        <v>3</v>
      </c>
      <c r="L199" s="21"/>
    </row>
    <row r="200" customFormat="false" ht="15" hidden="false" customHeight="false" outlineLevel="0" collapsed="false">
      <c r="A200" s="21" t="s">
        <v>910</v>
      </c>
      <c r="B200" s="21" t="s">
        <v>893</v>
      </c>
      <c r="C200" s="21" t="s">
        <v>911</v>
      </c>
      <c r="D200" s="21" t="s">
        <v>434</v>
      </c>
      <c r="E200" s="21" t="s">
        <v>446</v>
      </c>
      <c r="F200" s="22" t="n">
        <v>2.2</v>
      </c>
      <c r="G200" s="23"/>
      <c r="H200" s="24"/>
      <c r="I200" s="25"/>
      <c r="J200" s="26" t="n">
        <f aca="false">IF(G200&lt;&gt;"",G200,F200)</f>
        <v>2.2</v>
      </c>
      <c r="K200" s="21" t="n">
        <v>1</v>
      </c>
      <c r="L200" s="21"/>
    </row>
    <row r="201" customFormat="false" ht="15" hidden="false" customHeight="false" outlineLevel="0" collapsed="false">
      <c r="A201" s="21" t="s">
        <v>912</v>
      </c>
      <c r="B201" s="21" t="s">
        <v>893</v>
      </c>
      <c r="C201" s="21" t="s">
        <v>913</v>
      </c>
      <c r="D201" s="21" t="s">
        <v>434</v>
      </c>
      <c r="E201" s="21" t="s">
        <v>446</v>
      </c>
      <c r="F201" s="22" t="n">
        <v>2.6</v>
      </c>
      <c r="G201" s="23"/>
      <c r="H201" s="24"/>
      <c r="I201" s="25"/>
      <c r="J201" s="26" t="n">
        <f aca="false">IF(G201&lt;&gt;"",G201,F201)</f>
        <v>2.6</v>
      </c>
      <c r="K201" s="21" t="n">
        <v>4</v>
      </c>
      <c r="L201" s="21"/>
    </row>
    <row r="202" customFormat="false" ht="15" hidden="false" customHeight="false" outlineLevel="0" collapsed="false">
      <c r="A202" s="21" t="s">
        <v>914</v>
      </c>
      <c r="B202" s="21" t="s">
        <v>893</v>
      </c>
      <c r="C202" s="21" t="s">
        <v>915</v>
      </c>
      <c r="D202" s="21" t="s">
        <v>434</v>
      </c>
      <c r="E202" s="21" t="s">
        <v>446</v>
      </c>
      <c r="F202" s="22" t="n">
        <v>1.9</v>
      </c>
      <c r="G202" s="23"/>
      <c r="H202" s="24"/>
      <c r="I202" s="25"/>
      <c r="J202" s="26" t="n">
        <f aca="false">IF(G202&lt;&gt;"",G202,F202)</f>
        <v>1.9</v>
      </c>
      <c r="K202" s="21" t="n">
        <v>2</v>
      </c>
      <c r="L202" s="21"/>
    </row>
    <row r="203" customFormat="false" ht="15" hidden="false" customHeight="false" outlineLevel="0" collapsed="false">
      <c r="A203" s="21" t="s">
        <v>916</v>
      </c>
      <c r="B203" s="21" t="s">
        <v>893</v>
      </c>
      <c r="C203" s="21" t="s">
        <v>917</v>
      </c>
      <c r="D203" s="21" t="s">
        <v>434</v>
      </c>
      <c r="E203" s="21" t="s">
        <v>446</v>
      </c>
      <c r="F203" s="22" t="n">
        <v>1.8</v>
      </c>
      <c r="G203" s="23"/>
      <c r="H203" s="24"/>
      <c r="I203" s="25"/>
      <c r="J203" s="26" t="n">
        <f aca="false">IF(G203&lt;&gt;"",G203,F203)</f>
        <v>1.8</v>
      </c>
      <c r="K203" s="21" t="n">
        <v>32</v>
      </c>
      <c r="L203" s="21"/>
    </row>
    <row r="204" customFormat="false" ht="15" hidden="false" customHeight="false" outlineLevel="0" collapsed="false">
      <c r="A204" s="21" t="s">
        <v>918</v>
      </c>
      <c r="B204" s="21" t="s">
        <v>893</v>
      </c>
      <c r="C204" s="21" t="s">
        <v>919</v>
      </c>
      <c r="D204" s="21" t="s">
        <v>434</v>
      </c>
      <c r="E204" s="21" t="s">
        <v>574</v>
      </c>
      <c r="F204" s="22" t="n">
        <v>16</v>
      </c>
      <c r="G204" s="23"/>
      <c r="H204" s="24"/>
      <c r="I204" s="25"/>
      <c r="J204" s="26" t="n">
        <f aca="false">IF(G204&lt;&gt;"",G204,F204)</f>
        <v>16</v>
      </c>
      <c r="K204" s="21" t="n">
        <v>2</v>
      </c>
      <c r="L204" s="21"/>
    </row>
    <row r="205" customFormat="false" ht="15" hidden="false" customHeight="false" outlineLevel="0" collapsed="false">
      <c r="A205" s="21" t="s">
        <v>920</v>
      </c>
      <c r="B205" s="21" t="s">
        <v>893</v>
      </c>
      <c r="C205" s="21" t="s">
        <v>921</v>
      </c>
      <c r="D205" s="21" t="s">
        <v>434</v>
      </c>
      <c r="E205" s="21" t="s">
        <v>446</v>
      </c>
      <c r="F205" s="22" t="n">
        <v>3.8</v>
      </c>
      <c r="G205" s="23"/>
      <c r="H205" s="24"/>
      <c r="I205" s="25"/>
      <c r="J205" s="26" t="n">
        <f aca="false">IF(G205&lt;&gt;"",G205,F205)</f>
        <v>3.8</v>
      </c>
      <c r="K205" s="21" t="n">
        <v>23</v>
      </c>
      <c r="L205" s="21"/>
    </row>
    <row r="206" customFormat="false" ht="15" hidden="false" customHeight="false" outlineLevel="0" collapsed="false">
      <c r="A206" s="21" t="s">
        <v>922</v>
      </c>
      <c r="B206" s="21" t="s">
        <v>893</v>
      </c>
      <c r="C206" s="21" t="s">
        <v>923</v>
      </c>
      <c r="D206" s="21" t="s">
        <v>434</v>
      </c>
      <c r="E206" s="21" t="s">
        <v>446</v>
      </c>
      <c r="F206" s="22" t="n">
        <v>4.5</v>
      </c>
      <c r="G206" s="23"/>
      <c r="H206" s="24"/>
      <c r="I206" s="25"/>
      <c r="J206" s="26" t="n">
        <f aca="false">IF(G206&lt;&gt;"",G206,F206)</f>
        <v>4.5</v>
      </c>
      <c r="K206" s="21" t="n">
        <v>1</v>
      </c>
      <c r="L206" s="21"/>
    </row>
    <row r="207" customFormat="false" ht="15" hidden="false" customHeight="false" outlineLevel="0" collapsed="false">
      <c r="A207" s="21" t="s">
        <v>924</v>
      </c>
      <c r="B207" s="21" t="s">
        <v>893</v>
      </c>
      <c r="C207" s="21" t="s">
        <v>925</v>
      </c>
      <c r="D207" s="21" t="s">
        <v>434</v>
      </c>
      <c r="E207" s="21" t="s">
        <v>446</v>
      </c>
      <c r="F207" s="22" t="n">
        <v>3</v>
      </c>
      <c r="G207" s="23"/>
      <c r="H207" s="24"/>
      <c r="I207" s="25"/>
      <c r="J207" s="26" t="n">
        <f aca="false">IF(G207&lt;&gt;"",G207,F207)</f>
        <v>3</v>
      </c>
      <c r="K207" s="21" t="n">
        <v>1</v>
      </c>
      <c r="L207" s="21"/>
    </row>
    <row r="208" customFormat="false" ht="15" hidden="false" customHeight="false" outlineLevel="0" collapsed="false">
      <c r="A208" s="21" t="s">
        <v>926</v>
      </c>
      <c r="B208" s="21" t="s">
        <v>893</v>
      </c>
      <c r="C208" s="21" t="s">
        <v>927</v>
      </c>
      <c r="D208" s="21" t="s">
        <v>434</v>
      </c>
      <c r="E208" s="21" t="s">
        <v>446</v>
      </c>
      <c r="F208" s="22" t="n">
        <v>2.2</v>
      </c>
      <c r="G208" s="23"/>
      <c r="H208" s="24"/>
      <c r="I208" s="25"/>
      <c r="J208" s="26" t="n">
        <f aca="false">IF(G208&lt;&gt;"",G208,F208)</f>
        <v>2.2</v>
      </c>
      <c r="K208" s="21" t="n">
        <v>3</v>
      </c>
      <c r="L208" s="21"/>
    </row>
    <row r="209" customFormat="false" ht="15" hidden="false" customHeight="false" outlineLevel="0" collapsed="false">
      <c r="A209" s="21" t="s">
        <v>928</v>
      </c>
      <c r="B209" s="21" t="s">
        <v>893</v>
      </c>
      <c r="C209" s="21" t="s">
        <v>929</v>
      </c>
      <c r="D209" s="21" t="s">
        <v>434</v>
      </c>
      <c r="E209" s="21" t="s">
        <v>446</v>
      </c>
      <c r="F209" s="22" t="n">
        <v>2.6</v>
      </c>
      <c r="G209" s="23"/>
      <c r="H209" s="24"/>
      <c r="I209" s="25"/>
      <c r="J209" s="26" t="n">
        <f aca="false">IF(G209&lt;&gt;"",G209,F209)</f>
        <v>2.6</v>
      </c>
      <c r="K209" s="21" t="n">
        <v>1</v>
      </c>
      <c r="L209" s="21"/>
    </row>
    <row r="210" customFormat="false" ht="15" hidden="false" customHeight="false" outlineLevel="0" collapsed="false">
      <c r="A210" s="21" t="s">
        <v>930</v>
      </c>
      <c r="B210" s="21" t="s">
        <v>893</v>
      </c>
      <c r="C210" s="21" t="s">
        <v>931</v>
      </c>
      <c r="D210" s="21" t="s">
        <v>434</v>
      </c>
      <c r="E210" s="21" t="s">
        <v>897</v>
      </c>
      <c r="F210" s="22" t="n">
        <v>13</v>
      </c>
      <c r="G210" s="23"/>
      <c r="H210" s="24"/>
      <c r="I210" s="25"/>
      <c r="J210" s="26" t="n">
        <f aca="false">IF(G210&lt;&gt;"",G210,F210)</f>
        <v>13</v>
      </c>
      <c r="K210" s="21" t="n">
        <v>16</v>
      </c>
      <c r="L210" s="21"/>
    </row>
    <row r="211" customFormat="false" ht="15" hidden="false" customHeight="false" outlineLevel="0" collapsed="false">
      <c r="A211" s="21" t="s">
        <v>932</v>
      </c>
      <c r="B211" s="21" t="s">
        <v>893</v>
      </c>
      <c r="C211" s="21" t="s">
        <v>933</v>
      </c>
      <c r="D211" s="21" t="s">
        <v>434</v>
      </c>
      <c r="E211" s="21" t="s">
        <v>438</v>
      </c>
      <c r="F211" s="22" t="n">
        <v>6.5</v>
      </c>
      <c r="G211" s="23"/>
      <c r="H211" s="24"/>
      <c r="I211" s="25"/>
      <c r="J211" s="26" t="n">
        <f aca="false">IF(G211&lt;&gt;"",G211,F211)</f>
        <v>6.5</v>
      </c>
      <c r="K211" s="21" t="n">
        <v>1</v>
      </c>
      <c r="L211" s="21"/>
    </row>
    <row r="212" customFormat="false" ht="15" hidden="false" customHeight="false" outlineLevel="0" collapsed="false">
      <c r="A212" s="21" t="s">
        <v>934</v>
      </c>
      <c r="B212" s="21" t="s">
        <v>893</v>
      </c>
      <c r="C212" s="21" t="s">
        <v>935</v>
      </c>
      <c r="D212" s="21" t="s">
        <v>434</v>
      </c>
      <c r="E212" s="21" t="s">
        <v>897</v>
      </c>
      <c r="F212" s="22" t="n">
        <v>13</v>
      </c>
      <c r="G212" s="23"/>
      <c r="H212" s="24"/>
      <c r="I212" s="25"/>
      <c r="J212" s="26" t="n">
        <f aca="false">IF(G212&lt;&gt;"",G212,F212)</f>
        <v>13</v>
      </c>
      <c r="K212" s="21" t="n">
        <v>3</v>
      </c>
      <c r="L212" s="21"/>
    </row>
    <row r="213" customFormat="false" ht="15" hidden="false" customHeight="false" outlineLevel="0" collapsed="false">
      <c r="A213" s="21" t="s">
        <v>936</v>
      </c>
      <c r="B213" s="21" t="s">
        <v>893</v>
      </c>
      <c r="C213" s="21" t="s">
        <v>937</v>
      </c>
      <c r="D213" s="21" t="s">
        <v>434</v>
      </c>
      <c r="E213" s="21" t="s">
        <v>446</v>
      </c>
      <c r="F213" s="22" t="n">
        <v>3</v>
      </c>
      <c r="G213" s="23"/>
      <c r="H213" s="24"/>
      <c r="I213" s="25"/>
      <c r="J213" s="26" t="n">
        <f aca="false">IF(G213&lt;&gt;"",G213,F213)</f>
        <v>3</v>
      </c>
      <c r="K213" s="21" t="n">
        <v>1</v>
      </c>
      <c r="L213" s="21"/>
    </row>
    <row r="214" customFormat="false" ht="15" hidden="false" customHeight="false" outlineLevel="0" collapsed="false">
      <c r="A214" s="21" t="s">
        <v>938</v>
      </c>
      <c r="B214" s="21" t="s">
        <v>893</v>
      </c>
      <c r="C214" s="21" t="s">
        <v>939</v>
      </c>
      <c r="D214" s="21" t="s">
        <v>434</v>
      </c>
      <c r="E214" s="21" t="s">
        <v>446</v>
      </c>
      <c r="F214" s="22" t="n">
        <v>2.4</v>
      </c>
      <c r="G214" s="23"/>
      <c r="H214" s="24"/>
      <c r="I214" s="25"/>
      <c r="J214" s="26" t="n">
        <f aca="false">IF(G214&lt;&gt;"",G214,F214)</f>
        <v>2.4</v>
      </c>
      <c r="K214" s="21" t="n">
        <v>3</v>
      </c>
      <c r="L214" s="21"/>
    </row>
    <row r="215" customFormat="false" ht="15" hidden="false" customHeight="false" outlineLevel="0" collapsed="false">
      <c r="A215" s="21" t="s">
        <v>940</v>
      </c>
      <c r="B215" s="21" t="s">
        <v>893</v>
      </c>
      <c r="C215" s="21" t="s">
        <v>941</v>
      </c>
      <c r="D215" s="21" t="s">
        <v>434</v>
      </c>
      <c r="E215" s="21" t="s">
        <v>446</v>
      </c>
      <c r="F215" s="22" t="n">
        <v>2.4</v>
      </c>
      <c r="G215" s="23"/>
      <c r="H215" s="24"/>
      <c r="I215" s="25"/>
      <c r="J215" s="26" t="n">
        <f aca="false">IF(G215&lt;&gt;"",G215,F215)</f>
        <v>2.4</v>
      </c>
      <c r="K215" s="21" t="n">
        <v>3</v>
      </c>
      <c r="L215" s="21"/>
    </row>
    <row r="216" customFormat="false" ht="15" hidden="false" customHeight="false" outlineLevel="0" collapsed="false">
      <c r="A216" s="21" t="s">
        <v>942</v>
      </c>
      <c r="B216" s="21" t="s">
        <v>893</v>
      </c>
      <c r="C216" s="21" t="s">
        <v>943</v>
      </c>
      <c r="D216" s="21" t="s">
        <v>434</v>
      </c>
      <c r="E216" s="21" t="s">
        <v>446</v>
      </c>
      <c r="F216" s="22" t="n">
        <v>2.5</v>
      </c>
      <c r="G216" s="23"/>
      <c r="H216" s="24"/>
      <c r="I216" s="25"/>
      <c r="J216" s="26" t="n">
        <f aca="false">IF(G216&lt;&gt;"",G216,F216)</f>
        <v>2.5</v>
      </c>
      <c r="K216" s="21" t="n">
        <v>1</v>
      </c>
      <c r="L216" s="21"/>
    </row>
    <row r="217" customFormat="false" ht="15" hidden="false" customHeight="false" outlineLevel="0" collapsed="false">
      <c r="A217" s="21" t="s">
        <v>944</v>
      </c>
      <c r="B217" s="21" t="s">
        <v>893</v>
      </c>
      <c r="C217" s="21" t="s">
        <v>945</v>
      </c>
      <c r="D217" s="21" t="s">
        <v>434</v>
      </c>
      <c r="E217" s="21" t="s">
        <v>438</v>
      </c>
      <c r="F217" s="22" t="n">
        <v>7</v>
      </c>
      <c r="G217" s="23"/>
      <c r="H217" s="24"/>
      <c r="I217" s="25"/>
      <c r="J217" s="26" t="n">
        <f aca="false">IF(G217&lt;&gt;"",G217,F217)</f>
        <v>7</v>
      </c>
      <c r="K217" s="21" t="n">
        <v>1</v>
      </c>
      <c r="L217" s="21"/>
    </row>
    <row r="218" customFormat="false" ht="15" hidden="false" customHeight="false" outlineLevel="0" collapsed="false">
      <c r="A218" s="21" t="s">
        <v>946</v>
      </c>
      <c r="B218" s="21" t="s">
        <v>893</v>
      </c>
      <c r="C218" s="21" t="s">
        <v>947</v>
      </c>
      <c r="D218" s="21" t="s">
        <v>434</v>
      </c>
      <c r="E218" s="21" t="s">
        <v>574</v>
      </c>
      <c r="F218" s="22" t="n">
        <v>4.5</v>
      </c>
      <c r="G218" s="23"/>
      <c r="H218" s="24"/>
      <c r="I218" s="25"/>
      <c r="J218" s="26" t="n">
        <f aca="false">IF(G218&lt;&gt;"",G218,F218)</f>
        <v>4.5</v>
      </c>
      <c r="K218" s="21" t="n">
        <v>46</v>
      </c>
      <c r="L218" s="21"/>
    </row>
    <row r="219" customFormat="false" ht="15" hidden="false" customHeight="false" outlineLevel="0" collapsed="false">
      <c r="A219" s="21" t="s">
        <v>948</v>
      </c>
      <c r="B219" s="21" t="s">
        <v>893</v>
      </c>
      <c r="C219" s="21" t="s">
        <v>949</v>
      </c>
      <c r="D219" s="21" t="s">
        <v>434</v>
      </c>
      <c r="E219" s="21" t="s">
        <v>446</v>
      </c>
      <c r="F219" s="22" t="n">
        <v>2.4</v>
      </c>
      <c r="G219" s="23"/>
      <c r="H219" s="24"/>
      <c r="I219" s="25"/>
      <c r="J219" s="26" t="n">
        <f aca="false">IF(G219&lt;&gt;"",G219,F219)</f>
        <v>2.4</v>
      </c>
      <c r="K219" s="21" t="n">
        <v>3</v>
      </c>
      <c r="L219" s="21"/>
    </row>
    <row r="220" customFormat="false" ht="15" hidden="false" customHeight="false" outlineLevel="0" collapsed="false">
      <c r="A220" s="21" t="s">
        <v>950</v>
      </c>
      <c r="B220" s="21" t="s">
        <v>893</v>
      </c>
      <c r="C220" s="21" t="s">
        <v>951</v>
      </c>
      <c r="D220" s="21" t="s">
        <v>434</v>
      </c>
      <c r="E220" s="21" t="s">
        <v>446</v>
      </c>
      <c r="F220" s="22" t="n">
        <v>2.2</v>
      </c>
      <c r="G220" s="23"/>
      <c r="H220" s="24"/>
      <c r="I220" s="25"/>
      <c r="J220" s="26" t="n">
        <f aca="false">IF(G220&lt;&gt;"",G220,F220)</f>
        <v>2.2</v>
      </c>
      <c r="K220" s="21" t="n">
        <v>1</v>
      </c>
      <c r="L220" s="21"/>
    </row>
    <row r="221" customFormat="false" ht="15" hidden="false" customHeight="false" outlineLevel="0" collapsed="false">
      <c r="A221" s="21" t="s">
        <v>952</v>
      </c>
      <c r="B221" s="21" t="s">
        <v>893</v>
      </c>
      <c r="C221" s="21" t="s">
        <v>953</v>
      </c>
      <c r="D221" s="21" t="s">
        <v>434</v>
      </c>
      <c r="E221" s="21" t="s">
        <v>438</v>
      </c>
      <c r="F221" s="22" t="n">
        <v>8</v>
      </c>
      <c r="G221" s="23"/>
      <c r="H221" s="24"/>
      <c r="I221" s="25"/>
      <c r="J221" s="26" t="n">
        <f aca="false">IF(G221&lt;&gt;"",G221,F221)</f>
        <v>8</v>
      </c>
      <c r="K221" s="21" t="n">
        <v>1</v>
      </c>
      <c r="L221" s="21"/>
    </row>
    <row r="222" customFormat="false" ht="15" hidden="false" customHeight="false" outlineLevel="0" collapsed="false">
      <c r="A222" s="21" t="s">
        <v>954</v>
      </c>
      <c r="B222" s="21" t="s">
        <v>893</v>
      </c>
      <c r="C222" s="21" t="s">
        <v>955</v>
      </c>
      <c r="D222" s="21" t="s">
        <v>434</v>
      </c>
      <c r="E222" s="21" t="s">
        <v>897</v>
      </c>
      <c r="F222" s="22" t="n">
        <v>14</v>
      </c>
      <c r="G222" s="23"/>
      <c r="H222" s="24"/>
      <c r="I222" s="25"/>
      <c r="J222" s="26" t="n">
        <f aca="false">IF(G222&lt;&gt;"",G222,F222)</f>
        <v>14</v>
      </c>
      <c r="K222" s="21" t="n">
        <v>2</v>
      </c>
      <c r="L222" s="21"/>
    </row>
    <row r="223" customFormat="false" ht="15" hidden="false" customHeight="false" outlineLevel="0" collapsed="false">
      <c r="A223" s="21" t="s">
        <v>956</v>
      </c>
      <c r="B223" s="21" t="s">
        <v>893</v>
      </c>
      <c r="C223" s="21" t="s">
        <v>957</v>
      </c>
      <c r="D223" s="21" t="s">
        <v>434</v>
      </c>
      <c r="E223" s="21" t="s">
        <v>958</v>
      </c>
      <c r="F223" s="22" t="n">
        <v>8.33</v>
      </c>
      <c r="G223" s="23"/>
      <c r="H223" s="24"/>
      <c r="I223" s="25"/>
      <c r="J223" s="26" t="n">
        <f aca="false">IF(G223&lt;&gt;"",G223,F223)</f>
        <v>8.33</v>
      </c>
      <c r="K223" s="21" t="n">
        <v>1</v>
      </c>
      <c r="L223" s="21" t="s">
        <v>959</v>
      </c>
    </row>
    <row r="224" customFormat="false" ht="15" hidden="false" customHeight="false" outlineLevel="0" collapsed="false">
      <c r="A224" s="21" t="s">
        <v>960</v>
      </c>
      <c r="B224" s="21" t="s">
        <v>893</v>
      </c>
      <c r="C224" s="21" t="s">
        <v>961</v>
      </c>
      <c r="D224" s="21" t="s">
        <v>434</v>
      </c>
      <c r="E224" s="21" t="s">
        <v>574</v>
      </c>
      <c r="F224" s="22" t="n">
        <v>8</v>
      </c>
      <c r="G224" s="23"/>
      <c r="H224" s="24"/>
      <c r="I224" s="25"/>
      <c r="J224" s="26" t="n">
        <f aca="false">IF(G224&lt;&gt;"",G224,F224)</f>
        <v>8</v>
      </c>
      <c r="K224" s="21" t="n">
        <v>1</v>
      </c>
      <c r="L224" s="21"/>
    </row>
    <row r="225" customFormat="false" ht="15" hidden="false" customHeight="false" outlineLevel="0" collapsed="false">
      <c r="A225" s="21" t="s">
        <v>962</v>
      </c>
      <c r="B225" s="21" t="s">
        <v>893</v>
      </c>
      <c r="C225" s="21" t="s">
        <v>963</v>
      </c>
      <c r="D225" s="21" t="s">
        <v>434</v>
      </c>
      <c r="E225" s="21" t="s">
        <v>574</v>
      </c>
      <c r="F225" s="22" t="n">
        <v>9</v>
      </c>
      <c r="G225" s="23"/>
      <c r="H225" s="24"/>
      <c r="I225" s="25"/>
      <c r="J225" s="26" t="n">
        <f aca="false">IF(G225&lt;&gt;"",G225,F225)</f>
        <v>9</v>
      </c>
      <c r="K225" s="21" t="n">
        <v>1</v>
      </c>
      <c r="L225" s="21"/>
    </row>
    <row r="226" customFormat="false" ht="15" hidden="false" customHeight="false" outlineLevel="0" collapsed="false">
      <c r="A226" s="21" t="s">
        <v>964</v>
      </c>
      <c r="B226" s="21" t="s">
        <v>893</v>
      </c>
      <c r="C226" s="21" t="s">
        <v>965</v>
      </c>
      <c r="D226" s="21" t="s">
        <v>434</v>
      </c>
      <c r="E226" s="21" t="s">
        <v>446</v>
      </c>
      <c r="F226" s="22" t="n">
        <v>3.5</v>
      </c>
      <c r="G226" s="23"/>
      <c r="H226" s="24"/>
      <c r="I226" s="25"/>
      <c r="J226" s="26" t="n">
        <f aca="false">IF(G226&lt;&gt;"",G226,F226)</f>
        <v>3.5</v>
      </c>
      <c r="K226" s="21" t="n">
        <v>1</v>
      </c>
      <c r="L226" s="21"/>
    </row>
    <row r="227" customFormat="false" ht="15" hidden="false" customHeight="false" outlineLevel="0" collapsed="false">
      <c r="A227" s="21" t="s">
        <v>966</v>
      </c>
      <c r="B227" s="21" t="s">
        <v>893</v>
      </c>
      <c r="C227" s="21" t="s">
        <v>967</v>
      </c>
      <c r="D227" s="21" t="s">
        <v>434</v>
      </c>
      <c r="E227" s="21" t="s">
        <v>446</v>
      </c>
      <c r="F227" s="22" t="n">
        <v>2</v>
      </c>
      <c r="G227" s="23"/>
      <c r="H227" s="24"/>
      <c r="I227" s="25"/>
      <c r="J227" s="26" t="n">
        <f aca="false">IF(G227&lt;&gt;"",G227,F227)</f>
        <v>2</v>
      </c>
      <c r="K227" s="21" t="n">
        <v>1</v>
      </c>
      <c r="L227" s="21"/>
    </row>
    <row r="228" customFormat="false" ht="15" hidden="false" customHeight="false" outlineLevel="0" collapsed="false">
      <c r="A228" s="21" t="s">
        <v>968</v>
      </c>
      <c r="B228" s="21" t="s">
        <v>893</v>
      </c>
      <c r="C228" s="21" t="s">
        <v>969</v>
      </c>
      <c r="D228" s="21" t="s">
        <v>434</v>
      </c>
      <c r="E228" s="21" t="s">
        <v>574</v>
      </c>
      <c r="F228" s="22" t="n">
        <v>6.5</v>
      </c>
      <c r="G228" s="23"/>
      <c r="H228" s="24"/>
      <c r="I228" s="25"/>
      <c r="J228" s="26" t="n">
        <f aca="false">IF(G228&lt;&gt;"",G228,F228)</f>
        <v>6.5</v>
      </c>
      <c r="K228" s="21" t="n">
        <v>1</v>
      </c>
      <c r="L228" s="21"/>
    </row>
    <row r="229" customFormat="false" ht="15" hidden="false" customHeight="false" outlineLevel="0" collapsed="false">
      <c r="A229" s="21" t="s">
        <v>970</v>
      </c>
      <c r="B229" s="21" t="s">
        <v>893</v>
      </c>
      <c r="C229" s="21" t="s">
        <v>971</v>
      </c>
      <c r="D229" s="21" t="s">
        <v>434</v>
      </c>
      <c r="E229" s="21" t="s">
        <v>446</v>
      </c>
      <c r="F229" s="22" t="n">
        <v>2.6</v>
      </c>
      <c r="G229" s="23"/>
      <c r="H229" s="24"/>
      <c r="I229" s="25"/>
      <c r="J229" s="26" t="n">
        <f aca="false">IF(G229&lt;&gt;"",G229,F229)</f>
        <v>2.6</v>
      </c>
      <c r="K229" s="21" t="n">
        <v>2</v>
      </c>
      <c r="L229" s="21"/>
    </row>
    <row r="230" customFormat="false" ht="15" hidden="false" customHeight="false" outlineLevel="0" collapsed="false">
      <c r="A230" s="21" t="s">
        <v>972</v>
      </c>
      <c r="B230" s="21" t="s">
        <v>893</v>
      </c>
      <c r="C230" s="21" t="s">
        <v>973</v>
      </c>
      <c r="D230" s="21" t="s">
        <v>434</v>
      </c>
      <c r="E230" s="21" t="s">
        <v>446</v>
      </c>
      <c r="F230" s="22" t="n">
        <v>2.6</v>
      </c>
      <c r="G230" s="23"/>
      <c r="H230" s="24"/>
      <c r="I230" s="25"/>
      <c r="J230" s="26" t="n">
        <f aca="false">IF(G230&lt;&gt;"",G230,F230)</f>
        <v>2.6</v>
      </c>
      <c r="K230" s="21" t="n">
        <v>1</v>
      </c>
      <c r="L230" s="21"/>
    </row>
    <row r="231" customFormat="false" ht="15" hidden="false" customHeight="false" outlineLevel="0" collapsed="false">
      <c r="A231" s="21" t="s">
        <v>974</v>
      </c>
      <c r="B231" s="21" t="s">
        <v>893</v>
      </c>
      <c r="C231" s="21" t="s">
        <v>975</v>
      </c>
      <c r="D231" s="21" t="s">
        <v>434</v>
      </c>
      <c r="E231" s="21" t="s">
        <v>446</v>
      </c>
      <c r="F231" s="22" t="n">
        <v>2.8</v>
      </c>
      <c r="G231" s="23"/>
      <c r="H231" s="24"/>
      <c r="I231" s="25"/>
      <c r="J231" s="26" t="n">
        <f aca="false">IF(G231&lt;&gt;"",G231,F231)</f>
        <v>2.8</v>
      </c>
      <c r="K231" s="21" t="n">
        <v>2</v>
      </c>
      <c r="L231" s="21"/>
    </row>
    <row r="232" customFormat="false" ht="15" hidden="false" customHeight="false" outlineLevel="0" collapsed="false">
      <c r="A232" s="21" t="s">
        <v>976</v>
      </c>
      <c r="B232" s="21" t="s">
        <v>893</v>
      </c>
      <c r="C232" s="21" t="s">
        <v>977</v>
      </c>
      <c r="D232" s="21" t="s">
        <v>434</v>
      </c>
      <c r="E232" s="21" t="s">
        <v>446</v>
      </c>
      <c r="F232" s="22" t="n">
        <v>2.2</v>
      </c>
      <c r="G232" s="23"/>
      <c r="H232" s="24"/>
      <c r="I232" s="25"/>
      <c r="J232" s="26" t="n">
        <f aca="false">IF(G232&lt;&gt;"",G232,F232)</f>
        <v>2.2</v>
      </c>
      <c r="K232" s="21" t="n">
        <v>2</v>
      </c>
      <c r="L232" s="21"/>
    </row>
    <row r="233" customFormat="false" ht="15" hidden="false" customHeight="false" outlineLevel="0" collapsed="false">
      <c r="A233" s="21" t="s">
        <v>978</v>
      </c>
      <c r="B233" s="21" t="s">
        <v>893</v>
      </c>
      <c r="C233" s="21" t="s">
        <v>979</v>
      </c>
      <c r="D233" s="21" t="s">
        <v>434</v>
      </c>
      <c r="E233" s="21" t="s">
        <v>446</v>
      </c>
      <c r="F233" s="22" t="n">
        <v>2.4</v>
      </c>
      <c r="G233" s="23"/>
      <c r="H233" s="24"/>
      <c r="I233" s="25"/>
      <c r="J233" s="26" t="n">
        <f aca="false">IF(G233&lt;&gt;"",G233,F233)</f>
        <v>2.4</v>
      </c>
      <c r="K233" s="21" t="n">
        <v>1</v>
      </c>
      <c r="L233" s="21"/>
    </row>
    <row r="234" customFormat="false" ht="15" hidden="false" customHeight="false" outlineLevel="0" collapsed="false">
      <c r="A234" s="21" t="s">
        <v>980</v>
      </c>
      <c r="B234" s="21" t="s">
        <v>893</v>
      </c>
      <c r="C234" s="21" t="s">
        <v>981</v>
      </c>
      <c r="D234" s="21" t="s">
        <v>434</v>
      </c>
      <c r="E234" s="21" t="s">
        <v>446</v>
      </c>
      <c r="F234" s="22" t="n">
        <v>3.2</v>
      </c>
      <c r="G234" s="23"/>
      <c r="H234" s="24"/>
      <c r="I234" s="25"/>
      <c r="J234" s="26" t="n">
        <f aca="false">IF(G234&lt;&gt;"",G234,F234)</f>
        <v>3.2</v>
      </c>
      <c r="K234" s="21" t="n">
        <v>1</v>
      </c>
      <c r="L234" s="21"/>
    </row>
    <row r="235" customFormat="false" ht="15" hidden="false" customHeight="false" outlineLevel="0" collapsed="false">
      <c r="A235" s="21" t="s">
        <v>982</v>
      </c>
      <c r="B235" s="21" t="s">
        <v>893</v>
      </c>
      <c r="C235" s="21" t="s">
        <v>983</v>
      </c>
      <c r="D235" s="21" t="s">
        <v>434</v>
      </c>
      <c r="E235" s="21" t="s">
        <v>446</v>
      </c>
      <c r="F235" s="22" t="n">
        <v>2.6</v>
      </c>
      <c r="G235" s="23"/>
      <c r="H235" s="24"/>
      <c r="I235" s="25"/>
      <c r="J235" s="26" t="n">
        <f aca="false">IF(G235&lt;&gt;"",G235,F235)</f>
        <v>2.6</v>
      </c>
      <c r="K235" s="21" t="n">
        <v>1</v>
      </c>
      <c r="L235" s="21"/>
    </row>
    <row r="236" customFormat="false" ht="15" hidden="false" customHeight="false" outlineLevel="0" collapsed="false">
      <c r="A236" s="21" t="s">
        <v>984</v>
      </c>
      <c r="B236" s="21" t="s">
        <v>893</v>
      </c>
      <c r="C236" s="21" t="s">
        <v>985</v>
      </c>
      <c r="D236" s="21" t="s">
        <v>434</v>
      </c>
      <c r="E236" s="21" t="s">
        <v>446</v>
      </c>
      <c r="F236" s="22" t="n">
        <v>2.2</v>
      </c>
      <c r="G236" s="23"/>
      <c r="H236" s="24"/>
      <c r="I236" s="25"/>
      <c r="J236" s="26" t="n">
        <f aca="false">IF(G236&lt;&gt;"",G236,F236)</f>
        <v>2.2</v>
      </c>
      <c r="K236" s="21" t="n">
        <v>2</v>
      </c>
      <c r="L236" s="21"/>
    </row>
    <row r="237" customFormat="false" ht="15" hidden="false" customHeight="false" outlineLevel="0" collapsed="false">
      <c r="A237" s="21" t="s">
        <v>986</v>
      </c>
      <c r="B237" s="21" t="s">
        <v>893</v>
      </c>
      <c r="C237" s="21" t="s">
        <v>987</v>
      </c>
      <c r="D237" s="21" t="s">
        <v>434</v>
      </c>
      <c r="E237" s="21" t="s">
        <v>574</v>
      </c>
      <c r="F237" s="22" t="n">
        <v>5</v>
      </c>
      <c r="G237" s="23"/>
      <c r="H237" s="24"/>
      <c r="I237" s="25"/>
      <c r="J237" s="26" t="n">
        <f aca="false">IF(G237&lt;&gt;"",G237,F237)</f>
        <v>5</v>
      </c>
      <c r="K237" s="21" t="n">
        <v>1</v>
      </c>
      <c r="L237" s="21"/>
    </row>
    <row r="238" customFormat="false" ht="15" hidden="false" customHeight="false" outlineLevel="0" collapsed="false">
      <c r="A238" s="21" t="s">
        <v>988</v>
      </c>
      <c r="B238" s="21" t="s">
        <v>893</v>
      </c>
      <c r="C238" s="21" t="s">
        <v>989</v>
      </c>
      <c r="D238" s="21" t="s">
        <v>434</v>
      </c>
      <c r="E238" s="21" t="s">
        <v>574</v>
      </c>
      <c r="F238" s="22" t="n">
        <v>7.5</v>
      </c>
      <c r="G238" s="23"/>
      <c r="H238" s="24"/>
      <c r="I238" s="25"/>
      <c r="J238" s="26" t="n">
        <f aca="false">IF(G238&lt;&gt;"",G238,F238)</f>
        <v>7.5</v>
      </c>
      <c r="K238" s="21" t="n">
        <v>2</v>
      </c>
      <c r="L238" s="21"/>
    </row>
    <row r="239" customFormat="false" ht="15" hidden="false" customHeight="false" outlineLevel="0" collapsed="false">
      <c r="A239" s="21" t="s">
        <v>990</v>
      </c>
      <c r="B239" s="21" t="s">
        <v>893</v>
      </c>
      <c r="C239" s="21" t="s">
        <v>991</v>
      </c>
      <c r="D239" s="21" t="s">
        <v>434</v>
      </c>
      <c r="E239" s="21" t="s">
        <v>897</v>
      </c>
      <c r="F239" s="22" t="n">
        <v>13</v>
      </c>
      <c r="G239" s="23"/>
      <c r="H239" s="24"/>
      <c r="I239" s="25"/>
      <c r="J239" s="26" t="n">
        <f aca="false">IF(G239&lt;&gt;"",G239,F239)</f>
        <v>13</v>
      </c>
      <c r="K239" s="21" t="n">
        <v>3</v>
      </c>
      <c r="L239" s="21"/>
    </row>
    <row r="240" customFormat="false" ht="15" hidden="false" customHeight="false" outlineLevel="0" collapsed="false">
      <c r="A240" s="21" t="s">
        <v>992</v>
      </c>
      <c r="B240" s="21" t="s">
        <v>893</v>
      </c>
      <c r="C240" s="21" t="s">
        <v>993</v>
      </c>
      <c r="D240" s="21" t="s">
        <v>434</v>
      </c>
      <c r="E240" s="21" t="s">
        <v>446</v>
      </c>
      <c r="F240" s="22" t="n">
        <v>2.2</v>
      </c>
      <c r="G240" s="23"/>
      <c r="H240" s="24"/>
      <c r="I240" s="25"/>
      <c r="J240" s="26" t="n">
        <f aca="false">IF(G240&lt;&gt;"",G240,F240)</f>
        <v>2.2</v>
      </c>
      <c r="K240" s="21" t="n">
        <v>4</v>
      </c>
      <c r="L240" s="21"/>
    </row>
    <row r="241" customFormat="false" ht="15" hidden="false" customHeight="false" outlineLevel="0" collapsed="false">
      <c r="A241" s="21" t="s">
        <v>994</v>
      </c>
      <c r="B241" s="21" t="s">
        <v>893</v>
      </c>
      <c r="C241" s="21" t="s">
        <v>995</v>
      </c>
      <c r="D241" s="21" t="s">
        <v>434</v>
      </c>
      <c r="E241" s="21" t="s">
        <v>438</v>
      </c>
      <c r="F241" s="22" t="n">
        <v>8</v>
      </c>
      <c r="G241" s="23"/>
      <c r="H241" s="24"/>
      <c r="I241" s="25"/>
      <c r="J241" s="26" t="n">
        <f aca="false">IF(G241&lt;&gt;"",G241,F241)</f>
        <v>8</v>
      </c>
      <c r="K241" s="21" t="n">
        <v>1</v>
      </c>
      <c r="L241" s="21"/>
    </row>
    <row r="242" customFormat="false" ht="15" hidden="false" customHeight="false" outlineLevel="0" collapsed="false">
      <c r="A242" s="21" t="s">
        <v>996</v>
      </c>
      <c r="B242" s="21" t="s">
        <v>893</v>
      </c>
      <c r="C242" s="21" t="s">
        <v>997</v>
      </c>
      <c r="D242" s="21" t="s">
        <v>434</v>
      </c>
      <c r="E242" s="21" t="s">
        <v>438</v>
      </c>
      <c r="F242" s="22" t="n">
        <v>6.5</v>
      </c>
      <c r="G242" s="23"/>
      <c r="H242" s="24"/>
      <c r="I242" s="25"/>
      <c r="J242" s="26" t="n">
        <f aca="false">IF(G242&lt;&gt;"",G242,F242)</f>
        <v>6.5</v>
      </c>
      <c r="K242" s="21" t="n">
        <v>1</v>
      </c>
      <c r="L242" s="21"/>
    </row>
    <row r="243" customFormat="false" ht="15" hidden="false" customHeight="false" outlineLevel="0" collapsed="false">
      <c r="A243" s="21" t="s">
        <v>998</v>
      </c>
      <c r="B243" s="21" t="s">
        <v>893</v>
      </c>
      <c r="C243" s="21" t="s">
        <v>999</v>
      </c>
      <c r="D243" s="21" t="s">
        <v>434</v>
      </c>
      <c r="E243" s="21" t="s">
        <v>446</v>
      </c>
      <c r="F243" s="22" t="n">
        <v>1.9</v>
      </c>
      <c r="G243" s="23"/>
      <c r="H243" s="24"/>
      <c r="I243" s="25"/>
      <c r="J243" s="26" t="n">
        <f aca="false">IF(G243&lt;&gt;"",G243,F243)</f>
        <v>1.9</v>
      </c>
      <c r="K243" s="21" t="n">
        <v>8</v>
      </c>
      <c r="L243" s="21"/>
    </row>
    <row r="244" customFormat="false" ht="15" hidden="false" customHeight="false" outlineLevel="0" collapsed="false">
      <c r="A244" s="21" t="s">
        <v>1000</v>
      </c>
      <c r="B244" s="21" t="s">
        <v>893</v>
      </c>
      <c r="C244" s="21" t="s">
        <v>1001</v>
      </c>
      <c r="D244" s="21" t="s">
        <v>434</v>
      </c>
      <c r="E244" s="21" t="s">
        <v>446</v>
      </c>
      <c r="F244" s="22" t="n">
        <v>1.8</v>
      </c>
      <c r="G244" s="23"/>
      <c r="H244" s="24"/>
      <c r="I244" s="25"/>
      <c r="J244" s="26" t="n">
        <f aca="false">IF(G244&lt;&gt;"",G244,F244)</f>
        <v>1.8</v>
      </c>
      <c r="K244" s="21" t="n">
        <v>103</v>
      </c>
      <c r="L244" s="21"/>
    </row>
    <row r="245" customFormat="false" ht="15" hidden="false" customHeight="false" outlineLevel="0" collapsed="false">
      <c r="A245" s="21" t="s">
        <v>1002</v>
      </c>
      <c r="B245" s="21" t="s">
        <v>893</v>
      </c>
      <c r="C245" s="21" t="s">
        <v>1003</v>
      </c>
      <c r="D245" s="21" t="s">
        <v>434</v>
      </c>
      <c r="E245" s="21" t="s">
        <v>446</v>
      </c>
      <c r="F245" s="22" t="n">
        <v>1.9</v>
      </c>
      <c r="G245" s="23"/>
      <c r="H245" s="24"/>
      <c r="I245" s="25"/>
      <c r="J245" s="26" t="n">
        <f aca="false">IF(G245&lt;&gt;"",G245,F245)</f>
        <v>1.9</v>
      </c>
      <c r="K245" s="21" t="n">
        <v>13</v>
      </c>
      <c r="L245" s="21"/>
    </row>
    <row r="246" customFormat="false" ht="15" hidden="false" customHeight="false" outlineLevel="0" collapsed="false">
      <c r="A246" s="21" t="s">
        <v>1004</v>
      </c>
      <c r="B246" s="21" t="s">
        <v>893</v>
      </c>
      <c r="C246" s="21" t="s">
        <v>1005</v>
      </c>
      <c r="D246" s="21" t="s">
        <v>434</v>
      </c>
      <c r="E246" s="21" t="s">
        <v>446</v>
      </c>
      <c r="F246" s="22" t="n">
        <v>3.2</v>
      </c>
      <c r="G246" s="23"/>
      <c r="H246" s="24"/>
      <c r="I246" s="25"/>
      <c r="J246" s="26" t="n">
        <f aca="false">IF(G246&lt;&gt;"",G246,F246)</f>
        <v>3.2</v>
      </c>
      <c r="K246" s="21" t="n">
        <v>1</v>
      </c>
      <c r="L246" s="21"/>
    </row>
    <row r="247" customFormat="false" ht="15" hidden="false" customHeight="false" outlineLevel="0" collapsed="false">
      <c r="A247" s="21" t="s">
        <v>1006</v>
      </c>
      <c r="B247" s="21" t="s">
        <v>893</v>
      </c>
      <c r="C247" s="21" t="s">
        <v>1007</v>
      </c>
      <c r="D247" s="21" t="s">
        <v>434</v>
      </c>
      <c r="E247" s="21" t="s">
        <v>574</v>
      </c>
      <c r="F247" s="22" t="n">
        <v>8</v>
      </c>
      <c r="G247" s="23"/>
      <c r="H247" s="24"/>
      <c r="I247" s="25"/>
      <c r="J247" s="26" t="n">
        <f aca="false">IF(G247&lt;&gt;"",G247,F247)</f>
        <v>8</v>
      </c>
      <c r="K247" s="21" t="n">
        <v>67</v>
      </c>
      <c r="L247" s="21"/>
    </row>
    <row r="248" customFormat="false" ht="15" hidden="false" customHeight="false" outlineLevel="0" collapsed="false">
      <c r="A248" s="21" t="s">
        <v>1008</v>
      </c>
      <c r="B248" s="21" t="s">
        <v>893</v>
      </c>
      <c r="C248" s="21" t="s">
        <v>1009</v>
      </c>
      <c r="D248" s="21" t="s">
        <v>434</v>
      </c>
      <c r="E248" s="21" t="s">
        <v>446</v>
      </c>
      <c r="F248" s="22" t="n">
        <v>2.3</v>
      </c>
      <c r="G248" s="23"/>
      <c r="H248" s="24"/>
      <c r="I248" s="25"/>
      <c r="J248" s="26" t="n">
        <f aca="false">IF(G248&lt;&gt;"",G248,F248)</f>
        <v>2.3</v>
      </c>
      <c r="K248" s="21" t="n">
        <v>5</v>
      </c>
      <c r="L248" s="21"/>
    </row>
    <row r="249" customFormat="false" ht="15" hidden="false" customHeight="false" outlineLevel="0" collapsed="false">
      <c r="A249" s="21" t="s">
        <v>1010</v>
      </c>
      <c r="B249" s="21" t="s">
        <v>893</v>
      </c>
      <c r="C249" s="21" t="s">
        <v>1011</v>
      </c>
      <c r="D249" s="21" t="s">
        <v>434</v>
      </c>
      <c r="E249" s="21" t="s">
        <v>1012</v>
      </c>
      <c r="F249" s="22" t="n">
        <v>6.5</v>
      </c>
      <c r="G249" s="23"/>
      <c r="H249" s="24"/>
      <c r="I249" s="25"/>
      <c r="J249" s="26" t="n">
        <f aca="false">IF(G249&lt;&gt;"",G249,F249)</f>
        <v>6.5</v>
      </c>
      <c r="K249" s="21" t="n">
        <v>1</v>
      </c>
      <c r="L249" s="21" t="s">
        <v>803</v>
      </c>
    </row>
    <row r="250" customFormat="false" ht="15" hidden="false" customHeight="false" outlineLevel="0" collapsed="false">
      <c r="A250" s="21" t="s">
        <v>1013</v>
      </c>
      <c r="B250" s="21" t="s">
        <v>893</v>
      </c>
      <c r="C250" s="21" t="s">
        <v>1014</v>
      </c>
      <c r="D250" s="21" t="s">
        <v>434</v>
      </c>
      <c r="E250" s="21" t="s">
        <v>446</v>
      </c>
      <c r="F250" s="22" t="n">
        <v>3</v>
      </c>
      <c r="G250" s="23"/>
      <c r="H250" s="24"/>
      <c r="I250" s="25"/>
      <c r="J250" s="26" t="n">
        <f aca="false">IF(G250&lt;&gt;"",G250,F250)</f>
        <v>3</v>
      </c>
      <c r="K250" s="21" t="n">
        <v>1</v>
      </c>
      <c r="L250" s="21"/>
    </row>
    <row r="251" customFormat="false" ht="15" hidden="false" customHeight="false" outlineLevel="0" collapsed="false">
      <c r="A251" s="21" t="s">
        <v>1015</v>
      </c>
      <c r="B251" s="21" t="s">
        <v>893</v>
      </c>
      <c r="C251" s="21" t="s">
        <v>1016</v>
      </c>
      <c r="D251" s="21" t="s">
        <v>434</v>
      </c>
      <c r="E251" s="21" t="s">
        <v>446</v>
      </c>
      <c r="F251" s="22" t="n">
        <v>2.6</v>
      </c>
      <c r="G251" s="23"/>
      <c r="H251" s="24"/>
      <c r="I251" s="25"/>
      <c r="J251" s="26" t="n">
        <f aca="false">IF(G251&lt;&gt;"",G251,F251)</f>
        <v>2.6</v>
      </c>
      <c r="K251" s="21" t="n">
        <v>5</v>
      </c>
      <c r="L251" s="21"/>
    </row>
    <row r="252" customFormat="false" ht="15" hidden="false" customHeight="false" outlineLevel="0" collapsed="false">
      <c r="A252" s="21" t="s">
        <v>1017</v>
      </c>
      <c r="B252" s="21" t="s">
        <v>893</v>
      </c>
      <c r="C252" s="21" t="s">
        <v>1018</v>
      </c>
      <c r="D252" s="21" t="s">
        <v>434</v>
      </c>
      <c r="E252" s="21" t="s">
        <v>446</v>
      </c>
      <c r="F252" s="22" t="n">
        <v>2.6</v>
      </c>
      <c r="G252" s="23"/>
      <c r="H252" s="24"/>
      <c r="I252" s="25"/>
      <c r="J252" s="26" t="n">
        <f aca="false">IF(G252&lt;&gt;"",G252,F252)</f>
        <v>2.6</v>
      </c>
      <c r="K252" s="21" t="n">
        <v>4</v>
      </c>
      <c r="L252" s="21"/>
    </row>
    <row r="253" customFormat="false" ht="15" hidden="false" customHeight="false" outlineLevel="0" collapsed="false">
      <c r="A253" s="21" t="s">
        <v>1019</v>
      </c>
      <c r="B253" s="21" t="s">
        <v>893</v>
      </c>
      <c r="C253" s="21" t="s">
        <v>1020</v>
      </c>
      <c r="D253" s="21" t="s">
        <v>434</v>
      </c>
      <c r="E253" s="21" t="s">
        <v>446</v>
      </c>
      <c r="F253" s="22" t="n">
        <v>2.8</v>
      </c>
      <c r="G253" s="23"/>
      <c r="H253" s="24"/>
      <c r="I253" s="25"/>
      <c r="J253" s="26" t="n">
        <f aca="false">IF(G253&lt;&gt;"",G253,F253)</f>
        <v>2.8</v>
      </c>
      <c r="K253" s="21" t="n">
        <v>1</v>
      </c>
      <c r="L253" s="21"/>
    </row>
    <row r="254" customFormat="false" ht="15" hidden="false" customHeight="false" outlineLevel="0" collapsed="false">
      <c r="A254" s="21" t="s">
        <v>1021</v>
      </c>
      <c r="B254" s="21" t="s">
        <v>893</v>
      </c>
      <c r="C254" s="21" t="s">
        <v>1022</v>
      </c>
      <c r="D254" s="21" t="s">
        <v>434</v>
      </c>
      <c r="E254" s="21" t="s">
        <v>446</v>
      </c>
      <c r="F254" s="22" t="n">
        <v>3</v>
      </c>
      <c r="G254" s="23"/>
      <c r="H254" s="24"/>
      <c r="I254" s="25"/>
      <c r="J254" s="26" t="n">
        <f aca="false">IF(G254&lt;&gt;"",G254,F254)</f>
        <v>3</v>
      </c>
      <c r="K254" s="21" t="n">
        <v>7</v>
      </c>
      <c r="L254" s="21"/>
    </row>
    <row r="255" customFormat="false" ht="15" hidden="false" customHeight="false" outlineLevel="0" collapsed="false">
      <c r="A255" s="21" t="s">
        <v>1023</v>
      </c>
      <c r="B255" s="21" t="s">
        <v>893</v>
      </c>
      <c r="C255" s="21" t="s">
        <v>1024</v>
      </c>
      <c r="D255" s="21" t="s">
        <v>434</v>
      </c>
      <c r="E255" s="21" t="s">
        <v>446</v>
      </c>
      <c r="F255" s="22" t="n">
        <v>3</v>
      </c>
      <c r="G255" s="23"/>
      <c r="H255" s="24"/>
      <c r="I255" s="25"/>
      <c r="J255" s="26" t="n">
        <f aca="false">IF(G255&lt;&gt;"",G255,F255)</f>
        <v>3</v>
      </c>
      <c r="K255" s="21" t="n">
        <v>8</v>
      </c>
      <c r="L255" s="21"/>
    </row>
    <row r="256" customFormat="false" ht="15" hidden="false" customHeight="false" outlineLevel="0" collapsed="false">
      <c r="A256" s="21" t="s">
        <v>1025</v>
      </c>
      <c r="B256" s="21" t="s">
        <v>893</v>
      </c>
      <c r="C256" s="21" t="s">
        <v>1026</v>
      </c>
      <c r="D256" s="21" t="s">
        <v>434</v>
      </c>
      <c r="E256" s="21" t="s">
        <v>446</v>
      </c>
      <c r="F256" s="22" t="n">
        <v>3.2</v>
      </c>
      <c r="G256" s="23"/>
      <c r="H256" s="24"/>
      <c r="I256" s="25"/>
      <c r="J256" s="26" t="n">
        <f aca="false">IF(G256&lt;&gt;"",G256,F256)</f>
        <v>3.2</v>
      </c>
      <c r="K256" s="21" t="n">
        <v>1</v>
      </c>
      <c r="L256" s="21"/>
    </row>
    <row r="257" customFormat="false" ht="15" hidden="false" customHeight="false" outlineLevel="0" collapsed="false">
      <c r="A257" s="21" t="s">
        <v>1027</v>
      </c>
      <c r="B257" s="21" t="s">
        <v>893</v>
      </c>
      <c r="C257" s="21" t="s">
        <v>1028</v>
      </c>
      <c r="D257" s="21" t="s">
        <v>434</v>
      </c>
      <c r="E257" s="21" t="s">
        <v>446</v>
      </c>
      <c r="F257" s="22" t="n">
        <v>2.5</v>
      </c>
      <c r="G257" s="23"/>
      <c r="H257" s="24"/>
      <c r="I257" s="25"/>
      <c r="J257" s="26" t="n">
        <f aca="false">IF(G257&lt;&gt;"",G257,F257)</f>
        <v>2.5</v>
      </c>
      <c r="K257" s="21" t="n">
        <v>1</v>
      </c>
      <c r="L257" s="21"/>
    </row>
    <row r="258" customFormat="false" ht="15" hidden="false" customHeight="false" outlineLevel="0" collapsed="false">
      <c r="A258" s="21" t="s">
        <v>1029</v>
      </c>
      <c r="B258" s="21" t="s">
        <v>893</v>
      </c>
      <c r="C258" s="21" t="s">
        <v>1030</v>
      </c>
      <c r="D258" s="21" t="s">
        <v>434</v>
      </c>
      <c r="E258" s="21" t="s">
        <v>446</v>
      </c>
      <c r="F258" s="22" t="n">
        <v>2</v>
      </c>
      <c r="G258" s="23"/>
      <c r="H258" s="24"/>
      <c r="I258" s="25"/>
      <c r="J258" s="26" t="n">
        <f aca="false">IF(G258&lt;&gt;"",G258,F258)</f>
        <v>2</v>
      </c>
      <c r="K258" s="21" t="n">
        <v>1</v>
      </c>
      <c r="L258" s="21"/>
    </row>
    <row r="259" customFormat="false" ht="15" hidden="false" customHeight="false" outlineLevel="0" collapsed="false">
      <c r="A259" s="21" t="s">
        <v>1031</v>
      </c>
      <c r="B259" s="21" t="s">
        <v>893</v>
      </c>
      <c r="C259" s="21" t="s">
        <v>1032</v>
      </c>
      <c r="D259" s="21" t="s">
        <v>434</v>
      </c>
      <c r="E259" s="21" t="s">
        <v>446</v>
      </c>
      <c r="F259" s="22" t="n">
        <v>3.2</v>
      </c>
      <c r="G259" s="23"/>
      <c r="H259" s="24"/>
      <c r="I259" s="25"/>
      <c r="J259" s="26" t="n">
        <f aca="false">IF(G259&lt;&gt;"",G259,F259)</f>
        <v>3.2</v>
      </c>
      <c r="K259" s="21" t="n">
        <v>1</v>
      </c>
      <c r="L259" s="21"/>
    </row>
    <row r="260" customFormat="false" ht="15" hidden="false" customHeight="false" outlineLevel="0" collapsed="false">
      <c r="A260" s="21" t="s">
        <v>1033</v>
      </c>
      <c r="B260" s="21" t="s">
        <v>893</v>
      </c>
      <c r="C260" s="21" t="s">
        <v>1034</v>
      </c>
      <c r="D260" s="21" t="s">
        <v>434</v>
      </c>
      <c r="E260" s="21" t="s">
        <v>446</v>
      </c>
      <c r="F260" s="22" t="n">
        <v>3</v>
      </c>
      <c r="G260" s="23"/>
      <c r="H260" s="24"/>
      <c r="I260" s="25"/>
      <c r="J260" s="26" t="n">
        <f aca="false">IF(G260&lt;&gt;"",G260,F260)</f>
        <v>3</v>
      </c>
      <c r="K260" s="21" t="n">
        <v>3</v>
      </c>
      <c r="L260" s="21"/>
    </row>
    <row r="261" customFormat="false" ht="15" hidden="false" customHeight="false" outlineLevel="0" collapsed="false">
      <c r="A261" s="21" t="s">
        <v>1035</v>
      </c>
      <c r="B261" s="21" t="s">
        <v>893</v>
      </c>
      <c r="C261" s="21" t="s">
        <v>1036</v>
      </c>
      <c r="D261" s="21" t="s">
        <v>434</v>
      </c>
      <c r="E261" s="21" t="s">
        <v>446</v>
      </c>
      <c r="F261" s="22" t="n">
        <v>2.4</v>
      </c>
      <c r="G261" s="23"/>
      <c r="H261" s="24"/>
      <c r="I261" s="25"/>
      <c r="J261" s="26" t="n">
        <f aca="false">IF(G261&lt;&gt;"",G261,F261)</f>
        <v>2.4</v>
      </c>
      <c r="K261" s="21" t="n">
        <v>3</v>
      </c>
      <c r="L261" s="21"/>
    </row>
    <row r="262" customFormat="false" ht="15" hidden="false" customHeight="false" outlineLevel="0" collapsed="false">
      <c r="A262" s="21" t="s">
        <v>1037</v>
      </c>
      <c r="B262" s="21" t="s">
        <v>893</v>
      </c>
      <c r="C262" s="21" t="s">
        <v>1038</v>
      </c>
      <c r="D262" s="21" t="s">
        <v>434</v>
      </c>
      <c r="E262" s="21" t="s">
        <v>1039</v>
      </c>
      <c r="F262" s="22" t="n">
        <v>6.5</v>
      </c>
      <c r="G262" s="23"/>
      <c r="H262" s="24"/>
      <c r="I262" s="25"/>
      <c r="J262" s="26" t="n">
        <f aca="false">IF(G262&lt;&gt;"",G262,F262)</f>
        <v>6.5</v>
      </c>
      <c r="K262" s="21" t="n">
        <v>1</v>
      </c>
      <c r="L262" s="21"/>
    </row>
    <row r="263" customFormat="false" ht="15" hidden="false" customHeight="false" outlineLevel="0" collapsed="false">
      <c r="A263" s="21" t="s">
        <v>1040</v>
      </c>
      <c r="B263" s="21" t="s">
        <v>893</v>
      </c>
      <c r="C263" s="21" t="s">
        <v>1041</v>
      </c>
      <c r="D263" s="21" t="s">
        <v>434</v>
      </c>
      <c r="E263" s="21" t="s">
        <v>438</v>
      </c>
      <c r="F263" s="22" t="n">
        <v>3.5</v>
      </c>
      <c r="G263" s="23"/>
      <c r="H263" s="24"/>
      <c r="I263" s="25"/>
      <c r="J263" s="26" t="n">
        <f aca="false">IF(G263&lt;&gt;"",G263,F263)</f>
        <v>3.5</v>
      </c>
      <c r="K263" s="21" t="n">
        <v>1</v>
      </c>
      <c r="L263" s="21"/>
    </row>
    <row r="264" customFormat="false" ht="15" hidden="false" customHeight="false" outlineLevel="0" collapsed="false">
      <c r="A264" s="21" t="s">
        <v>1042</v>
      </c>
      <c r="B264" s="21" t="s">
        <v>893</v>
      </c>
      <c r="C264" s="21" t="s">
        <v>1043</v>
      </c>
      <c r="D264" s="21" t="s">
        <v>434</v>
      </c>
      <c r="E264" s="21" t="s">
        <v>446</v>
      </c>
      <c r="F264" s="22" t="n">
        <v>3.2</v>
      </c>
      <c r="G264" s="23"/>
      <c r="H264" s="24"/>
      <c r="I264" s="25"/>
      <c r="J264" s="26" t="n">
        <f aca="false">IF(G264&lt;&gt;"",G264,F264)</f>
        <v>3.2</v>
      </c>
      <c r="K264" s="21" t="n">
        <v>1</v>
      </c>
      <c r="L264" s="21"/>
    </row>
    <row r="265" customFormat="false" ht="15" hidden="false" customHeight="false" outlineLevel="0" collapsed="false">
      <c r="A265" s="21" t="s">
        <v>1044</v>
      </c>
      <c r="B265" s="21" t="s">
        <v>893</v>
      </c>
      <c r="C265" s="21" t="s">
        <v>1045</v>
      </c>
      <c r="D265" s="21" t="s">
        <v>434</v>
      </c>
      <c r="E265" s="21" t="s">
        <v>1046</v>
      </c>
      <c r="F265" s="22" t="n">
        <v>9</v>
      </c>
      <c r="G265" s="23"/>
      <c r="H265" s="24"/>
      <c r="I265" s="25"/>
      <c r="J265" s="26" t="n">
        <f aca="false">IF(G265&lt;&gt;"",G265,F265)</f>
        <v>9</v>
      </c>
      <c r="K265" s="21" t="n">
        <v>1</v>
      </c>
      <c r="L265" s="21"/>
    </row>
    <row r="266" customFormat="false" ht="15" hidden="false" customHeight="false" outlineLevel="0" collapsed="false">
      <c r="A266" s="21" t="s">
        <v>1047</v>
      </c>
      <c r="B266" s="21" t="s">
        <v>1048</v>
      </c>
      <c r="C266" s="21" t="s">
        <v>1049</v>
      </c>
      <c r="D266" s="21" t="s">
        <v>434</v>
      </c>
      <c r="E266" s="21" t="s">
        <v>1050</v>
      </c>
      <c r="F266" s="22" t="n">
        <v>3</v>
      </c>
      <c r="G266" s="23"/>
      <c r="H266" s="24"/>
      <c r="I266" s="25"/>
      <c r="J266" s="26" t="n">
        <f aca="false">IF(G266&lt;&gt;"",G266,F266)</f>
        <v>3</v>
      </c>
      <c r="K266" s="21" t="n">
        <v>1</v>
      </c>
      <c r="L266" s="21"/>
    </row>
    <row r="267" customFormat="false" ht="15" hidden="false" customHeight="false" outlineLevel="0" collapsed="false">
      <c r="A267" s="21" t="s">
        <v>1051</v>
      </c>
      <c r="B267" s="21" t="s">
        <v>1048</v>
      </c>
      <c r="C267" s="21" t="s">
        <v>1052</v>
      </c>
      <c r="D267" s="21" t="s">
        <v>434</v>
      </c>
      <c r="E267" s="21" t="s">
        <v>774</v>
      </c>
      <c r="F267" s="22" t="n">
        <v>2.8</v>
      </c>
      <c r="G267" s="23"/>
      <c r="H267" s="24"/>
      <c r="I267" s="25"/>
      <c r="J267" s="26" t="n">
        <f aca="false">IF(G267&lt;&gt;"",G267,F267)</f>
        <v>2.8</v>
      </c>
      <c r="K267" s="21" t="n">
        <v>1</v>
      </c>
      <c r="L267" s="21"/>
    </row>
    <row r="268" customFormat="false" ht="15" hidden="false" customHeight="false" outlineLevel="0" collapsed="false">
      <c r="A268" s="21" t="s">
        <v>1053</v>
      </c>
      <c r="B268" s="21" t="s">
        <v>1048</v>
      </c>
      <c r="C268" s="21" t="s">
        <v>1054</v>
      </c>
      <c r="D268" s="21" t="s">
        <v>434</v>
      </c>
      <c r="E268" s="21" t="s">
        <v>1050</v>
      </c>
      <c r="F268" s="22" t="n">
        <v>9</v>
      </c>
      <c r="G268" s="23"/>
      <c r="H268" s="24"/>
      <c r="I268" s="25"/>
      <c r="J268" s="26" t="n">
        <f aca="false">IF(G268&lt;&gt;"",G268,F268)</f>
        <v>9</v>
      </c>
      <c r="K268" s="21" t="n">
        <v>9</v>
      </c>
      <c r="L268" s="21"/>
    </row>
    <row r="269" customFormat="false" ht="15" hidden="false" customHeight="false" outlineLevel="0" collapsed="false">
      <c r="A269" s="21" t="s">
        <v>1055</v>
      </c>
      <c r="B269" s="21" t="s">
        <v>1048</v>
      </c>
      <c r="C269" s="21" t="s">
        <v>1056</v>
      </c>
      <c r="D269" s="21" t="s">
        <v>434</v>
      </c>
      <c r="E269" s="21" t="s">
        <v>1050</v>
      </c>
      <c r="F269" s="22" t="n">
        <v>9</v>
      </c>
      <c r="G269" s="23"/>
      <c r="H269" s="24"/>
      <c r="I269" s="25"/>
      <c r="J269" s="26" t="n">
        <f aca="false">IF(G269&lt;&gt;"",G269,F269)</f>
        <v>9</v>
      </c>
      <c r="K269" s="21" t="n">
        <v>5</v>
      </c>
      <c r="L269" s="21"/>
    </row>
    <row r="270" customFormat="false" ht="15" hidden="false" customHeight="false" outlineLevel="0" collapsed="false">
      <c r="A270" s="21" t="s">
        <v>1057</v>
      </c>
      <c r="B270" s="21" t="s">
        <v>1048</v>
      </c>
      <c r="C270" s="21" t="s">
        <v>1058</v>
      </c>
      <c r="D270" s="21" t="s">
        <v>434</v>
      </c>
      <c r="E270" s="21" t="s">
        <v>1050</v>
      </c>
      <c r="F270" s="22" t="n">
        <v>7</v>
      </c>
      <c r="G270" s="23"/>
      <c r="H270" s="24"/>
      <c r="I270" s="25"/>
      <c r="J270" s="26" t="n">
        <f aca="false">IF(G270&lt;&gt;"",G270,F270)</f>
        <v>7</v>
      </c>
      <c r="K270" s="21" t="n">
        <v>3</v>
      </c>
      <c r="L270" s="21"/>
    </row>
    <row r="271" customFormat="false" ht="15" hidden="false" customHeight="false" outlineLevel="0" collapsed="false">
      <c r="A271" s="21" t="s">
        <v>1059</v>
      </c>
      <c r="B271" s="21" t="s">
        <v>1048</v>
      </c>
      <c r="C271" s="21" t="s">
        <v>1060</v>
      </c>
      <c r="D271" s="21" t="s">
        <v>434</v>
      </c>
      <c r="E271" s="21" t="s">
        <v>1061</v>
      </c>
      <c r="F271" s="22" t="n">
        <v>4.5</v>
      </c>
      <c r="G271" s="23"/>
      <c r="H271" s="24"/>
      <c r="I271" s="25"/>
      <c r="J271" s="26" t="n">
        <f aca="false">IF(G271&lt;&gt;"",G271,F271)</f>
        <v>4.5</v>
      </c>
      <c r="K271" s="21" t="n">
        <v>1</v>
      </c>
      <c r="L271" s="21"/>
    </row>
    <row r="272" customFormat="false" ht="15" hidden="false" customHeight="false" outlineLevel="0" collapsed="false">
      <c r="A272" s="21" t="s">
        <v>1062</v>
      </c>
      <c r="B272" s="21" t="s">
        <v>1048</v>
      </c>
      <c r="C272" s="21" t="s">
        <v>1063</v>
      </c>
      <c r="D272" s="21" t="s">
        <v>434</v>
      </c>
      <c r="E272" s="21" t="s">
        <v>1064</v>
      </c>
      <c r="F272" s="22" t="n">
        <v>2.2</v>
      </c>
      <c r="G272" s="23"/>
      <c r="H272" s="24"/>
      <c r="I272" s="25"/>
      <c r="J272" s="26" t="n">
        <f aca="false">IF(G272&lt;&gt;"",G272,F272)</f>
        <v>2.2</v>
      </c>
      <c r="K272" s="21" t="n">
        <v>1</v>
      </c>
      <c r="L272" s="21"/>
    </row>
    <row r="273" customFormat="false" ht="15" hidden="false" customHeight="false" outlineLevel="0" collapsed="false">
      <c r="A273" s="21" t="s">
        <v>1065</v>
      </c>
      <c r="B273" s="21" t="s">
        <v>1048</v>
      </c>
      <c r="C273" s="21" t="s">
        <v>1066</v>
      </c>
      <c r="D273" s="21" t="s">
        <v>434</v>
      </c>
      <c r="E273" s="21" t="s">
        <v>1050</v>
      </c>
      <c r="F273" s="22" t="n">
        <v>9</v>
      </c>
      <c r="G273" s="23"/>
      <c r="H273" s="24"/>
      <c r="I273" s="25"/>
      <c r="J273" s="26" t="n">
        <f aca="false">IF(G273&lt;&gt;"",G273,F273)</f>
        <v>9</v>
      </c>
      <c r="K273" s="21" t="n">
        <v>1</v>
      </c>
      <c r="L273" s="21"/>
    </row>
    <row r="274" customFormat="false" ht="15" hidden="false" customHeight="false" outlineLevel="0" collapsed="false">
      <c r="A274" s="21" t="s">
        <v>1067</v>
      </c>
      <c r="B274" s="21" t="s">
        <v>1048</v>
      </c>
      <c r="C274" s="21" t="s">
        <v>1068</v>
      </c>
      <c r="D274" s="21" t="s">
        <v>434</v>
      </c>
      <c r="E274" s="21" t="s">
        <v>574</v>
      </c>
      <c r="F274" s="22" t="n">
        <v>14</v>
      </c>
      <c r="G274" s="23"/>
      <c r="H274" s="24"/>
      <c r="I274" s="25"/>
      <c r="J274" s="26" t="n">
        <f aca="false">IF(G274&lt;&gt;"",G274,F274)</f>
        <v>14</v>
      </c>
      <c r="K274" s="21" t="n">
        <v>4</v>
      </c>
      <c r="L274" s="21"/>
    </row>
    <row r="275" customFormat="false" ht="15" hidden="false" customHeight="false" outlineLevel="0" collapsed="false">
      <c r="A275" s="21" t="s">
        <v>1069</v>
      </c>
      <c r="B275" s="21" t="s">
        <v>1048</v>
      </c>
      <c r="C275" s="21" t="s">
        <v>1070</v>
      </c>
      <c r="D275" s="21" t="s">
        <v>434</v>
      </c>
      <c r="E275" s="21" t="s">
        <v>774</v>
      </c>
      <c r="F275" s="22" t="n">
        <v>2</v>
      </c>
      <c r="G275" s="23"/>
      <c r="H275" s="24"/>
      <c r="I275" s="25"/>
      <c r="J275" s="26" t="n">
        <f aca="false">IF(G275&lt;&gt;"",G275,F275)</f>
        <v>2</v>
      </c>
      <c r="K275" s="21" t="n">
        <v>17</v>
      </c>
      <c r="L275" s="21"/>
    </row>
    <row r="276" customFormat="false" ht="15" hidden="false" customHeight="false" outlineLevel="0" collapsed="false">
      <c r="A276" s="21" t="s">
        <v>1071</v>
      </c>
      <c r="B276" s="21" t="s">
        <v>1048</v>
      </c>
      <c r="C276" s="21" t="s">
        <v>1072</v>
      </c>
      <c r="D276" s="21" t="s">
        <v>434</v>
      </c>
      <c r="E276" s="21" t="s">
        <v>574</v>
      </c>
      <c r="F276" s="22" t="n">
        <v>9.5</v>
      </c>
      <c r="G276" s="23"/>
      <c r="H276" s="24"/>
      <c r="I276" s="25"/>
      <c r="J276" s="26" t="n">
        <f aca="false">IF(G276&lt;&gt;"",G276,F276)</f>
        <v>9.5</v>
      </c>
      <c r="K276" s="21" t="n">
        <v>1</v>
      </c>
      <c r="L276" s="21"/>
    </row>
    <row r="277" customFormat="false" ht="15" hidden="false" customHeight="false" outlineLevel="0" collapsed="false">
      <c r="A277" s="21" t="s">
        <v>1073</v>
      </c>
      <c r="B277" s="21" t="s">
        <v>1048</v>
      </c>
      <c r="C277" s="21" t="s">
        <v>1074</v>
      </c>
      <c r="D277" s="21" t="s">
        <v>434</v>
      </c>
      <c r="E277" s="21" t="s">
        <v>574</v>
      </c>
      <c r="F277" s="22" t="n">
        <v>10</v>
      </c>
      <c r="G277" s="23"/>
      <c r="H277" s="24"/>
      <c r="I277" s="25"/>
      <c r="J277" s="26" t="n">
        <f aca="false">IF(G277&lt;&gt;"",G277,F277)</f>
        <v>10</v>
      </c>
      <c r="K277" s="21" t="n">
        <v>3</v>
      </c>
      <c r="L277" s="21"/>
    </row>
    <row r="278" customFormat="false" ht="15" hidden="false" customHeight="false" outlineLevel="0" collapsed="false">
      <c r="A278" s="21" t="s">
        <v>1075</v>
      </c>
      <c r="B278" s="21" t="s">
        <v>1048</v>
      </c>
      <c r="C278" s="21" t="s">
        <v>1076</v>
      </c>
      <c r="D278" s="21" t="s">
        <v>434</v>
      </c>
      <c r="E278" s="21" t="s">
        <v>1050</v>
      </c>
      <c r="F278" s="22" t="n">
        <v>11</v>
      </c>
      <c r="G278" s="23"/>
      <c r="H278" s="24"/>
      <c r="I278" s="25"/>
      <c r="J278" s="26" t="n">
        <f aca="false">IF(G278&lt;&gt;"",G278,F278)</f>
        <v>11</v>
      </c>
      <c r="K278" s="21" t="n">
        <v>1</v>
      </c>
      <c r="L278" s="21"/>
    </row>
    <row r="279" customFormat="false" ht="15" hidden="false" customHeight="false" outlineLevel="0" collapsed="false">
      <c r="A279" s="21" t="s">
        <v>1077</v>
      </c>
      <c r="B279" s="21" t="s">
        <v>1048</v>
      </c>
      <c r="C279" s="21" t="s">
        <v>1078</v>
      </c>
      <c r="D279" s="21" t="s">
        <v>434</v>
      </c>
      <c r="E279" s="21" t="s">
        <v>1079</v>
      </c>
      <c r="F279" s="22" t="n">
        <v>4.5</v>
      </c>
      <c r="G279" s="23"/>
      <c r="H279" s="24"/>
      <c r="I279" s="25"/>
      <c r="J279" s="26" t="n">
        <f aca="false">IF(G279&lt;&gt;"",G279,F279)</f>
        <v>4.5</v>
      </c>
      <c r="K279" s="21" t="n">
        <v>1</v>
      </c>
      <c r="L279" s="21"/>
    </row>
    <row r="280" customFormat="false" ht="15" hidden="false" customHeight="false" outlineLevel="0" collapsed="false">
      <c r="A280" s="21" t="s">
        <v>1080</v>
      </c>
      <c r="B280" s="21" t="s">
        <v>1048</v>
      </c>
      <c r="C280" s="21" t="s">
        <v>1081</v>
      </c>
      <c r="D280" s="21" t="s">
        <v>434</v>
      </c>
      <c r="E280" s="21" t="s">
        <v>1082</v>
      </c>
      <c r="F280" s="22" t="n">
        <v>0.85</v>
      </c>
      <c r="G280" s="23"/>
      <c r="H280" s="24"/>
      <c r="I280" s="25"/>
      <c r="J280" s="26" t="n">
        <f aca="false">IF(G280&lt;&gt;"",G280,F280)</f>
        <v>0.85</v>
      </c>
      <c r="K280" s="21" t="n">
        <v>28</v>
      </c>
      <c r="L280" s="21"/>
    </row>
    <row r="281" customFormat="false" ht="15" hidden="false" customHeight="false" outlineLevel="0" collapsed="false">
      <c r="A281" s="21" t="s">
        <v>1083</v>
      </c>
      <c r="B281" s="21" t="s">
        <v>1048</v>
      </c>
      <c r="C281" s="21" t="s">
        <v>1084</v>
      </c>
      <c r="D281" s="21" t="s">
        <v>434</v>
      </c>
      <c r="E281" s="21" t="s">
        <v>1085</v>
      </c>
      <c r="F281" s="22" t="n">
        <v>2.2</v>
      </c>
      <c r="G281" s="23"/>
      <c r="H281" s="24"/>
      <c r="I281" s="25"/>
      <c r="J281" s="26" t="n">
        <f aca="false">IF(G281&lt;&gt;"",G281,F281)</f>
        <v>2.2</v>
      </c>
      <c r="K281" s="21" t="n">
        <v>63</v>
      </c>
      <c r="L281" s="21"/>
    </row>
    <row r="282" customFormat="false" ht="15" hidden="false" customHeight="false" outlineLevel="0" collapsed="false">
      <c r="A282" s="21" t="s">
        <v>1086</v>
      </c>
      <c r="B282" s="21" t="s">
        <v>1048</v>
      </c>
      <c r="C282" s="21" t="s">
        <v>1087</v>
      </c>
      <c r="D282" s="21" t="s">
        <v>434</v>
      </c>
      <c r="E282" s="21" t="s">
        <v>774</v>
      </c>
      <c r="F282" s="22" t="n">
        <v>4.5</v>
      </c>
      <c r="G282" s="23"/>
      <c r="H282" s="24"/>
      <c r="I282" s="25"/>
      <c r="J282" s="26" t="n">
        <f aca="false">IF(G282&lt;&gt;"",G282,F282)</f>
        <v>4.5</v>
      </c>
      <c r="K282" s="21" t="n">
        <v>1</v>
      </c>
      <c r="L282" s="21"/>
    </row>
    <row r="283" customFormat="false" ht="15" hidden="false" customHeight="false" outlineLevel="0" collapsed="false">
      <c r="A283" s="21" t="s">
        <v>1088</v>
      </c>
      <c r="B283" s="21" t="s">
        <v>1048</v>
      </c>
      <c r="C283" s="21" t="s">
        <v>1089</v>
      </c>
      <c r="D283" s="21" t="s">
        <v>434</v>
      </c>
      <c r="E283" s="21" t="s">
        <v>1090</v>
      </c>
      <c r="F283" s="22" t="n">
        <v>3.5</v>
      </c>
      <c r="G283" s="23"/>
      <c r="H283" s="24"/>
      <c r="I283" s="25"/>
      <c r="J283" s="26" t="n">
        <f aca="false">IF(G283&lt;&gt;"",G283,F283)</f>
        <v>3.5</v>
      </c>
      <c r="K283" s="21" t="n">
        <v>3</v>
      </c>
      <c r="L283" s="21"/>
    </row>
    <row r="284" customFormat="false" ht="15" hidden="false" customHeight="false" outlineLevel="0" collapsed="false">
      <c r="A284" s="21" t="s">
        <v>1091</v>
      </c>
      <c r="B284" s="21" t="s">
        <v>1048</v>
      </c>
      <c r="C284" s="21" t="s">
        <v>1092</v>
      </c>
      <c r="D284" s="21" t="s">
        <v>434</v>
      </c>
      <c r="E284" s="21" t="s">
        <v>1050</v>
      </c>
      <c r="F284" s="22" t="n">
        <v>14</v>
      </c>
      <c r="G284" s="23"/>
      <c r="H284" s="24"/>
      <c r="I284" s="25"/>
      <c r="J284" s="26" t="n">
        <f aca="false">IF(G284&lt;&gt;"",G284,F284)</f>
        <v>14</v>
      </c>
      <c r="K284" s="21" t="n">
        <v>1</v>
      </c>
      <c r="L284" s="21"/>
    </row>
    <row r="285" customFormat="false" ht="15" hidden="false" customHeight="false" outlineLevel="0" collapsed="false">
      <c r="A285" s="21" t="s">
        <v>1093</v>
      </c>
      <c r="B285" s="21" t="s">
        <v>1048</v>
      </c>
      <c r="C285" s="21" t="s">
        <v>1094</v>
      </c>
      <c r="D285" s="21" t="s">
        <v>434</v>
      </c>
      <c r="E285" s="21" t="s">
        <v>1050</v>
      </c>
      <c r="F285" s="22" t="n">
        <v>11</v>
      </c>
      <c r="G285" s="23"/>
      <c r="H285" s="24"/>
      <c r="I285" s="25"/>
      <c r="J285" s="26" t="n">
        <f aca="false">IF(G285&lt;&gt;"",G285,F285)</f>
        <v>11</v>
      </c>
      <c r="K285" s="21" t="n">
        <v>6</v>
      </c>
      <c r="L285" s="21"/>
    </row>
    <row r="286" customFormat="false" ht="15" hidden="false" customHeight="false" outlineLevel="0" collapsed="false">
      <c r="A286" s="21" t="s">
        <v>1095</v>
      </c>
      <c r="B286" s="21" t="s">
        <v>1048</v>
      </c>
      <c r="C286" s="21" t="s">
        <v>1096</v>
      </c>
      <c r="D286" s="21" t="s">
        <v>434</v>
      </c>
      <c r="E286" s="21" t="s">
        <v>1050</v>
      </c>
      <c r="F286" s="22" t="n">
        <v>15</v>
      </c>
      <c r="G286" s="23"/>
      <c r="H286" s="24"/>
      <c r="I286" s="25"/>
      <c r="J286" s="26" t="n">
        <f aca="false">IF(G286&lt;&gt;"",G286,F286)</f>
        <v>15</v>
      </c>
      <c r="K286" s="21" t="n">
        <v>2</v>
      </c>
      <c r="L286" s="21"/>
    </row>
    <row r="287" customFormat="false" ht="15" hidden="false" customHeight="false" outlineLevel="0" collapsed="false">
      <c r="A287" s="21" t="s">
        <v>1097</v>
      </c>
      <c r="B287" s="21" t="s">
        <v>1048</v>
      </c>
      <c r="C287" s="21" t="s">
        <v>1098</v>
      </c>
      <c r="D287" s="21" t="s">
        <v>434</v>
      </c>
      <c r="E287" s="21" t="s">
        <v>1050</v>
      </c>
      <c r="F287" s="22" t="n">
        <v>12</v>
      </c>
      <c r="G287" s="23"/>
      <c r="H287" s="24"/>
      <c r="I287" s="25"/>
      <c r="J287" s="26" t="n">
        <f aca="false">IF(G287&lt;&gt;"",G287,F287)</f>
        <v>12</v>
      </c>
      <c r="K287" s="21" t="n">
        <v>21</v>
      </c>
      <c r="L287" s="21"/>
    </row>
    <row r="288" customFormat="false" ht="15" hidden="false" customHeight="false" outlineLevel="0" collapsed="false">
      <c r="A288" s="21" t="s">
        <v>1099</v>
      </c>
      <c r="B288" s="21" t="s">
        <v>1048</v>
      </c>
      <c r="C288" s="21" t="s">
        <v>1100</v>
      </c>
      <c r="D288" s="21" t="s">
        <v>434</v>
      </c>
      <c r="E288" s="21" t="s">
        <v>1050</v>
      </c>
      <c r="F288" s="22" t="n">
        <v>10</v>
      </c>
      <c r="G288" s="23"/>
      <c r="H288" s="24"/>
      <c r="I288" s="25"/>
      <c r="J288" s="26" t="n">
        <f aca="false">IF(G288&lt;&gt;"",G288,F288)</f>
        <v>10</v>
      </c>
      <c r="K288" s="21" t="n">
        <v>40</v>
      </c>
      <c r="L288" s="21"/>
    </row>
    <row r="289" customFormat="false" ht="15" hidden="false" customHeight="false" outlineLevel="0" collapsed="false">
      <c r="A289" s="21" t="s">
        <v>1101</v>
      </c>
      <c r="B289" s="21" t="s">
        <v>1048</v>
      </c>
      <c r="C289" s="21" t="s">
        <v>1102</v>
      </c>
      <c r="D289" s="21" t="s">
        <v>434</v>
      </c>
      <c r="E289" s="21" t="s">
        <v>709</v>
      </c>
      <c r="F289" s="22" t="n">
        <v>4.5</v>
      </c>
      <c r="G289" s="23"/>
      <c r="H289" s="24"/>
      <c r="I289" s="25"/>
      <c r="J289" s="26" t="n">
        <f aca="false">IF(G289&lt;&gt;"",G289,F289)</f>
        <v>4.5</v>
      </c>
      <c r="K289" s="21" t="n">
        <v>1</v>
      </c>
      <c r="L289" s="21"/>
    </row>
    <row r="290" customFormat="false" ht="15" hidden="false" customHeight="false" outlineLevel="0" collapsed="false">
      <c r="A290" s="21" t="s">
        <v>1103</v>
      </c>
      <c r="B290" s="21" t="s">
        <v>1048</v>
      </c>
      <c r="C290" s="21" t="s">
        <v>1104</v>
      </c>
      <c r="D290" s="21" t="s">
        <v>434</v>
      </c>
      <c r="E290" s="21" t="s">
        <v>1050</v>
      </c>
      <c r="F290" s="22" t="n">
        <v>12</v>
      </c>
      <c r="G290" s="23"/>
      <c r="H290" s="24"/>
      <c r="I290" s="25"/>
      <c r="J290" s="26" t="n">
        <f aca="false">IF(G290&lt;&gt;"",G290,F290)</f>
        <v>12</v>
      </c>
      <c r="K290" s="21" t="n">
        <v>9</v>
      </c>
      <c r="L290" s="21"/>
    </row>
    <row r="291" customFormat="false" ht="15" hidden="false" customHeight="false" outlineLevel="0" collapsed="false">
      <c r="A291" s="21" t="s">
        <v>1105</v>
      </c>
      <c r="B291" s="21" t="s">
        <v>1048</v>
      </c>
      <c r="C291" s="21" t="s">
        <v>1106</v>
      </c>
      <c r="D291" s="21" t="s">
        <v>434</v>
      </c>
      <c r="E291" s="21" t="s">
        <v>1107</v>
      </c>
      <c r="F291" s="22" t="n">
        <v>28</v>
      </c>
      <c r="G291" s="23"/>
      <c r="H291" s="24"/>
      <c r="I291" s="25"/>
      <c r="J291" s="26" t="n">
        <f aca="false">IF(G291&lt;&gt;"",G291,F291)</f>
        <v>28</v>
      </c>
      <c r="K291" s="21" t="n">
        <v>4</v>
      </c>
      <c r="L291" s="21"/>
    </row>
    <row r="292" customFormat="false" ht="15" hidden="false" customHeight="false" outlineLevel="0" collapsed="false">
      <c r="A292" s="21" t="s">
        <v>1108</v>
      </c>
      <c r="B292" s="21" t="s">
        <v>1048</v>
      </c>
      <c r="C292" s="21" t="s">
        <v>1109</v>
      </c>
      <c r="D292" s="21" t="s">
        <v>434</v>
      </c>
      <c r="E292" s="21" t="s">
        <v>574</v>
      </c>
      <c r="F292" s="22" t="n">
        <v>8</v>
      </c>
      <c r="G292" s="23"/>
      <c r="H292" s="24"/>
      <c r="I292" s="25"/>
      <c r="J292" s="26" t="n">
        <f aca="false">IF(G292&lt;&gt;"",G292,F292)</f>
        <v>8</v>
      </c>
      <c r="K292" s="21" t="n">
        <v>1</v>
      </c>
      <c r="L292" s="21"/>
    </row>
    <row r="293" customFormat="false" ht="15" hidden="false" customHeight="false" outlineLevel="0" collapsed="false">
      <c r="A293" s="21" t="s">
        <v>1110</v>
      </c>
      <c r="B293" s="21" t="s">
        <v>1048</v>
      </c>
      <c r="C293" s="21" t="s">
        <v>1111</v>
      </c>
      <c r="D293" s="21" t="s">
        <v>434</v>
      </c>
      <c r="E293" s="21" t="s">
        <v>574</v>
      </c>
      <c r="F293" s="22" t="n">
        <v>6</v>
      </c>
      <c r="G293" s="23"/>
      <c r="H293" s="24"/>
      <c r="I293" s="25"/>
      <c r="J293" s="26" t="n">
        <f aca="false">IF(G293&lt;&gt;"",G293,F293)</f>
        <v>6</v>
      </c>
      <c r="K293" s="21" t="n">
        <v>1</v>
      </c>
      <c r="L293" s="21"/>
    </row>
    <row r="294" customFormat="false" ht="15" hidden="false" customHeight="false" outlineLevel="0" collapsed="false">
      <c r="A294" s="21" t="s">
        <v>1112</v>
      </c>
      <c r="B294" s="21" t="s">
        <v>1048</v>
      </c>
      <c r="C294" s="21" t="s">
        <v>1113</v>
      </c>
      <c r="D294" s="21" t="s">
        <v>434</v>
      </c>
      <c r="E294" s="21" t="s">
        <v>1114</v>
      </c>
      <c r="F294" s="22" t="n">
        <v>6</v>
      </c>
      <c r="G294" s="23"/>
      <c r="H294" s="24"/>
      <c r="I294" s="25"/>
      <c r="J294" s="26" t="n">
        <f aca="false">IF(G294&lt;&gt;"",G294,F294)</f>
        <v>6</v>
      </c>
      <c r="K294" s="21" t="n">
        <v>4</v>
      </c>
      <c r="L294" s="21"/>
    </row>
    <row r="295" customFormat="false" ht="15" hidden="false" customHeight="false" outlineLevel="0" collapsed="false">
      <c r="A295" s="21" t="s">
        <v>1115</v>
      </c>
      <c r="B295" s="21" t="s">
        <v>1048</v>
      </c>
      <c r="C295" s="21" t="s">
        <v>1116</v>
      </c>
      <c r="D295" s="21" t="s">
        <v>434</v>
      </c>
      <c r="E295" s="21" t="s">
        <v>774</v>
      </c>
      <c r="F295" s="22" t="n">
        <v>6</v>
      </c>
      <c r="G295" s="23"/>
      <c r="H295" s="24"/>
      <c r="I295" s="25"/>
      <c r="J295" s="26" t="n">
        <f aca="false">IF(G295&lt;&gt;"",G295,F295)</f>
        <v>6</v>
      </c>
      <c r="K295" s="21" t="n">
        <v>2</v>
      </c>
      <c r="L295" s="21"/>
    </row>
    <row r="296" customFormat="false" ht="15" hidden="false" customHeight="false" outlineLevel="0" collapsed="false">
      <c r="A296" s="21" t="s">
        <v>1117</v>
      </c>
      <c r="B296" s="21" t="s">
        <v>1048</v>
      </c>
      <c r="C296" s="21" t="s">
        <v>1118</v>
      </c>
      <c r="D296" s="21" t="s">
        <v>434</v>
      </c>
      <c r="E296" s="21" t="s">
        <v>774</v>
      </c>
      <c r="F296" s="22" t="n">
        <v>4</v>
      </c>
      <c r="G296" s="23"/>
      <c r="H296" s="24"/>
      <c r="I296" s="25"/>
      <c r="J296" s="26" t="n">
        <f aca="false">IF(G296&lt;&gt;"",G296,F296)</f>
        <v>4</v>
      </c>
      <c r="K296" s="21" t="n">
        <v>1</v>
      </c>
      <c r="L296" s="21"/>
    </row>
    <row r="297" customFormat="false" ht="15" hidden="false" customHeight="false" outlineLevel="0" collapsed="false">
      <c r="A297" s="21" t="s">
        <v>1119</v>
      </c>
      <c r="B297" s="21" t="s">
        <v>1048</v>
      </c>
      <c r="C297" s="21" t="s">
        <v>1120</v>
      </c>
      <c r="D297" s="21" t="s">
        <v>682</v>
      </c>
      <c r="E297" s="21" t="s">
        <v>1121</v>
      </c>
      <c r="F297" s="22" t="n">
        <v>7.5</v>
      </c>
      <c r="G297" s="23"/>
      <c r="H297" s="24"/>
      <c r="I297" s="25"/>
      <c r="J297" s="26" t="n">
        <f aca="false">IF(G297&lt;&gt;"",G297,F297)</f>
        <v>7.5</v>
      </c>
      <c r="K297" s="21" t="n">
        <v>57</v>
      </c>
      <c r="L297" s="21"/>
    </row>
    <row r="298" customFormat="false" ht="15" hidden="false" customHeight="false" outlineLevel="0" collapsed="false">
      <c r="A298" s="21" t="s">
        <v>1122</v>
      </c>
      <c r="B298" s="21" t="s">
        <v>1048</v>
      </c>
      <c r="C298" s="21" t="s">
        <v>1123</v>
      </c>
      <c r="D298" s="21" t="s">
        <v>682</v>
      </c>
      <c r="E298" s="21" t="s">
        <v>1121</v>
      </c>
      <c r="F298" s="22" t="n">
        <v>2.3</v>
      </c>
      <c r="G298" s="23"/>
      <c r="H298" s="24"/>
      <c r="I298" s="25"/>
      <c r="J298" s="26" t="n">
        <f aca="false">IF(G298&lt;&gt;"",G298,F298)</f>
        <v>2.3</v>
      </c>
      <c r="K298" s="21" t="n">
        <v>1</v>
      </c>
      <c r="L298" s="21"/>
    </row>
    <row r="299" customFormat="false" ht="15" hidden="false" customHeight="false" outlineLevel="0" collapsed="false">
      <c r="A299" s="21" t="s">
        <v>1124</v>
      </c>
      <c r="B299" s="21" t="s">
        <v>1048</v>
      </c>
      <c r="C299" s="21" t="s">
        <v>1125</v>
      </c>
      <c r="D299" s="21" t="s">
        <v>682</v>
      </c>
      <c r="E299" s="21" t="s">
        <v>1126</v>
      </c>
      <c r="F299" s="22" t="n">
        <v>12</v>
      </c>
      <c r="G299" s="23"/>
      <c r="H299" s="24"/>
      <c r="I299" s="25"/>
      <c r="J299" s="26" t="n">
        <f aca="false">IF(G299&lt;&gt;"",G299,F299)</f>
        <v>12</v>
      </c>
      <c r="K299" s="21" t="n">
        <v>4</v>
      </c>
      <c r="L299" s="21"/>
    </row>
    <row r="300" customFormat="false" ht="15" hidden="false" customHeight="false" outlineLevel="0" collapsed="false">
      <c r="A300" s="21" t="s">
        <v>1127</v>
      </c>
      <c r="B300" s="21" t="s">
        <v>1048</v>
      </c>
      <c r="C300" s="21" t="s">
        <v>1128</v>
      </c>
      <c r="D300" s="21" t="s">
        <v>682</v>
      </c>
      <c r="E300" s="21" t="s">
        <v>1129</v>
      </c>
      <c r="F300" s="22" t="n">
        <v>11</v>
      </c>
      <c r="G300" s="23"/>
      <c r="H300" s="24"/>
      <c r="I300" s="25"/>
      <c r="J300" s="26" t="n">
        <f aca="false">IF(G300&lt;&gt;"",G300,F300)</f>
        <v>11</v>
      </c>
      <c r="K300" s="21" t="n">
        <v>2</v>
      </c>
      <c r="L300" s="21"/>
    </row>
    <row r="301" customFormat="false" ht="15" hidden="false" customHeight="false" outlineLevel="0" collapsed="false">
      <c r="A301" s="21" t="s">
        <v>1130</v>
      </c>
      <c r="B301" s="21" t="s">
        <v>1048</v>
      </c>
      <c r="C301" s="21" t="s">
        <v>1131</v>
      </c>
      <c r="D301" s="21" t="s">
        <v>682</v>
      </c>
      <c r="E301" s="21" t="s">
        <v>1121</v>
      </c>
      <c r="F301" s="22" t="n">
        <v>2.2</v>
      </c>
      <c r="G301" s="23"/>
      <c r="H301" s="24"/>
      <c r="I301" s="25"/>
      <c r="J301" s="26" t="n">
        <f aca="false">IF(G301&lt;&gt;"",G301,F301)</f>
        <v>2.2</v>
      </c>
      <c r="K301" s="21" t="n">
        <v>115</v>
      </c>
      <c r="L301" s="21"/>
    </row>
    <row r="302" customFormat="false" ht="15" hidden="false" customHeight="false" outlineLevel="0" collapsed="false">
      <c r="A302" s="21" t="s">
        <v>1132</v>
      </c>
      <c r="B302" s="21" t="s">
        <v>1048</v>
      </c>
      <c r="C302" s="21" t="s">
        <v>1133</v>
      </c>
      <c r="D302" s="21" t="s">
        <v>434</v>
      </c>
      <c r="E302" s="21" t="s">
        <v>774</v>
      </c>
      <c r="F302" s="22" t="n">
        <v>3.2</v>
      </c>
      <c r="G302" s="23"/>
      <c r="H302" s="24"/>
      <c r="I302" s="25"/>
      <c r="J302" s="26" t="n">
        <f aca="false">IF(G302&lt;&gt;"",G302,F302)</f>
        <v>3.2</v>
      </c>
      <c r="K302" s="21" t="n">
        <v>3</v>
      </c>
      <c r="L302" s="21"/>
    </row>
    <row r="303" customFormat="false" ht="15" hidden="false" customHeight="false" outlineLevel="0" collapsed="false">
      <c r="A303" s="21" t="s">
        <v>1134</v>
      </c>
      <c r="B303" s="21" t="s">
        <v>1048</v>
      </c>
      <c r="C303" s="21" t="s">
        <v>1135</v>
      </c>
      <c r="D303" s="21" t="s">
        <v>434</v>
      </c>
      <c r="E303" s="21" t="s">
        <v>774</v>
      </c>
      <c r="F303" s="22" t="n">
        <v>4.5</v>
      </c>
      <c r="G303" s="23"/>
      <c r="H303" s="24"/>
      <c r="I303" s="25"/>
      <c r="J303" s="26" t="n">
        <f aca="false">IF(G303&lt;&gt;"",G303,F303)</f>
        <v>4.5</v>
      </c>
      <c r="K303" s="21" t="n">
        <v>1</v>
      </c>
      <c r="L303" s="21"/>
    </row>
    <row r="304" customFormat="false" ht="15" hidden="false" customHeight="false" outlineLevel="0" collapsed="false">
      <c r="A304" s="21" t="s">
        <v>1136</v>
      </c>
      <c r="B304" s="21" t="s">
        <v>1048</v>
      </c>
      <c r="C304" s="21" t="s">
        <v>1137</v>
      </c>
      <c r="D304" s="21" t="s">
        <v>434</v>
      </c>
      <c r="E304" s="21" t="s">
        <v>514</v>
      </c>
      <c r="F304" s="22" t="n">
        <v>7.5</v>
      </c>
      <c r="G304" s="23"/>
      <c r="H304" s="24"/>
      <c r="I304" s="25"/>
      <c r="J304" s="26" t="n">
        <f aca="false">IF(G304&lt;&gt;"",G304,F304)</f>
        <v>7.5</v>
      </c>
      <c r="K304" s="21" t="n">
        <v>7</v>
      </c>
      <c r="L304" s="21"/>
    </row>
    <row r="305" customFormat="false" ht="15" hidden="false" customHeight="false" outlineLevel="0" collapsed="false">
      <c r="A305" s="21" t="s">
        <v>1138</v>
      </c>
      <c r="B305" s="21" t="s">
        <v>1048</v>
      </c>
      <c r="C305" s="21" t="s">
        <v>1139</v>
      </c>
      <c r="D305" s="21" t="s">
        <v>434</v>
      </c>
      <c r="E305" s="21" t="s">
        <v>821</v>
      </c>
      <c r="F305" s="22" t="n">
        <v>180</v>
      </c>
      <c r="G305" s="23"/>
      <c r="H305" s="24"/>
      <c r="I305" s="25"/>
      <c r="J305" s="26" t="n">
        <f aca="false">IF(G305&lt;&gt;"",G305,F305)</f>
        <v>180</v>
      </c>
      <c r="K305" s="21" t="n">
        <v>1</v>
      </c>
      <c r="L305" s="21"/>
    </row>
    <row r="306" customFormat="false" ht="15" hidden="false" customHeight="false" outlineLevel="0" collapsed="false">
      <c r="A306" s="21" t="s">
        <v>1140</v>
      </c>
      <c r="B306" s="21" t="s">
        <v>1048</v>
      </c>
      <c r="C306" s="21" t="s">
        <v>1141</v>
      </c>
      <c r="D306" s="21" t="s">
        <v>434</v>
      </c>
      <c r="E306" s="21" t="s">
        <v>438</v>
      </c>
      <c r="F306" s="22" t="n">
        <v>3.5</v>
      </c>
      <c r="G306" s="23"/>
      <c r="H306" s="24"/>
      <c r="I306" s="25"/>
      <c r="J306" s="26" t="n">
        <f aca="false">IF(G306&lt;&gt;"",G306,F306)</f>
        <v>3.5</v>
      </c>
      <c r="K306" s="21" t="n">
        <v>1</v>
      </c>
      <c r="L306" s="21"/>
    </row>
    <row r="307" customFormat="false" ht="15" hidden="false" customHeight="false" outlineLevel="0" collapsed="false">
      <c r="A307" s="21" t="s">
        <v>1142</v>
      </c>
      <c r="B307" s="21" t="s">
        <v>1048</v>
      </c>
      <c r="C307" s="21" t="s">
        <v>1143</v>
      </c>
      <c r="D307" s="21" t="s">
        <v>434</v>
      </c>
      <c r="E307" s="21" t="s">
        <v>774</v>
      </c>
      <c r="F307" s="22" t="n">
        <v>1.6</v>
      </c>
      <c r="G307" s="23"/>
      <c r="H307" s="24"/>
      <c r="I307" s="25"/>
      <c r="J307" s="26" t="n">
        <f aca="false">IF(G307&lt;&gt;"",G307,F307)</f>
        <v>1.6</v>
      </c>
      <c r="K307" s="21" t="n">
        <v>2</v>
      </c>
      <c r="L307" s="21"/>
    </row>
    <row r="308" customFormat="false" ht="15" hidden="false" customHeight="false" outlineLevel="0" collapsed="false">
      <c r="A308" s="21" t="s">
        <v>1144</v>
      </c>
      <c r="B308" s="21" t="s">
        <v>1048</v>
      </c>
      <c r="C308" s="21" t="s">
        <v>1145</v>
      </c>
      <c r="D308" s="21" t="s">
        <v>434</v>
      </c>
      <c r="E308" s="21" t="s">
        <v>774</v>
      </c>
      <c r="F308" s="22" t="n">
        <v>1.6</v>
      </c>
      <c r="G308" s="23"/>
      <c r="H308" s="24"/>
      <c r="I308" s="25"/>
      <c r="J308" s="26" t="n">
        <f aca="false">IF(G308&lt;&gt;"",G308,F308)</f>
        <v>1.6</v>
      </c>
      <c r="K308" s="21" t="n">
        <v>1</v>
      </c>
      <c r="L308" s="21"/>
    </row>
    <row r="309" customFormat="false" ht="15" hidden="false" customHeight="false" outlineLevel="0" collapsed="false">
      <c r="A309" s="21" t="s">
        <v>1146</v>
      </c>
      <c r="B309" s="21" t="s">
        <v>1048</v>
      </c>
      <c r="C309" s="21" t="s">
        <v>1147</v>
      </c>
      <c r="D309" s="21" t="s">
        <v>434</v>
      </c>
      <c r="E309" s="21" t="s">
        <v>774</v>
      </c>
      <c r="F309" s="22" t="n">
        <v>1.6</v>
      </c>
      <c r="G309" s="23"/>
      <c r="H309" s="24"/>
      <c r="I309" s="25"/>
      <c r="J309" s="26" t="n">
        <f aca="false">IF(G309&lt;&gt;"",G309,F309)</f>
        <v>1.6</v>
      </c>
      <c r="K309" s="21" t="n">
        <v>4</v>
      </c>
      <c r="L309" s="21"/>
    </row>
    <row r="310" customFormat="false" ht="15" hidden="false" customHeight="false" outlineLevel="0" collapsed="false">
      <c r="A310" s="21" t="s">
        <v>1148</v>
      </c>
      <c r="B310" s="21" t="s">
        <v>1048</v>
      </c>
      <c r="C310" s="21" t="s">
        <v>1149</v>
      </c>
      <c r="D310" s="21" t="s">
        <v>434</v>
      </c>
      <c r="E310" s="21" t="s">
        <v>774</v>
      </c>
      <c r="F310" s="22" t="n">
        <v>2.2</v>
      </c>
      <c r="G310" s="23"/>
      <c r="H310" s="24"/>
      <c r="I310" s="25"/>
      <c r="J310" s="26" t="n">
        <f aca="false">IF(G310&lt;&gt;"",G310,F310)</f>
        <v>2.2</v>
      </c>
      <c r="K310" s="21" t="n">
        <v>1</v>
      </c>
      <c r="L310" s="21"/>
    </row>
    <row r="311" customFormat="false" ht="15" hidden="false" customHeight="false" outlineLevel="0" collapsed="false">
      <c r="A311" s="21" t="s">
        <v>1150</v>
      </c>
      <c r="B311" s="21" t="s">
        <v>1048</v>
      </c>
      <c r="C311" s="21" t="s">
        <v>1151</v>
      </c>
      <c r="D311" s="21" t="s">
        <v>434</v>
      </c>
      <c r="E311" s="21" t="s">
        <v>774</v>
      </c>
      <c r="F311" s="22" t="n">
        <v>2.5</v>
      </c>
      <c r="G311" s="23"/>
      <c r="H311" s="24"/>
      <c r="I311" s="25"/>
      <c r="J311" s="26" t="n">
        <f aca="false">IF(G311&lt;&gt;"",G311,F311)</f>
        <v>2.5</v>
      </c>
      <c r="K311" s="21" t="n">
        <v>2</v>
      </c>
      <c r="L311" s="21"/>
    </row>
    <row r="312" customFormat="false" ht="15" hidden="false" customHeight="false" outlineLevel="0" collapsed="false">
      <c r="A312" s="21" t="s">
        <v>1152</v>
      </c>
      <c r="B312" s="21" t="s">
        <v>1048</v>
      </c>
      <c r="C312" s="21" t="s">
        <v>1153</v>
      </c>
      <c r="D312" s="21" t="s">
        <v>434</v>
      </c>
      <c r="E312" s="21" t="s">
        <v>821</v>
      </c>
      <c r="F312" s="22" t="n">
        <v>38</v>
      </c>
      <c r="G312" s="23"/>
      <c r="H312" s="24"/>
      <c r="I312" s="25"/>
      <c r="J312" s="26" t="n">
        <f aca="false">IF(G312&lt;&gt;"",G312,F312)</f>
        <v>38</v>
      </c>
      <c r="K312" s="21" t="n">
        <v>1</v>
      </c>
      <c r="L312" s="21"/>
    </row>
    <row r="313" customFormat="false" ht="15" hidden="false" customHeight="false" outlineLevel="0" collapsed="false">
      <c r="A313" s="21" t="s">
        <v>1154</v>
      </c>
      <c r="B313" s="21" t="s">
        <v>1048</v>
      </c>
      <c r="C313" s="21" t="s">
        <v>1155</v>
      </c>
      <c r="D313" s="21" t="s">
        <v>434</v>
      </c>
      <c r="E313" s="21" t="s">
        <v>438</v>
      </c>
      <c r="F313" s="22" t="n">
        <v>3</v>
      </c>
      <c r="G313" s="23"/>
      <c r="H313" s="24"/>
      <c r="I313" s="25"/>
      <c r="J313" s="26" t="n">
        <f aca="false">IF(G313&lt;&gt;"",G313,F313)</f>
        <v>3</v>
      </c>
      <c r="K313" s="21" t="n">
        <v>2</v>
      </c>
      <c r="L313" s="21"/>
    </row>
    <row r="314" customFormat="false" ht="15" hidden="false" customHeight="false" outlineLevel="0" collapsed="false">
      <c r="A314" s="21" t="s">
        <v>1156</v>
      </c>
      <c r="B314" s="21" t="s">
        <v>1048</v>
      </c>
      <c r="C314" s="21" t="s">
        <v>1157</v>
      </c>
      <c r="D314" s="21" t="s">
        <v>434</v>
      </c>
      <c r="E314" s="21" t="s">
        <v>774</v>
      </c>
      <c r="F314" s="22" t="n">
        <v>2.8</v>
      </c>
      <c r="G314" s="23"/>
      <c r="H314" s="24"/>
      <c r="I314" s="25"/>
      <c r="J314" s="26" t="n">
        <f aca="false">IF(G314&lt;&gt;"",G314,F314)</f>
        <v>2.8</v>
      </c>
      <c r="K314" s="21" t="n">
        <v>1</v>
      </c>
      <c r="L314" s="21"/>
    </row>
    <row r="315" customFormat="false" ht="15" hidden="false" customHeight="false" outlineLevel="0" collapsed="false">
      <c r="A315" s="21" t="s">
        <v>1158</v>
      </c>
      <c r="B315" s="21" t="s">
        <v>1048</v>
      </c>
      <c r="C315" s="21" t="s">
        <v>1159</v>
      </c>
      <c r="D315" s="21" t="s">
        <v>434</v>
      </c>
      <c r="E315" s="21" t="s">
        <v>774</v>
      </c>
      <c r="F315" s="22" t="n">
        <v>3.2</v>
      </c>
      <c r="G315" s="23"/>
      <c r="H315" s="24"/>
      <c r="I315" s="25"/>
      <c r="J315" s="26" t="n">
        <f aca="false">IF(G315&lt;&gt;"",G315,F315)</f>
        <v>3.2</v>
      </c>
      <c r="K315" s="21" t="n">
        <v>1</v>
      </c>
      <c r="L315" s="21"/>
    </row>
    <row r="316" customFormat="false" ht="15" hidden="false" customHeight="false" outlineLevel="0" collapsed="false">
      <c r="A316" s="21" t="s">
        <v>1160</v>
      </c>
      <c r="B316" s="21" t="s">
        <v>1048</v>
      </c>
      <c r="C316" s="21" t="s">
        <v>1161</v>
      </c>
      <c r="D316" s="21" t="s">
        <v>434</v>
      </c>
      <c r="E316" s="21" t="s">
        <v>1050</v>
      </c>
      <c r="F316" s="22" t="n">
        <v>6</v>
      </c>
      <c r="G316" s="23"/>
      <c r="H316" s="24"/>
      <c r="I316" s="25"/>
      <c r="J316" s="26" t="n">
        <f aca="false">IF(G316&lt;&gt;"",G316,F316)</f>
        <v>6</v>
      </c>
      <c r="K316" s="21" t="n">
        <v>2</v>
      </c>
      <c r="L316" s="21"/>
    </row>
    <row r="317" customFormat="false" ht="15" hidden="false" customHeight="false" outlineLevel="0" collapsed="false">
      <c r="A317" s="21" t="s">
        <v>1162</v>
      </c>
      <c r="B317" s="21" t="s">
        <v>1048</v>
      </c>
      <c r="C317" s="21" t="s">
        <v>1163</v>
      </c>
      <c r="D317" s="21" t="s">
        <v>434</v>
      </c>
      <c r="E317" s="21" t="s">
        <v>709</v>
      </c>
      <c r="F317" s="22" t="n">
        <v>14</v>
      </c>
      <c r="G317" s="23"/>
      <c r="H317" s="24"/>
      <c r="I317" s="25"/>
      <c r="J317" s="26" t="n">
        <f aca="false">IF(G317&lt;&gt;"",G317,F317)</f>
        <v>14</v>
      </c>
      <c r="K317" s="21" t="n">
        <v>1</v>
      </c>
      <c r="L317" s="21"/>
    </row>
    <row r="318" customFormat="false" ht="15" hidden="false" customHeight="false" outlineLevel="0" collapsed="false">
      <c r="A318" s="21" t="s">
        <v>1164</v>
      </c>
      <c r="B318" s="21" t="s">
        <v>1048</v>
      </c>
      <c r="C318" s="21" t="s">
        <v>1165</v>
      </c>
      <c r="D318" s="21" t="s">
        <v>434</v>
      </c>
      <c r="E318" s="21" t="s">
        <v>1064</v>
      </c>
      <c r="F318" s="22" t="n">
        <v>7.5</v>
      </c>
      <c r="G318" s="23"/>
      <c r="H318" s="24"/>
      <c r="I318" s="25"/>
      <c r="J318" s="26" t="n">
        <f aca="false">IF(G318&lt;&gt;"",G318,F318)</f>
        <v>7.5</v>
      </c>
      <c r="K318" s="21" t="n">
        <v>1</v>
      </c>
      <c r="L318" s="21"/>
    </row>
    <row r="319" customFormat="false" ht="15" hidden="false" customHeight="false" outlineLevel="0" collapsed="false">
      <c r="A319" s="21" t="s">
        <v>1166</v>
      </c>
      <c r="B319" s="21" t="s">
        <v>1048</v>
      </c>
      <c r="C319" s="21" t="s">
        <v>1167</v>
      </c>
      <c r="D319" s="21" t="s">
        <v>434</v>
      </c>
      <c r="E319" s="21" t="s">
        <v>574</v>
      </c>
      <c r="F319" s="22" t="n">
        <v>7</v>
      </c>
      <c r="G319" s="23"/>
      <c r="H319" s="24"/>
      <c r="I319" s="25"/>
      <c r="J319" s="26" t="n">
        <f aca="false">IF(G319&lt;&gt;"",G319,F319)</f>
        <v>7</v>
      </c>
      <c r="K319" s="21" t="n">
        <v>1</v>
      </c>
      <c r="L319" s="21"/>
    </row>
    <row r="320" customFormat="false" ht="15" hidden="false" customHeight="false" outlineLevel="0" collapsed="false">
      <c r="A320" s="21" t="s">
        <v>1168</v>
      </c>
      <c r="B320" s="21" t="s">
        <v>1048</v>
      </c>
      <c r="C320" s="21" t="s">
        <v>1169</v>
      </c>
      <c r="D320" s="21" t="s">
        <v>434</v>
      </c>
      <c r="E320" s="21" t="s">
        <v>574</v>
      </c>
      <c r="F320" s="22" t="n">
        <v>5</v>
      </c>
      <c r="G320" s="23"/>
      <c r="H320" s="24"/>
      <c r="I320" s="25"/>
      <c r="J320" s="26" t="n">
        <f aca="false">IF(G320&lt;&gt;"",G320,F320)</f>
        <v>5</v>
      </c>
      <c r="K320" s="21" t="n">
        <v>6</v>
      </c>
      <c r="L320" s="21"/>
    </row>
    <row r="321" customFormat="false" ht="15" hidden="false" customHeight="false" outlineLevel="0" collapsed="false">
      <c r="A321" s="21" t="s">
        <v>1170</v>
      </c>
      <c r="B321" s="21" t="s">
        <v>1048</v>
      </c>
      <c r="C321" s="21" t="s">
        <v>1171</v>
      </c>
      <c r="D321" s="21" t="s">
        <v>434</v>
      </c>
      <c r="E321" s="21" t="s">
        <v>774</v>
      </c>
      <c r="F321" s="22" t="n">
        <v>3.2</v>
      </c>
      <c r="G321" s="23"/>
      <c r="H321" s="24"/>
      <c r="I321" s="25"/>
      <c r="J321" s="26" t="n">
        <f aca="false">IF(G321&lt;&gt;"",G321,F321)</f>
        <v>3.2</v>
      </c>
      <c r="K321" s="21" t="n">
        <v>1</v>
      </c>
      <c r="L321" s="21"/>
    </row>
    <row r="322" customFormat="false" ht="15" hidden="false" customHeight="false" outlineLevel="0" collapsed="false">
      <c r="A322" s="21" t="s">
        <v>1172</v>
      </c>
      <c r="B322" s="21" t="s">
        <v>1048</v>
      </c>
      <c r="C322" s="21" t="s">
        <v>1173</v>
      </c>
      <c r="D322" s="21" t="s">
        <v>434</v>
      </c>
      <c r="E322" s="21" t="s">
        <v>774</v>
      </c>
      <c r="F322" s="22" t="n">
        <v>1.9</v>
      </c>
      <c r="G322" s="23"/>
      <c r="H322" s="24"/>
      <c r="I322" s="25"/>
      <c r="J322" s="26" t="n">
        <f aca="false">IF(G322&lt;&gt;"",G322,F322)</f>
        <v>1.9</v>
      </c>
      <c r="K322" s="21" t="n">
        <v>6</v>
      </c>
      <c r="L322" s="21"/>
    </row>
    <row r="323" customFormat="false" ht="15" hidden="false" customHeight="false" outlineLevel="0" collapsed="false">
      <c r="A323" s="21" t="s">
        <v>1174</v>
      </c>
      <c r="B323" s="21" t="s">
        <v>1048</v>
      </c>
      <c r="C323" s="21" t="s">
        <v>1175</v>
      </c>
      <c r="D323" s="21" t="s">
        <v>434</v>
      </c>
      <c r="E323" s="21" t="s">
        <v>774</v>
      </c>
      <c r="F323" s="22" t="n">
        <v>1.5</v>
      </c>
      <c r="G323" s="23"/>
      <c r="H323" s="24"/>
      <c r="I323" s="25"/>
      <c r="J323" s="26" t="n">
        <f aca="false">IF(G323&lt;&gt;"",G323,F323)</f>
        <v>1.5</v>
      </c>
      <c r="K323" s="21" t="n">
        <v>3</v>
      </c>
      <c r="L323" s="21"/>
    </row>
    <row r="324" customFormat="false" ht="15" hidden="false" customHeight="false" outlineLevel="0" collapsed="false">
      <c r="A324" s="21" t="s">
        <v>1176</v>
      </c>
      <c r="B324" s="21" t="s">
        <v>1048</v>
      </c>
      <c r="C324" s="21" t="s">
        <v>1177</v>
      </c>
      <c r="D324" s="21" t="s">
        <v>434</v>
      </c>
      <c r="E324" s="21" t="s">
        <v>1178</v>
      </c>
      <c r="F324" s="22" t="n">
        <v>7</v>
      </c>
      <c r="G324" s="23"/>
      <c r="H324" s="24"/>
      <c r="I324" s="25"/>
      <c r="J324" s="26" t="n">
        <f aca="false">IF(G324&lt;&gt;"",G324,F324)</f>
        <v>7</v>
      </c>
      <c r="K324" s="21" t="n">
        <v>1</v>
      </c>
      <c r="L324" s="21"/>
    </row>
    <row r="325" customFormat="false" ht="15" hidden="false" customHeight="false" outlineLevel="0" collapsed="false">
      <c r="A325" s="21" t="s">
        <v>1179</v>
      </c>
      <c r="B325" s="21" t="s">
        <v>1048</v>
      </c>
      <c r="C325" s="21" t="s">
        <v>1180</v>
      </c>
      <c r="D325" s="21" t="s">
        <v>434</v>
      </c>
      <c r="E325" s="21" t="s">
        <v>1064</v>
      </c>
      <c r="F325" s="22" t="n">
        <v>2</v>
      </c>
      <c r="G325" s="23"/>
      <c r="H325" s="24"/>
      <c r="I325" s="25"/>
      <c r="J325" s="26" t="n">
        <f aca="false">IF(G325&lt;&gt;"",G325,F325)</f>
        <v>2</v>
      </c>
      <c r="K325" s="21" t="n">
        <v>2</v>
      </c>
      <c r="L325" s="21"/>
    </row>
    <row r="326" customFormat="false" ht="15" hidden="false" customHeight="false" outlineLevel="0" collapsed="false">
      <c r="A326" s="21" t="s">
        <v>1181</v>
      </c>
      <c r="B326" s="21" t="s">
        <v>1048</v>
      </c>
      <c r="C326" s="21" t="s">
        <v>1182</v>
      </c>
      <c r="D326" s="21" t="s">
        <v>434</v>
      </c>
      <c r="E326" s="21" t="s">
        <v>1085</v>
      </c>
      <c r="F326" s="22" t="n">
        <v>1.3</v>
      </c>
      <c r="G326" s="23"/>
      <c r="H326" s="24"/>
      <c r="I326" s="25"/>
      <c r="J326" s="26" t="n">
        <f aca="false">IF(G326&lt;&gt;"",G326,F326)</f>
        <v>1.3</v>
      </c>
      <c r="K326" s="21" t="n">
        <v>34</v>
      </c>
      <c r="L326" s="21"/>
    </row>
    <row r="327" customFormat="false" ht="15" hidden="false" customHeight="false" outlineLevel="0" collapsed="false">
      <c r="A327" s="21" t="s">
        <v>1183</v>
      </c>
      <c r="B327" s="21" t="s">
        <v>1048</v>
      </c>
      <c r="C327" s="21" t="s">
        <v>1184</v>
      </c>
      <c r="D327" s="21" t="s">
        <v>434</v>
      </c>
      <c r="E327" s="21" t="s">
        <v>1050</v>
      </c>
      <c r="F327" s="22" t="n">
        <v>6.5</v>
      </c>
      <c r="G327" s="23"/>
      <c r="H327" s="24"/>
      <c r="I327" s="25"/>
      <c r="J327" s="26" t="n">
        <f aca="false">IF(G327&lt;&gt;"",G327,F327)</f>
        <v>6.5</v>
      </c>
      <c r="K327" s="21" t="n">
        <v>1</v>
      </c>
      <c r="L327" s="21"/>
    </row>
    <row r="328" customFormat="false" ht="15" hidden="false" customHeight="false" outlineLevel="0" collapsed="false">
      <c r="A328" s="21" t="s">
        <v>1185</v>
      </c>
      <c r="B328" s="21" t="s">
        <v>1186</v>
      </c>
      <c r="C328" s="21" t="s">
        <v>1187</v>
      </c>
      <c r="D328" s="21" t="s">
        <v>434</v>
      </c>
      <c r="E328" s="21" t="s">
        <v>1188</v>
      </c>
      <c r="F328" s="22" t="n">
        <v>22</v>
      </c>
      <c r="G328" s="23"/>
      <c r="H328" s="24"/>
      <c r="I328" s="25"/>
      <c r="J328" s="26" t="n">
        <f aca="false">IF(G328&lt;&gt;"",G328,F328)</f>
        <v>22</v>
      </c>
      <c r="K328" s="21" t="n">
        <v>1</v>
      </c>
      <c r="L328" s="21"/>
    </row>
    <row r="329" customFormat="false" ht="15" hidden="false" customHeight="false" outlineLevel="0" collapsed="false">
      <c r="A329" s="21" t="s">
        <v>1189</v>
      </c>
      <c r="B329" s="21" t="s">
        <v>1186</v>
      </c>
      <c r="C329" s="21" t="s">
        <v>1190</v>
      </c>
      <c r="D329" s="21" t="s">
        <v>682</v>
      </c>
      <c r="E329" s="21" t="s">
        <v>683</v>
      </c>
      <c r="F329" s="22" t="n">
        <v>6.5</v>
      </c>
      <c r="G329" s="23"/>
      <c r="H329" s="24"/>
      <c r="I329" s="25"/>
      <c r="J329" s="26" t="n">
        <f aca="false">IF(G329&lt;&gt;"",G329,F329)</f>
        <v>6.5</v>
      </c>
      <c r="K329" s="21" t="n">
        <v>0</v>
      </c>
      <c r="L329" s="21"/>
    </row>
    <row r="330" customFormat="false" ht="15" hidden="false" customHeight="false" outlineLevel="0" collapsed="false">
      <c r="A330" s="21" t="s">
        <v>1191</v>
      </c>
      <c r="B330" s="21" t="s">
        <v>1186</v>
      </c>
      <c r="C330" s="21" t="s">
        <v>1192</v>
      </c>
      <c r="D330" s="21" t="s">
        <v>434</v>
      </c>
      <c r="E330" s="21" t="s">
        <v>1193</v>
      </c>
      <c r="F330" s="22" t="n">
        <v>8</v>
      </c>
      <c r="G330" s="23"/>
      <c r="H330" s="24"/>
      <c r="I330" s="25"/>
      <c r="J330" s="26" t="n">
        <f aca="false">IF(G330&lt;&gt;"",G330,F330)</f>
        <v>8</v>
      </c>
      <c r="K330" s="21" t="n">
        <v>4</v>
      </c>
      <c r="L330" s="21"/>
    </row>
    <row r="331" customFormat="false" ht="15" hidden="false" customHeight="false" outlineLevel="0" collapsed="false">
      <c r="A331" s="21" t="s">
        <v>1194</v>
      </c>
      <c r="B331" s="21" t="s">
        <v>1186</v>
      </c>
      <c r="C331" s="21" t="s">
        <v>1195</v>
      </c>
      <c r="D331" s="21" t="s">
        <v>434</v>
      </c>
      <c r="E331" s="21" t="s">
        <v>574</v>
      </c>
      <c r="F331" s="22" t="n">
        <v>9.5</v>
      </c>
      <c r="G331" s="23"/>
      <c r="H331" s="24"/>
      <c r="I331" s="25"/>
      <c r="J331" s="26" t="n">
        <f aca="false">IF(G331&lt;&gt;"",G331,F331)</f>
        <v>9.5</v>
      </c>
      <c r="K331" s="21" t="n">
        <v>2</v>
      </c>
      <c r="L331" s="21"/>
    </row>
    <row r="332" customFormat="false" ht="15" hidden="false" customHeight="false" outlineLevel="0" collapsed="false">
      <c r="A332" s="21" t="s">
        <v>1196</v>
      </c>
      <c r="B332" s="21" t="s">
        <v>1186</v>
      </c>
      <c r="C332" s="21" t="s">
        <v>1197</v>
      </c>
      <c r="D332" s="21" t="s">
        <v>434</v>
      </c>
      <c r="E332" s="21" t="s">
        <v>1198</v>
      </c>
      <c r="F332" s="22" t="n">
        <v>2.6</v>
      </c>
      <c r="G332" s="23"/>
      <c r="H332" s="24"/>
      <c r="I332" s="25"/>
      <c r="J332" s="26" t="n">
        <f aca="false">IF(G332&lt;&gt;"",G332,F332)</f>
        <v>2.6</v>
      </c>
      <c r="K332" s="21" t="n">
        <v>33</v>
      </c>
      <c r="L332" s="21"/>
    </row>
    <row r="333" customFormat="false" ht="15" hidden="false" customHeight="false" outlineLevel="0" collapsed="false">
      <c r="A333" s="21" t="s">
        <v>1199</v>
      </c>
      <c r="B333" s="21" t="s">
        <v>1186</v>
      </c>
      <c r="C333" s="21" t="s">
        <v>1200</v>
      </c>
      <c r="D333" s="21" t="s">
        <v>434</v>
      </c>
      <c r="E333" s="21" t="s">
        <v>1193</v>
      </c>
      <c r="F333" s="22" t="n">
        <v>8.5</v>
      </c>
      <c r="G333" s="23"/>
      <c r="H333" s="24"/>
      <c r="I333" s="25"/>
      <c r="J333" s="26" t="n">
        <f aca="false">IF(G333&lt;&gt;"",G333,F333)</f>
        <v>8.5</v>
      </c>
      <c r="K333" s="21" t="n">
        <v>1</v>
      </c>
      <c r="L333" s="21"/>
    </row>
    <row r="334" customFormat="false" ht="15" hidden="false" customHeight="false" outlineLevel="0" collapsed="false">
      <c r="A334" s="21" t="s">
        <v>1201</v>
      </c>
      <c r="B334" s="21" t="s">
        <v>1186</v>
      </c>
      <c r="C334" s="21" t="s">
        <v>1202</v>
      </c>
      <c r="D334" s="21" t="s">
        <v>434</v>
      </c>
      <c r="E334" s="21" t="s">
        <v>1193</v>
      </c>
      <c r="F334" s="22" t="n">
        <v>10</v>
      </c>
      <c r="G334" s="23"/>
      <c r="H334" s="24"/>
      <c r="I334" s="25"/>
      <c r="J334" s="26" t="n">
        <f aca="false">IF(G334&lt;&gt;"",G334,F334)</f>
        <v>10</v>
      </c>
      <c r="K334" s="21" t="n">
        <v>1</v>
      </c>
      <c r="L334" s="21"/>
    </row>
    <row r="335" customFormat="false" ht="15" hidden="false" customHeight="false" outlineLevel="0" collapsed="false">
      <c r="A335" s="21" t="s">
        <v>1203</v>
      </c>
      <c r="B335" s="21" t="s">
        <v>1186</v>
      </c>
      <c r="C335" s="21" t="s">
        <v>1204</v>
      </c>
      <c r="D335" s="21" t="s">
        <v>434</v>
      </c>
      <c r="E335" s="21" t="s">
        <v>1205</v>
      </c>
      <c r="F335" s="22" t="n">
        <v>6</v>
      </c>
      <c r="G335" s="23"/>
      <c r="H335" s="24"/>
      <c r="I335" s="25"/>
      <c r="J335" s="26" t="n">
        <f aca="false">IF(G335&lt;&gt;"",G335,F335)</f>
        <v>6</v>
      </c>
      <c r="K335" s="21" t="n">
        <v>4</v>
      </c>
      <c r="L335" s="21"/>
    </row>
    <row r="336" customFormat="false" ht="15" hidden="false" customHeight="false" outlineLevel="0" collapsed="false">
      <c r="A336" s="21" t="s">
        <v>1206</v>
      </c>
      <c r="B336" s="21" t="s">
        <v>1186</v>
      </c>
      <c r="C336" s="21" t="s">
        <v>1207</v>
      </c>
      <c r="D336" s="21" t="s">
        <v>434</v>
      </c>
      <c r="E336" s="21" t="s">
        <v>1208</v>
      </c>
      <c r="F336" s="22" t="n">
        <v>6.5</v>
      </c>
      <c r="G336" s="23"/>
      <c r="H336" s="24"/>
      <c r="I336" s="25"/>
      <c r="J336" s="26" t="n">
        <f aca="false">IF(G336&lt;&gt;"",G336,F336)</f>
        <v>6.5</v>
      </c>
      <c r="K336" s="21" t="n">
        <v>18</v>
      </c>
      <c r="L336" s="21"/>
    </row>
    <row r="337" customFormat="false" ht="15" hidden="false" customHeight="false" outlineLevel="0" collapsed="false">
      <c r="A337" s="21" t="s">
        <v>1209</v>
      </c>
      <c r="B337" s="21" t="s">
        <v>1186</v>
      </c>
      <c r="C337" s="21" t="s">
        <v>1210</v>
      </c>
      <c r="D337" s="21" t="s">
        <v>434</v>
      </c>
      <c r="E337" s="21" t="s">
        <v>1211</v>
      </c>
      <c r="F337" s="22" t="n">
        <v>2</v>
      </c>
      <c r="G337" s="23"/>
      <c r="H337" s="24"/>
      <c r="I337" s="25"/>
      <c r="J337" s="26" t="n">
        <f aca="false">IF(G337&lt;&gt;"",G337,F337)</f>
        <v>2</v>
      </c>
      <c r="K337" s="21" t="n">
        <v>2</v>
      </c>
      <c r="L337" s="21"/>
    </row>
    <row r="338" customFormat="false" ht="15" hidden="false" customHeight="false" outlineLevel="0" collapsed="false">
      <c r="A338" s="21" t="s">
        <v>1212</v>
      </c>
      <c r="B338" s="21" t="s">
        <v>1186</v>
      </c>
      <c r="C338" s="21" t="s">
        <v>1213</v>
      </c>
      <c r="D338" s="21" t="s">
        <v>434</v>
      </c>
      <c r="E338" s="21" t="s">
        <v>1214</v>
      </c>
      <c r="F338" s="22" t="n">
        <v>3</v>
      </c>
      <c r="G338" s="23"/>
      <c r="H338" s="24"/>
      <c r="I338" s="25"/>
      <c r="J338" s="26" t="n">
        <f aca="false">IF(G338&lt;&gt;"",G338,F338)</f>
        <v>3</v>
      </c>
      <c r="K338" s="21" t="n">
        <v>4</v>
      </c>
      <c r="L338" s="21"/>
    </row>
    <row r="339" customFormat="false" ht="15" hidden="false" customHeight="false" outlineLevel="0" collapsed="false">
      <c r="A339" s="21" t="s">
        <v>1215</v>
      </c>
      <c r="B339" s="21" t="s">
        <v>1186</v>
      </c>
      <c r="C339" s="21" t="s">
        <v>1216</v>
      </c>
      <c r="D339" s="21" t="s">
        <v>682</v>
      </c>
      <c r="E339" s="21" t="s">
        <v>1217</v>
      </c>
      <c r="F339" s="22" t="n">
        <v>3.5</v>
      </c>
      <c r="G339" s="23"/>
      <c r="H339" s="24"/>
      <c r="I339" s="25"/>
      <c r="J339" s="26" t="n">
        <f aca="false">IF(G339&lt;&gt;"",G339,F339)</f>
        <v>3.5</v>
      </c>
      <c r="K339" s="21" t="n">
        <v>1</v>
      </c>
      <c r="L339" s="21"/>
    </row>
    <row r="340" customFormat="false" ht="15" hidden="false" customHeight="false" outlineLevel="0" collapsed="false">
      <c r="A340" s="21" t="s">
        <v>1218</v>
      </c>
      <c r="B340" s="21" t="s">
        <v>1186</v>
      </c>
      <c r="C340" s="21" t="s">
        <v>1219</v>
      </c>
      <c r="D340" s="21" t="s">
        <v>434</v>
      </c>
      <c r="E340" s="21" t="s">
        <v>1211</v>
      </c>
      <c r="F340" s="22" t="n">
        <v>2</v>
      </c>
      <c r="G340" s="23"/>
      <c r="H340" s="24"/>
      <c r="I340" s="25"/>
      <c r="J340" s="26" t="n">
        <f aca="false">IF(G340&lt;&gt;"",G340,F340)</f>
        <v>2</v>
      </c>
      <c r="K340" s="21" t="n">
        <v>2</v>
      </c>
      <c r="L340" s="21"/>
    </row>
    <row r="341" customFormat="false" ht="15" hidden="false" customHeight="false" outlineLevel="0" collapsed="false">
      <c r="A341" s="21" t="s">
        <v>1220</v>
      </c>
      <c r="B341" s="21" t="s">
        <v>1186</v>
      </c>
      <c r="C341" s="21" t="s">
        <v>1221</v>
      </c>
      <c r="D341" s="21" t="s">
        <v>434</v>
      </c>
      <c r="E341" s="21" t="s">
        <v>1211</v>
      </c>
      <c r="F341" s="22" t="n">
        <v>2.2</v>
      </c>
      <c r="G341" s="23"/>
      <c r="H341" s="24"/>
      <c r="I341" s="25"/>
      <c r="J341" s="26" t="n">
        <f aca="false">IF(G341&lt;&gt;"",G341,F341)</f>
        <v>2.2</v>
      </c>
      <c r="K341" s="21" t="n">
        <v>6</v>
      </c>
      <c r="L341" s="21"/>
    </row>
    <row r="342" customFormat="false" ht="15" hidden="false" customHeight="false" outlineLevel="0" collapsed="false">
      <c r="A342" s="21" t="s">
        <v>1222</v>
      </c>
      <c r="B342" s="21" t="s">
        <v>1186</v>
      </c>
      <c r="C342" s="21" t="s">
        <v>1223</v>
      </c>
      <c r="D342" s="21" t="s">
        <v>434</v>
      </c>
      <c r="E342" s="21" t="s">
        <v>514</v>
      </c>
      <c r="F342" s="22" t="n">
        <v>4.5</v>
      </c>
      <c r="G342" s="23"/>
      <c r="H342" s="24"/>
      <c r="I342" s="25"/>
      <c r="J342" s="26" t="n">
        <f aca="false">IF(G342&lt;&gt;"",G342,F342)</f>
        <v>4.5</v>
      </c>
      <c r="K342" s="21" t="n">
        <v>20</v>
      </c>
      <c r="L342" s="21"/>
    </row>
    <row r="343" customFormat="false" ht="15" hidden="false" customHeight="false" outlineLevel="0" collapsed="false">
      <c r="A343" s="21" t="s">
        <v>1224</v>
      </c>
      <c r="B343" s="21" t="s">
        <v>1186</v>
      </c>
      <c r="C343" s="21" t="s">
        <v>1225</v>
      </c>
      <c r="D343" s="21" t="s">
        <v>434</v>
      </c>
      <c r="E343" s="21" t="s">
        <v>1193</v>
      </c>
      <c r="F343" s="22" t="n">
        <v>6</v>
      </c>
      <c r="G343" s="23"/>
      <c r="H343" s="24"/>
      <c r="I343" s="25"/>
      <c r="J343" s="26" t="n">
        <f aca="false">IF(G343&lt;&gt;"",G343,F343)</f>
        <v>6</v>
      </c>
      <c r="K343" s="21" t="n">
        <v>1</v>
      </c>
      <c r="L343" s="21"/>
    </row>
    <row r="344" customFormat="false" ht="15" hidden="false" customHeight="false" outlineLevel="0" collapsed="false">
      <c r="A344" s="21" t="s">
        <v>1226</v>
      </c>
      <c r="B344" s="21" t="s">
        <v>1186</v>
      </c>
      <c r="C344" s="21" t="s">
        <v>1227</v>
      </c>
      <c r="D344" s="21" t="s">
        <v>434</v>
      </c>
      <c r="E344" s="21" t="s">
        <v>1198</v>
      </c>
      <c r="F344" s="22" t="n">
        <v>5.5</v>
      </c>
      <c r="G344" s="23"/>
      <c r="H344" s="24"/>
      <c r="I344" s="25"/>
      <c r="J344" s="26" t="n">
        <f aca="false">IF(G344&lt;&gt;"",G344,F344)</f>
        <v>5.5</v>
      </c>
      <c r="K344" s="21" t="n">
        <v>10</v>
      </c>
      <c r="L344" s="21"/>
    </row>
    <row r="345" customFormat="false" ht="15" hidden="false" customHeight="false" outlineLevel="0" collapsed="false">
      <c r="A345" s="21" t="s">
        <v>1228</v>
      </c>
      <c r="B345" s="21" t="s">
        <v>1186</v>
      </c>
      <c r="C345" s="21" t="s">
        <v>1229</v>
      </c>
      <c r="D345" s="21" t="s">
        <v>434</v>
      </c>
      <c r="E345" s="21" t="s">
        <v>709</v>
      </c>
      <c r="F345" s="22" t="n">
        <v>9</v>
      </c>
      <c r="G345" s="23"/>
      <c r="H345" s="24"/>
      <c r="I345" s="25"/>
      <c r="J345" s="26" t="n">
        <f aca="false">IF(G345&lt;&gt;"",G345,F345)</f>
        <v>9</v>
      </c>
      <c r="K345" s="21" t="n">
        <v>2</v>
      </c>
      <c r="L345" s="21"/>
    </row>
    <row r="346" customFormat="false" ht="15" hidden="false" customHeight="false" outlineLevel="0" collapsed="false">
      <c r="A346" s="21" t="s">
        <v>1230</v>
      </c>
      <c r="B346" s="21" t="s">
        <v>1186</v>
      </c>
      <c r="C346" s="21" t="s">
        <v>1231</v>
      </c>
      <c r="D346" s="21" t="s">
        <v>434</v>
      </c>
      <c r="E346" s="21" t="s">
        <v>1198</v>
      </c>
      <c r="F346" s="22" t="n">
        <v>9</v>
      </c>
      <c r="G346" s="23"/>
      <c r="H346" s="24"/>
      <c r="I346" s="25"/>
      <c r="J346" s="26" t="n">
        <f aca="false">IF(G346&lt;&gt;"",G346,F346)</f>
        <v>9</v>
      </c>
      <c r="K346" s="21" t="n">
        <v>1</v>
      </c>
      <c r="L346" s="21"/>
    </row>
    <row r="347" customFormat="false" ht="15" hidden="false" customHeight="false" outlineLevel="0" collapsed="false">
      <c r="A347" s="21" t="s">
        <v>1232</v>
      </c>
      <c r="B347" s="21" t="s">
        <v>1186</v>
      </c>
      <c r="C347" s="21" t="s">
        <v>1233</v>
      </c>
      <c r="D347" s="21" t="s">
        <v>434</v>
      </c>
      <c r="E347" s="21" t="s">
        <v>1211</v>
      </c>
      <c r="F347" s="22" t="n">
        <v>2</v>
      </c>
      <c r="G347" s="23"/>
      <c r="H347" s="24"/>
      <c r="I347" s="25"/>
      <c r="J347" s="26" t="n">
        <f aca="false">IF(G347&lt;&gt;"",G347,F347)</f>
        <v>2</v>
      </c>
      <c r="K347" s="21" t="n">
        <v>2</v>
      </c>
      <c r="L347" s="21"/>
    </row>
    <row r="348" customFormat="false" ht="15" hidden="false" customHeight="false" outlineLevel="0" collapsed="false">
      <c r="A348" s="21" t="s">
        <v>1234</v>
      </c>
      <c r="B348" s="21" t="s">
        <v>1186</v>
      </c>
      <c r="C348" s="21" t="s">
        <v>1235</v>
      </c>
      <c r="D348" s="21" t="s">
        <v>434</v>
      </c>
      <c r="E348" s="21" t="s">
        <v>1211</v>
      </c>
      <c r="F348" s="22" t="n">
        <v>1.5</v>
      </c>
      <c r="G348" s="23"/>
      <c r="H348" s="24"/>
      <c r="I348" s="25"/>
      <c r="J348" s="26" t="n">
        <f aca="false">IF(G348&lt;&gt;"",G348,F348)</f>
        <v>1.5</v>
      </c>
      <c r="K348" s="21" t="n">
        <v>23</v>
      </c>
      <c r="L348" s="21"/>
    </row>
    <row r="349" customFormat="false" ht="15" hidden="false" customHeight="false" outlineLevel="0" collapsed="false">
      <c r="A349" s="21" t="s">
        <v>1236</v>
      </c>
      <c r="B349" s="21" t="s">
        <v>1186</v>
      </c>
      <c r="C349" s="21" t="s">
        <v>1237</v>
      </c>
      <c r="D349" s="21" t="s">
        <v>434</v>
      </c>
      <c r="E349" s="21" t="s">
        <v>1211</v>
      </c>
      <c r="F349" s="22" t="n">
        <v>2.8</v>
      </c>
      <c r="G349" s="23"/>
      <c r="H349" s="24"/>
      <c r="I349" s="25"/>
      <c r="J349" s="26" t="n">
        <f aca="false">IF(G349&lt;&gt;"",G349,F349)</f>
        <v>2.8</v>
      </c>
      <c r="K349" s="21" t="n">
        <v>1</v>
      </c>
      <c r="L349" s="21"/>
    </row>
    <row r="350" customFormat="false" ht="15" hidden="false" customHeight="false" outlineLevel="0" collapsed="false">
      <c r="A350" s="21" t="s">
        <v>1238</v>
      </c>
      <c r="B350" s="21" t="s">
        <v>1186</v>
      </c>
      <c r="C350" s="21" t="s">
        <v>1239</v>
      </c>
      <c r="D350" s="21" t="s">
        <v>434</v>
      </c>
      <c r="E350" s="21" t="s">
        <v>1240</v>
      </c>
      <c r="F350" s="22" t="n">
        <v>9</v>
      </c>
      <c r="G350" s="23"/>
      <c r="H350" s="24"/>
      <c r="I350" s="25"/>
      <c r="J350" s="26" t="n">
        <f aca="false">IF(G350&lt;&gt;"",G350,F350)</f>
        <v>9</v>
      </c>
      <c r="K350" s="21" t="n">
        <v>1</v>
      </c>
      <c r="L350" s="21"/>
    </row>
    <row r="351" customFormat="false" ht="15" hidden="false" customHeight="false" outlineLevel="0" collapsed="false">
      <c r="A351" s="21" t="s">
        <v>1241</v>
      </c>
      <c r="B351" s="21" t="s">
        <v>1186</v>
      </c>
      <c r="C351" s="21" t="s">
        <v>1242</v>
      </c>
      <c r="D351" s="21" t="s">
        <v>682</v>
      </c>
      <c r="E351" s="21" t="s">
        <v>1126</v>
      </c>
      <c r="F351" s="22" t="n">
        <v>5</v>
      </c>
      <c r="G351" s="23"/>
      <c r="H351" s="24"/>
      <c r="I351" s="25"/>
      <c r="J351" s="26" t="n">
        <f aca="false">IF(G351&lt;&gt;"",G351,F351)</f>
        <v>5</v>
      </c>
      <c r="K351" s="21" t="n">
        <v>1</v>
      </c>
      <c r="L351" s="21"/>
    </row>
    <row r="352" customFormat="false" ht="15" hidden="false" customHeight="false" outlineLevel="0" collapsed="false">
      <c r="A352" s="21" t="s">
        <v>1243</v>
      </c>
      <c r="B352" s="21" t="s">
        <v>1186</v>
      </c>
      <c r="C352" s="21" t="s">
        <v>1244</v>
      </c>
      <c r="D352" s="21" t="s">
        <v>682</v>
      </c>
      <c r="E352" s="21" t="s">
        <v>1126</v>
      </c>
      <c r="F352" s="22" t="n">
        <v>5</v>
      </c>
      <c r="G352" s="23"/>
      <c r="H352" s="24"/>
      <c r="I352" s="25"/>
      <c r="J352" s="26" t="n">
        <f aca="false">IF(G352&lt;&gt;"",G352,F352)</f>
        <v>5</v>
      </c>
      <c r="K352" s="21" t="n">
        <v>2</v>
      </c>
      <c r="L352" s="21"/>
    </row>
    <row r="353" customFormat="false" ht="15" hidden="false" customHeight="false" outlineLevel="0" collapsed="false">
      <c r="A353" s="21" t="s">
        <v>1245</v>
      </c>
      <c r="B353" s="21" t="s">
        <v>1186</v>
      </c>
      <c r="C353" s="21" t="s">
        <v>1246</v>
      </c>
      <c r="D353" s="21" t="s">
        <v>682</v>
      </c>
      <c r="E353" s="21" t="s">
        <v>1126</v>
      </c>
      <c r="F353" s="22" t="n">
        <v>4</v>
      </c>
      <c r="G353" s="23"/>
      <c r="H353" s="24"/>
      <c r="I353" s="25"/>
      <c r="J353" s="26" t="n">
        <f aca="false">IF(G353&lt;&gt;"",G353,F353)</f>
        <v>4</v>
      </c>
      <c r="K353" s="21" t="n">
        <v>5</v>
      </c>
      <c r="L353" s="21"/>
    </row>
    <row r="354" customFormat="false" ht="15" hidden="false" customHeight="false" outlineLevel="0" collapsed="false">
      <c r="A354" s="21" t="s">
        <v>1247</v>
      </c>
      <c r="B354" s="21" t="s">
        <v>1186</v>
      </c>
      <c r="C354" s="21" t="s">
        <v>1248</v>
      </c>
      <c r="D354" s="21" t="s">
        <v>682</v>
      </c>
      <c r="E354" s="21" t="s">
        <v>683</v>
      </c>
      <c r="F354" s="22" t="n">
        <v>6</v>
      </c>
      <c r="G354" s="23"/>
      <c r="H354" s="24"/>
      <c r="I354" s="25"/>
      <c r="J354" s="26" t="n">
        <f aca="false">IF(G354&lt;&gt;"",G354,F354)</f>
        <v>6</v>
      </c>
      <c r="K354" s="21" t="n">
        <v>1</v>
      </c>
      <c r="L354" s="21"/>
    </row>
    <row r="355" customFormat="false" ht="15" hidden="false" customHeight="false" outlineLevel="0" collapsed="false">
      <c r="A355" s="21" t="s">
        <v>1249</v>
      </c>
      <c r="B355" s="21" t="s">
        <v>1186</v>
      </c>
      <c r="C355" s="21" t="s">
        <v>1250</v>
      </c>
      <c r="D355" s="21" t="s">
        <v>434</v>
      </c>
      <c r="E355" s="21" t="s">
        <v>1198</v>
      </c>
      <c r="F355" s="22" t="n">
        <v>9.5</v>
      </c>
      <c r="G355" s="23"/>
      <c r="H355" s="24"/>
      <c r="I355" s="25"/>
      <c r="J355" s="26" t="n">
        <f aca="false">IF(G355&lt;&gt;"",G355,F355)</f>
        <v>9.5</v>
      </c>
      <c r="K355" s="21" t="n">
        <v>4</v>
      </c>
      <c r="L355" s="21"/>
    </row>
    <row r="356" customFormat="false" ht="15" hidden="false" customHeight="false" outlineLevel="0" collapsed="false">
      <c r="A356" s="21" t="s">
        <v>1251</v>
      </c>
      <c r="B356" s="21" t="s">
        <v>1186</v>
      </c>
      <c r="C356" s="21" t="s">
        <v>1252</v>
      </c>
      <c r="D356" s="21" t="s">
        <v>434</v>
      </c>
      <c r="E356" s="21" t="s">
        <v>1211</v>
      </c>
      <c r="F356" s="22" t="n">
        <v>1.6</v>
      </c>
      <c r="G356" s="23"/>
      <c r="H356" s="24"/>
      <c r="I356" s="25"/>
      <c r="J356" s="26" t="n">
        <f aca="false">IF(G356&lt;&gt;"",G356,F356)</f>
        <v>1.6</v>
      </c>
      <c r="K356" s="21" t="n">
        <v>20</v>
      </c>
      <c r="L356" s="21"/>
    </row>
    <row r="357" customFormat="false" ht="15" hidden="false" customHeight="false" outlineLevel="0" collapsed="false">
      <c r="A357" s="21" t="s">
        <v>1253</v>
      </c>
      <c r="B357" s="21" t="s">
        <v>1254</v>
      </c>
      <c r="C357" s="21" t="s">
        <v>1255</v>
      </c>
      <c r="D357" s="21" t="s">
        <v>434</v>
      </c>
      <c r="E357" s="21" t="s">
        <v>1256</v>
      </c>
      <c r="F357" s="22" t="n">
        <v>20</v>
      </c>
      <c r="G357" s="23"/>
      <c r="H357" s="24"/>
      <c r="I357" s="25"/>
      <c r="J357" s="26" t="n">
        <f aca="false">IF(G357&lt;&gt;"",G357,F357)</f>
        <v>20</v>
      </c>
      <c r="K357" s="21" t="n">
        <v>1</v>
      </c>
      <c r="L357" s="21"/>
    </row>
    <row r="358" customFormat="false" ht="15" hidden="false" customHeight="false" outlineLevel="0" collapsed="false">
      <c r="A358" s="21" t="s">
        <v>1257</v>
      </c>
      <c r="B358" s="21" t="s">
        <v>1254</v>
      </c>
      <c r="C358" s="21" t="s">
        <v>1258</v>
      </c>
      <c r="D358" s="21" t="s">
        <v>434</v>
      </c>
      <c r="E358" s="21" t="s">
        <v>1259</v>
      </c>
      <c r="F358" s="22" t="n">
        <v>12</v>
      </c>
      <c r="G358" s="23"/>
      <c r="H358" s="24"/>
      <c r="I358" s="25"/>
      <c r="J358" s="26" t="n">
        <f aca="false">IF(G358&lt;&gt;"",G358,F358)</f>
        <v>12</v>
      </c>
      <c r="K358" s="21" t="n">
        <v>4</v>
      </c>
      <c r="L358" s="21"/>
    </row>
    <row r="359" customFormat="false" ht="15" hidden="false" customHeight="false" outlineLevel="0" collapsed="false">
      <c r="A359" s="21" t="s">
        <v>1260</v>
      </c>
      <c r="B359" s="21" t="s">
        <v>1254</v>
      </c>
      <c r="C359" s="21" t="s">
        <v>1261</v>
      </c>
      <c r="D359" s="21" t="s">
        <v>434</v>
      </c>
      <c r="E359" s="21" t="s">
        <v>1256</v>
      </c>
      <c r="F359" s="22" t="n">
        <v>25</v>
      </c>
      <c r="G359" s="23"/>
      <c r="H359" s="24"/>
      <c r="I359" s="25"/>
      <c r="J359" s="26" t="n">
        <f aca="false">IF(G359&lt;&gt;"",G359,F359)</f>
        <v>25</v>
      </c>
      <c r="K359" s="21" t="n">
        <v>4</v>
      </c>
      <c r="L359" s="21"/>
    </row>
    <row r="360" customFormat="false" ht="15" hidden="false" customHeight="false" outlineLevel="0" collapsed="false">
      <c r="A360" s="21" t="s">
        <v>1262</v>
      </c>
      <c r="B360" s="21" t="s">
        <v>1254</v>
      </c>
      <c r="C360" s="21" t="s">
        <v>1263</v>
      </c>
      <c r="D360" s="21" t="s">
        <v>434</v>
      </c>
      <c r="E360" s="21" t="s">
        <v>1259</v>
      </c>
      <c r="F360" s="22" t="n">
        <v>14</v>
      </c>
      <c r="G360" s="23"/>
      <c r="H360" s="24"/>
      <c r="I360" s="25"/>
      <c r="J360" s="26" t="n">
        <f aca="false">IF(G360&lt;&gt;"",G360,F360)</f>
        <v>14</v>
      </c>
      <c r="K360" s="21" t="n">
        <v>0</v>
      </c>
      <c r="L360" s="21"/>
    </row>
    <row r="361" customFormat="false" ht="15" hidden="false" customHeight="false" outlineLevel="0" collapsed="false">
      <c r="A361" s="21" t="s">
        <v>1264</v>
      </c>
      <c r="B361" s="21" t="s">
        <v>1254</v>
      </c>
      <c r="C361" s="21" t="s">
        <v>1265</v>
      </c>
      <c r="D361" s="21" t="s">
        <v>434</v>
      </c>
      <c r="E361" s="21" t="s">
        <v>1259</v>
      </c>
      <c r="F361" s="22" t="n">
        <v>12</v>
      </c>
      <c r="G361" s="23"/>
      <c r="H361" s="24"/>
      <c r="I361" s="25"/>
      <c r="J361" s="26" t="n">
        <f aca="false">IF(G361&lt;&gt;"",G361,F361)</f>
        <v>12</v>
      </c>
      <c r="K361" s="21" t="n">
        <v>5</v>
      </c>
      <c r="L361" s="21"/>
    </row>
    <row r="362" customFormat="false" ht="15" hidden="false" customHeight="false" outlineLevel="0" collapsed="false">
      <c r="A362" s="21" t="s">
        <v>1266</v>
      </c>
      <c r="B362" s="21" t="s">
        <v>1254</v>
      </c>
      <c r="C362" s="21" t="s">
        <v>1267</v>
      </c>
      <c r="D362" s="21" t="s">
        <v>434</v>
      </c>
      <c r="E362" s="21" t="s">
        <v>1259</v>
      </c>
      <c r="F362" s="22" t="n">
        <v>12</v>
      </c>
      <c r="G362" s="23"/>
      <c r="H362" s="24"/>
      <c r="I362" s="25"/>
      <c r="J362" s="26" t="n">
        <f aca="false">IF(G362&lt;&gt;"",G362,F362)</f>
        <v>12</v>
      </c>
      <c r="K362" s="21" t="n">
        <v>2</v>
      </c>
      <c r="L362" s="21"/>
    </row>
    <row r="363" customFormat="false" ht="15" hidden="false" customHeight="false" outlineLevel="0" collapsed="false">
      <c r="A363" s="21" t="s">
        <v>1268</v>
      </c>
      <c r="B363" s="21" t="s">
        <v>1254</v>
      </c>
      <c r="C363" s="21" t="s">
        <v>1269</v>
      </c>
      <c r="D363" s="21" t="s">
        <v>434</v>
      </c>
      <c r="E363" s="21" t="s">
        <v>1259</v>
      </c>
      <c r="F363" s="22" t="n">
        <v>13</v>
      </c>
      <c r="G363" s="23"/>
      <c r="H363" s="24"/>
      <c r="I363" s="25"/>
      <c r="J363" s="26" t="n">
        <f aca="false">IF(G363&lt;&gt;"",G363,F363)</f>
        <v>13</v>
      </c>
      <c r="K363" s="21" t="n">
        <v>5</v>
      </c>
      <c r="L363" s="21"/>
    </row>
    <row r="364" customFormat="false" ht="15" hidden="false" customHeight="false" outlineLevel="0" collapsed="false">
      <c r="A364" s="21" t="s">
        <v>1270</v>
      </c>
      <c r="B364" s="21" t="s">
        <v>1254</v>
      </c>
      <c r="C364" s="21" t="s">
        <v>1271</v>
      </c>
      <c r="D364" s="21" t="s">
        <v>434</v>
      </c>
      <c r="E364" s="21" t="s">
        <v>1259</v>
      </c>
      <c r="F364" s="22" t="n">
        <v>13</v>
      </c>
      <c r="G364" s="23"/>
      <c r="H364" s="24"/>
      <c r="I364" s="25"/>
      <c r="J364" s="26" t="n">
        <f aca="false">IF(G364&lt;&gt;"",G364,F364)</f>
        <v>13</v>
      </c>
      <c r="K364" s="21" t="n">
        <v>1</v>
      </c>
      <c r="L364" s="21"/>
    </row>
    <row r="365" customFormat="false" ht="15" hidden="false" customHeight="false" outlineLevel="0" collapsed="false">
      <c r="A365" s="21" t="s">
        <v>1272</v>
      </c>
      <c r="B365" s="21" t="s">
        <v>1254</v>
      </c>
      <c r="C365" s="21" t="s">
        <v>1273</v>
      </c>
      <c r="D365" s="21" t="s">
        <v>434</v>
      </c>
      <c r="E365" s="21" t="s">
        <v>1259</v>
      </c>
      <c r="F365" s="22" t="n">
        <v>18</v>
      </c>
      <c r="G365" s="23"/>
      <c r="H365" s="24"/>
      <c r="I365" s="25"/>
      <c r="J365" s="26" t="n">
        <f aca="false">IF(G365&lt;&gt;"",G365,F365)</f>
        <v>18</v>
      </c>
      <c r="K365" s="21" t="n">
        <v>1</v>
      </c>
      <c r="L365" s="21"/>
    </row>
    <row r="366" customFormat="false" ht="15" hidden="false" customHeight="false" outlineLevel="0" collapsed="false">
      <c r="A366" s="21" t="s">
        <v>1274</v>
      </c>
      <c r="B366" s="21" t="s">
        <v>1254</v>
      </c>
      <c r="C366" s="21" t="s">
        <v>1275</v>
      </c>
      <c r="D366" s="21" t="s">
        <v>682</v>
      </c>
      <c r="E366" s="21" t="s">
        <v>1276</v>
      </c>
      <c r="F366" s="22" t="n">
        <v>28</v>
      </c>
      <c r="G366" s="23"/>
      <c r="H366" s="24"/>
      <c r="I366" s="25"/>
      <c r="J366" s="26" t="n">
        <f aca="false">IF(G366&lt;&gt;"",G366,F366)</f>
        <v>28</v>
      </c>
      <c r="K366" s="21" t="n">
        <v>5</v>
      </c>
      <c r="L366" s="21"/>
    </row>
    <row r="367" customFormat="false" ht="15" hidden="false" customHeight="false" outlineLevel="0" collapsed="false">
      <c r="A367" s="21" t="s">
        <v>1277</v>
      </c>
      <c r="B367" s="21" t="s">
        <v>1254</v>
      </c>
      <c r="C367" s="21" t="s">
        <v>1278</v>
      </c>
      <c r="D367" s="21" t="s">
        <v>434</v>
      </c>
      <c r="E367" s="21" t="s">
        <v>1050</v>
      </c>
      <c r="F367" s="22" t="n">
        <v>8</v>
      </c>
      <c r="G367" s="23"/>
      <c r="H367" s="24"/>
      <c r="I367" s="25"/>
      <c r="J367" s="26" t="n">
        <f aca="false">IF(G367&lt;&gt;"",G367,F367)</f>
        <v>8</v>
      </c>
      <c r="K367" s="21" t="n">
        <v>2</v>
      </c>
      <c r="L367" s="21"/>
    </row>
    <row r="368" customFormat="false" ht="15" hidden="false" customHeight="false" outlineLevel="0" collapsed="false">
      <c r="A368" s="21" t="s">
        <v>1279</v>
      </c>
      <c r="B368" s="21" t="s">
        <v>1254</v>
      </c>
      <c r="C368" s="21" t="s">
        <v>1280</v>
      </c>
      <c r="D368" s="21" t="s">
        <v>434</v>
      </c>
      <c r="E368" s="21" t="s">
        <v>1259</v>
      </c>
      <c r="F368" s="22" t="n">
        <v>14</v>
      </c>
      <c r="G368" s="23"/>
      <c r="H368" s="24"/>
      <c r="I368" s="25"/>
      <c r="J368" s="26" t="n">
        <f aca="false">IF(G368&lt;&gt;"",G368,F368)</f>
        <v>14</v>
      </c>
      <c r="K368" s="21" t="n">
        <v>2</v>
      </c>
      <c r="L368" s="21"/>
    </row>
    <row r="369" customFormat="false" ht="15" hidden="false" customHeight="false" outlineLevel="0" collapsed="false">
      <c r="A369" s="21" t="s">
        <v>1281</v>
      </c>
      <c r="B369" s="21" t="s">
        <v>1254</v>
      </c>
      <c r="C369" s="21" t="s">
        <v>1282</v>
      </c>
      <c r="D369" s="21" t="s">
        <v>434</v>
      </c>
      <c r="E369" s="21" t="s">
        <v>1259</v>
      </c>
      <c r="F369" s="22" t="n">
        <v>12</v>
      </c>
      <c r="G369" s="23"/>
      <c r="H369" s="24"/>
      <c r="I369" s="25"/>
      <c r="J369" s="26" t="n">
        <f aca="false">IF(G369&lt;&gt;"",G369,F369)</f>
        <v>12</v>
      </c>
      <c r="K369" s="21" t="n">
        <v>1</v>
      </c>
      <c r="L369" s="21"/>
    </row>
    <row r="370" customFormat="false" ht="15" hidden="false" customHeight="false" outlineLevel="0" collapsed="false">
      <c r="A370" s="21" t="s">
        <v>1283</v>
      </c>
      <c r="B370" s="21" t="s">
        <v>1254</v>
      </c>
      <c r="C370" s="21" t="s">
        <v>1284</v>
      </c>
      <c r="D370" s="21" t="s">
        <v>434</v>
      </c>
      <c r="E370" s="21" t="s">
        <v>774</v>
      </c>
      <c r="F370" s="22" t="n">
        <v>0.8</v>
      </c>
      <c r="G370" s="23"/>
      <c r="H370" s="24"/>
      <c r="I370" s="25"/>
      <c r="J370" s="26" t="n">
        <f aca="false">IF(G370&lt;&gt;"",G370,F370)</f>
        <v>0.8</v>
      </c>
      <c r="K370" s="21" t="n">
        <v>6</v>
      </c>
      <c r="L370" s="21"/>
    </row>
    <row r="371" customFormat="false" ht="15" hidden="false" customHeight="false" outlineLevel="0" collapsed="false">
      <c r="A371" s="21" t="s">
        <v>1285</v>
      </c>
      <c r="B371" s="21" t="s">
        <v>1254</v>
      </c>
      <c r="C371" s="21" t="s">
        <v>1286</v>
      </c>
      <c r="D371" s="21" t="s">
        <v>434</v>
      </c>
      <c r="E371" s="21" t="s">
        <v>1287</v>
      </c>
      <c r="F371" s="22" t="n">
        <v>6</v>
      </c>
      <c r="G371" s="23"/>
      <c r="H371" s="24"/>
      <c r="I371" s="25"/>
      <c r="J371" s="26" t="n">
        <f aca="false">IF(G371&lt;&gt;"",G371,F371)</f>
        <v>6</v>
      </c>
      <c r="K371" s="21" t="n">
        <v>1</v>
      </c>
      <c r="L371" s="21"/>
    </row>
    <row r="372" customFormat="false" ht="15" hidden="false" customHeight="false" outlineLevel="0" collapsed="false">
      <c r="A372" s="21" t="s">
        <v>1288</v>
      </c>
      <c r="B372" s="21" t="s">
        <v>1254</v>
      </c>
      <c r="C372" s="21" t="s">
        <v>1289</v>
      </c>
      <c r="D372" s="21" t="s">
        <v>434</v>
      </c>
      <c r="E372" s="21" t="s">
        <v>1259</v>
      </c>
      <c r="F372" s="22" t="n">
        <v>11</v>
      </c>
      <c r="G372" s="23"/>
      <c r="H372" s="24"/>
      <c r="I372" s="25"/>
      <c r="J372" s="26" t="n">
        <f aca="false">IF(G372&lt;&gt;"",G372,F372)</f>
        <v>11</v>
      </c>
      <c r="K372" s="21" t="n">
        <v>21</v>
      </c>
      <c r="L372" s="21"/>
    </row>
    <row r="373" customFormat="false" ht="15" hidden="false" customHeight="false" outlineLevel="0" collapsed="false">
      <c r="A373" s="21" t="s">
        <v>1290</v>
      </c>
      <c r="B373" s="21" t="s">
        <v>1254</v>
      </c>
      <c r="C373" s="21" t="s">
        <v>1291</v>
      </c>
      <c r="D373" s="21" t="s">
        <v>682</v>
      </c>
      <c r="E373" s="21" t="s">
        <v>1292</v>
      </c>
      <c r="F373" s="22" t="n">
        <v>2.5</v>
      </c>
      <c r="G373" s="23"/>
      <c r="H373" s="24"/>
      <c r="I373" s="25"/>
      <c r="J373" s="26" t="n">
        <f aca="false">IF(G373&lt;&gt;"",G373,F373)</f>
        <v>2.5</v>
      </c>
      <c r="K373" s="21" t="n">
        <v>40</v>
      </c>
      <c r="L373" s="21"/>
    </row>
    <row r="374" customFormat="false" ht="15" hidden="false" customHeight="false" outlineLevel="0" collapsed="false">
      <c r="A374" s="21" t="s">
        <v>1293</v>
      </c>
      <c r="B374" s="21" t="s">
        <v>1254</v>
      </c>
      <c r="C374" s="21" t="s">
        <v>1294</v>
      </c>
      <c r="D374" s="21" t="s">
        <v>682</v>
      </c>
      <c r="E374" s="21" t="s">
        <v>1126</v>
      </c>
      <c r="F374" s="22" t="n">
        <v>4.5</v>
      </c>
      <c r="G374" s="23"/>
      <c r="H374" s="24"/>
      <c r="I374" s="25"/>
      <c r="J374" s="26" t="n">
        <f aca="false">IF(G374&lt;&gt;"",G374,F374)</f>
        <v>4.5</v>
      </c>
      <c r="K374" s="21" t="n">
        <v>1</v>
      </c>
      <c r="L374" s="21"/>
    </row>
    <row r="375" customFormat="false" ht="15" hidden="false" customHeight="false" outlineLevel="0" collapsed="false">
      <c r="A375" s="21" t="s">
        <v>1295</v>
      </c>
      <c r="B375" s="21" t="s">
        <v>1254</v>
      </c>
      <c r="C375" s="21" t="s">
        <v>1296</v>
      </c>
      <c r="D375" s="21" t="s">
        <v>434</v>
      </c>
      <c r="E375" s="21" t="s">
        <v>514</v>
      </c>
      <c r="F375" s="22" t="n">
        <v>9.5</v>
      </c>
      <c r="G375" s="23"/>
      <c r="H375" s="24"/>
      <c r="I375" s="25"/>
      <c r="J375" s="26" t="n">
        <f aca="false">IF(G375&lt;&gt;"",G375,F375)</f>
        <v>9.5</v>
      </c>
      <c r="K375" s="21" t="n">
        <v>2</v>
      </c>
      <c r="L375" s="21"/>
    </row>
    <row r="376" customFormat="false" ht="15" hidden="false" customHeight="false" outlineLevel="0" collapsed="false">
      <c r="A376" s="21" t="s">
        <v>1297</v>
      </c>
      <c r="B376" s="21" t="s">
        <v>1254</v>
      </c>
      <c r="C376" s="21" t="s">
        <v>1298</v>
      </c>
      <c r="D376" s="21" t="s">
        <v>434</v>
      </c>
      <c r="E376" s="21" t="s">
        <v>514</v>
      </c>
      <c r="F376" s="22" t="n">
        <v>9</v>
      </c>
      <c r="G376" s="23"/>
      <c r="H376" s="24"/>
      <c r="I376" s="25"/>
      <c r="J376" s="26" t="n">
        <f aca="false">IF(G376&lt;&gt;"",G376,F376)</f>
        <v>9</v>
      </c>
      <c r="K376" s="21" t="n">
        <v>58</v>
      </c>
      <c r="L376" s="21"/>
    </row>
    <row r="377" customFormat="false" ht="15" hidden="false" customHeight="false" outlineLevel="0" collapsed="false">
      <c r="A377" s="21" t="s">
        <v>1299</v>
      </c>
      <c r="B377" s="21" t="s">
        <v>1254</v>
      </c>
      <c r="C377" s="21" t="s">
        <v>1300</v>
      </c>
      <c r="D377" s="21" t="s">
        <v>434</v>
      </c>
      <c r="E377" s="21" t="s">
        <v>1301</v>
      </c>
      <c r="F377" s="22" t="n">
        <v>12</v>
      </c>
      <c r="G377" s="23"/>
      <c r="H377" s="24"/>
      <c r="I377" s="25"/>
      <c r="J377" s="26" t="n">
        <f aca="false">IF(G377&lt;&gt;"",G377,F377)</f>
        <v>12</v>
      </c>
      <c r="K377" s="21" t="n">
        <v>1</v>
      </c>
      <c r="L377" s="21" t="s">
        <v>1302</v>
      </c>
    </row>
    <row r="378" customFormat="false" ht="15" hidden="false" customHeight="false" outlineLevel="0" collapsed="false">
      <c r="A378" s="21" t="s">
        <v>1303</v>
      </c>
      <c r="B378" s="21" t="s">
        <v>1254</v>
      </c>
      <c r="C378" s="21" t="s">
        <v>1304</v>
      </c>
      <c r="D378" s="21" t="s">
        <v>434</v>
      </c>
      <c r="E378" s="21" t="s">
        <v>1259</v>
      </c>
      <c r="F378" s="22" t="n">
        <v>30</v>
      </c>
      <c r="G378" s="23"/>
      <c r="H378" s="24"/>
      <c r="I378" s="25"/>
      <c r="J378" s="26" t="n">
        <f aca="false">IF(G378&lt;&gt;"",G378,F378)</f>
        <v>30</v>
      </c>
      <c r="K378" s="21" t="n">
        <v>39</v>
      </c>
      <c r="L378" s="21"/>
    </row>
    <row r="379" customFormat="false" ht="15" hidden="false" customHeight="false" outlineLevel="0" collapsed="false">
      <c r="A379" s="21" t="s">
        <v>1305</v>
      </c>
      <c r="B379" s="21" t="s">
        <v>1254</v>
      </c>
      <c r="C379" s="21" t="s">
        <v>1306</v>
      </c>
      <c r="D379" s="21" t="s">
        <v>434</v>
      </c>
      <c r="E379" s="21" t="s">
        <v>1256</v>
      </c>
      <c r="F379" s="22" t="n">
        <v>14</v>
      </c>
      <c r="G379" s="23"/>
      <c r="H379" s="24"/>
      <c r="I379" s="25"/>
      <c r="J379" s="26" t="n">
        <f aca="false">IF(G379&lt;&gt;"",G379,F379)</f>
        <v>14</v>
      </c>
      <c r="K379" s="21" t="n">
        <v>5</v>
      </c>
      <c r="L379" s="21"/>
    </row>
    <row r="380" customFormat="false" ht="15" hidden="false" customHeight="false" outlineLevel="0" collapsed="false">
      <c r="A380" s="21" t="s">
        <v>1307</v>
      </c>
      <c r="B380" s="21" t="s">
        <v>1254</v>
      </c>
      <c r="C380" s="21" t="s">
        <v>1308</v>
      </c>
      <c r="D380" s="21" t="s">
        <v>434</v>
      </c>
      <c r="E380" s="21" t="s">
        <v>1259</v>
      </c>
      <c r="F380" s="22" t="n">
        <v>11</v>
      </c>
      <c r="G380" s="23"/>
      <c r="H380" s="24"/>
      <c r="I380" s="25"/>
      <c r="J380" s="26" t="n">
        <f aca="false">IF(G380&lt;&gt;"",G380,F380)</f>
        <v>11</v>
      </c>
      <c r="K380" s="21" t="n">
        <v>5</v>
      </c>
      <c r="L380" s="21"/>
    </row>
    <row r="381" customFormat="false" ht="15" hidden="false" customHeight="false" outlineLevel="0" collapsed="false">
      <c r="A381" s="21" t="s">
        <v>1309</v>
      </c>
      <c r="B381" s="21" t="s">
        <v>1254</v>
      </c>
      <c r="C381" s="21" t="s">
        <v>1310</v>
      </c>
      <c r="D381" s="21" t="s">
        <v>434</v>
      </c>
      <c r="E381" s="21" t="s">
        <v>1259</v>
      </c>
      <c r="F381" s="22" t="n">
        <v>14</v>
      </c>
      <c r="G381" s="23"/>
      <c r="H381" s="24"/>
      <c r="I381" s="25"/>
      <c r="J381" s="26" t="n">
        <f aca="false">IF(G381&lt;&gt;"",G381,F381)</f>
        <v>14</v>
      </c>
      <c r="K381" s="21" t="n">
        <v>1</v>
      </c>
      <c r="L381" s="21"/>
    </row>
    <row r="382" customFormat="false" ht="15" hidden="false" customHeight="false" outlineLevel="0" collapsed="false">
      <c r="A382" s="21" t="s">
        <v>1311</v>
      </c>
      <c r="B382" s="21" t="s">
        <v>1254</v>
      </c>
      <c r="C382" s="21" t="s">
        <v>1312</v>
      </c>
      <c r="D382" s="21" t="s">
        <v>434</v>
      </c>
      <c r="E382" s="21" t="s">
        <v>1256</v>
      </c>
      <c r="F382" s="22" t="n">
        <v>60</v>
      </c>
      <c r="G382" s="23"/>
      <c r="H382" s="24"/>
      <c r="I382" s="25"/>
      <c r="J382" s="26" t="n">
        <f aca="false">IF(G382&lt;&gt;"",G382,F382)</f>
        <v>60</v>
      </c>
      <c r="K382" s="21" t="n">
        <v>3</v>
      </c>
      <c r="L382" s="21"/>
    </row>
    <row r="383" customFormat="false" ht="15" hidden="false" customHeight="false" outlineLevel="0" collapsed="false">
      <c r="A383" s="21" t="s">
        <v>1313</v>
      </c>
      <c r="B383" s="21" t="s">
        <v>1254</v>
      </c>
      <c r="C383" s="21" t="s">
        <v>1314</v>
      </c>
      <c r="D383" s="21" t="s">
        <v>434</v>
      </c>
      <c r="E383" s="21" t="s">
        <v>1259</v>
      </c>
      <c r="F383" s="22" t="n">
        <v>12</v>
      </c>
      <c r="G383" s="23"/>
      <c r="H383" s="24"/>
      <c r="I383" s="25"/>
      <c r="J383" s="26" t="n">
        <f aca="false">IF(G383&lt;&gt;"",G383,F383)</f>
        <v>12</v>
      </c>
      <c r="K383" s="21" t="n">
        <v>1</v>
      </c>
      <c r="L383" s="21"/>
    </row>
    <row r="384" customFormat="false" ht="15" hidden="false" customHeight="false" outlineLevel="0" collapsed="false">
      <c r="A384" s="21" t="s">
        <v>1315</v>
      </c>
      <c r="B384" s="21" t="s">
        <v>1254</v>
      </c>
      <c r="C384" s="21" t="s">
        <v>1316</v>
      </c>
      <c r="D384" s="21" t="s">
        <v>434</v>
      </c>
      <c r="E384" s="21" t="s">
        <v>1050</v>
      </c>
      <c r="F384" s="22" t="n">
        <v>22</v>
      </c>
      <c r="G384" s="23"/>
      <c r="H384" s="24"/>
      <c r="I384" s="25"/>
      <c r="J384" s="26" t="n">
        <f aca="false">IF(G384&lt;&gt;"",G384,F384)</f>
        <v>22</v>
      </c>
      <c r="K384" s="21" t="n">
        <v>5</v>
      </c>
      <c r="L384" s="21"/>
    </row>
    <row r="385" customFormat="false" ht="15" hidden="false" customHeight="false" outlineLevel="0" collapsed="false">
      <c r="A385" s="21" t="s">
        <v>1317</v>
      </c>
      <c r="B385" s="21" t="s">
        <v>1254</v>
      </c>
      <c r="C385" s="21" t="s">
        <v>1318</v>
      </c>
      <c r="D385" s="21" t="s">
        <v>434</v>
      </c>
      <c r="E385" s="21" t="s">
        <v>1050</v>
      </c>
      <c r="F385" s="22" t="n">
        <v>18</v>
      </c>
      <c r="G385" s="23"/>
      <c r="H385" s="24"/>
      <c r="I385" s="25"/>
      <c r="J385" s="26" t="n">
        <f aca="false">IF(G385&lt;&gt;"",G385,F385)</f>
        <v>18</v>
      </c>
      <c r="K385" s="21" t="n">
        <v>3</v>
      </c>
      <c r="L385" s="21"/>
    </row>
    <row r="386" customFormat="false" ht="15" hidden="false" customHeight="false" outlineLevel="0" collapsed="false">
      <c r="A386" s="21" t="s">
        <v>1319</v>
      </c>
      <c r="B386" s="21" t="s">
        <v>1254</v>
      </c>
      <c r="C386" s="21" t="s">
        <v>1320</v>
      </c>
      <c r="D386" s="21" t="s">
        <v>434</v>
      </c>
      <c r="E386" s="21" t="s">
        <v>1050</v>
      </c>
      <c r="F386" s="22" t="n">
        <v>18</v>
      </c>
      <c r="G386" s="23"/>
      <c r="H386" s="24"/>
      <c r="I386" s="25"/>
      <c r="J386" s="26" t="n">
        <f aca="false">IF(G386&lt;&gt;"",G386,F386)</f>
        <v>18</v>
      </c>
      <c r="K386" s="21" t="n">
        <v>213</v>
      </c>
      <c r="L386" s="21"/>
    </row>
    <row r="387" customFormat="false" ht="15" hidden="false" customHeight="false" outlineLevel="0" collapsed="false">
      <c r="A387" s="21" t="s">
        <v>1321</v>
      </c>
      <c r="B387" s="21" t="s">
        <v>1254</v>
      </c>
      <c r="C387" s="21" t="s">
        <v>1322</v>
      </c>
      <c r="D387" s="21" t="s">
        <v>434</v>
      </c>
      <c r="E387" s="21" t="s">
        <v>1323</v>
      </c>
      <c r="F387" s="22" t="n">
        <v>25</v>
      </c>
      <c r="G387" s="23"/>
      <c r="H387" s="24"/>
      <c r="I387" s="25"/>
      <c r="J387" s="26" t="n">
        <f aca="false">IF(G387&lt;&gt;"",G387,F387)</f>
        <v>25</v>
      </c>
      <c r="K387" s="21" t="n">
        <v>1</v>
      </c>
      <c r="L387" s="21"/>
    </row>
    <row r="388" customFormat="false" ht="15" hidden="false" customHeight="false" outlineLevel="0" collapsed="false">
      <c r="A388" s="21" t="s">
        <v>1324</v>
      </c>
      <c r="B388" s="21" t="s">
        <v>1254</v>
      </c>
      <c r="C388" s="21" t="s">
        <v>1325</v>
      </c>
      <c r="D388" s="21" t="s">
        <v>434</v>
      </c>
      <c r="E388" s="21" t="s">
        <v>1259</v>
      </c>
      <c r="F388" s="22" t="n">
        <v>16</v>
      </c>
      <c r="G388" s="23"/>
      <c r="H388" s="24"/>
      <c r="I388" s="25"/>
      <c r="J388" s="26" t="n">
        <f aca="false">IF(G388&lt;&gt;"",G388,F388)</f>
        <v>16</v>
      </c>
      <c r="K388" s="21" t="n">
        <v>1</v>
      </c>
      <c r="L388" s="21"/>
    </row>
    <row r="389" customFormat="false" ht="15" hidden="false" customHeight="false" outlineLevel="0" collapsed="false">
      <c r="A389" s="21" t="s">
        <v>1326</v>
      </c>
      <c r="B389" s="21" t="s">
        <v>1254</v>
      </c>
      <c r="C389" s="21" t="s">
        <v>1327</v>
      </c>
      <c r="D389" s="21" t="s">
        <v>434</v>
      </c>
      <c r="E389" s="21" t="s">
        <v>1259</v>
      </c>
      <c r="F389" s="22" t="n">
        <v>14</v>
      </c>
      <c r="G389" s="23"/>
      <c r="H389" s="24"/>
      <c r="I389" s="25"/>
      <c r="J389" s="26" t="n">
        <f aca="false">IF(G389&lt;&gt;"",G389,F389)</f>
        <v>14</v>
      </c>
      <c r="K389" s="21" t="n">
        <v>3</v>
      </c>
      <c r="L389" s="21"/>
    </row>
    <row r="390" customFormat="false" ht="15" hidden="false" customHeight="false" outlineLevel="0" collapsed="false">
      <c r="A390" s="21" t="s">
        <v>1328</v>
      </c>
      <c r="B390" s="21" t="s">
        <v>1254</v>
      </c>
      <c r="C390" s="21" t="s">
        <v>1329</v>
      </c>
      <c r="D390" s="21" t="s">
        <v>434</v>
      </c>
      <c r="E390" s="21" t="s">
        <v>1330</v>
      </c>
      <c r="F390" s="22" t="n">
        <v>120</v>
      </c>
      <c r="G390" s="23"/>
      <c r="H390" s="24"/>
      <c r="I390" s="25"/>
      <c r="J390" s="26" t="n">
        <f aca="false">IF(G390&lt;&gt;"",G390,F390)</f>
        <v>120</v>
      </c>
      <c r="K390" s="21" t="n">
        <v>1</v>
      </c>
      <c r="L390" s="21"/>
    </row>
    <row r="391" customFormat="false" ht="15" hidden="false" customHeight="false" outlineLevel="0" collapsed="false">
      <c r="A391" s="21" t="s">
        <v>1331</v>
      </c>
      <c r="B391" s="21" t="s">
        <v>1254</v>
      </c>
      <c r="C391" s="21" t="s">
        <v>1332</v>
      </c>
      <c r="D391" s="21" t="s">
        <v>434</v>
      </c>
      <c r="E391" s="21" t="s">
        <v>1085</v>
      </c>
      <c r="F391" s="22" t="n">
        <v>2</v>
      </c>
      <c r="G391" s="23"/>
      <c r="H391" s="24"/>
      <c r="I391" s="25"/>
      <c r="J391" s="26" t="n">
        <f aca="false">IF(G391&lt;&gt;"",G391,F391)</f>
        <v>2</v>
      </c>
      <c r="K391" s="21" t="n">
        <v>246</v>
      </c>
      <c r="L391" s="21"/>
    </row>
    <row r="392" customFormat="false" ht="15" hidden="false" customHeight="false" outlineLevel="0" collapsed="false">
      <c r="A392" s="21" t="s">
        <v>1333</v>
      </c>
      <c r="B392" s="21" t="s">
        <v>1254</v>
      </c>
      <c r="C392" s="21" t="s">
        <v>1334</v>
      </c>
      <c r="D392" s="21" t="s">
        <v>434</v>
      </c>
      <c r="E392" s="21" t="s">
        <v>1256</v>
      </c>
      <c r="F392" s="22" t="n">
        <v>16</v>
      </c>
      <c r="G392" s="23"/>
      <c r="H392" s="24"/>
      <c r="I392" s="25"/>
      <c r="J392" s="26" t="n">
        <f aca="false">IF(G392&lt;&gt;"",G392,F392)</f>
        <v>16</v>
      </c>
      <c r="K392" s="21" t="n">
        <v>50</v>
      </c>
      <c r="L392" s="21"/>
    </row>
    <row r="393" customFormat="false" ht="15" hidden="false" customHeight="false" outlineLevel="0" collapsed="false">
      <c r="A393" s="21" t="s">
        <v>1335</v>
      </c>
      <c r="B393" s="21" t="s">
        <v>1254</v>
      </c>
      <c r="C393" s="21" t="s">
        <v>1336</v>
      </c>
      <c r="D393" s="21" t="s">
        <v>682</v>
      </c>
      <c r="E393" s="21" t="s">
        <v>1121</v>
      </c>
      <c r="F393" s="22" t="n">
        <v>3.5</v>
      </c>
      <c r="G393" s="23"/>
      <c r="H393" s="24"/>
      <c r="I393" s="25"/>
      <c r="J393" s="26" t="n">
        <f aca="false">IF(G393&lt;&gt;"",G393,F393)</f>
        <v>3.5</v>
      </c>
      <c r="K393" s="21" t="n">
        <v>5</v>
      </c>
      <c r="L393" s="21"/>
    </row>
    <row r="394" customFormat="false" ht="15" hidden="false" customHeight="false" outlineLevel="0" collapsed="false">
      <c r="A394" s="21" t="s">
        <v>1337</v>
      </c>
      <c r="B394" s="21" t="s">
        <v>1254</v>
      </c>
      <c r="C394" s="21" t="s">
        <v>1338</v>
      </c>
      <c r="D394" s="21" t="s">
        <v>682</v>
      </c>
      <c r="E394" s="21" t="s">
        <v>1121</v>
      </c>
      <c r="F394" s="22" t="n">
        <v>1</v>
      </c>
      <c r="G394" s="23"/>
      <c r="H394" s="24"/>
      <c r="I394" s="25"/>
      <c r="J394" s="26" t="n">
        <f aca="false">IF(G394&lt;&gt;"",G394,F394)</f>
        <v>1</v>
      </c>
      <c r="K394" s="21" t="n">
        <v>2</v>
      </c>
      <c r="L394" s="21"/>
    </row>
    <row r="395" customFormat="false" ht="15" hidden="false" customHeight="false" outlineLevel="0" collapsed="false">
      <c r="A395" s="21" t="s">
        <v>1339</v>
      </c>
      <c r="B395" s="21" t="s">
        <v>1254</v>
      </c>
      <c r="C395" s="21" t="s">
        <v>1340</v>
      </c>
      <c r="D395" s="21" t="s">
        <v>682</v>
      </c>
      <c r="E395" s="21" t="s">
        <v>1121</v>
      </c>
      <c r="F395" s="22" t="n">
        <v>1.8</v>
      </c>
      <c r="G395" s="23"/>
      <c r="H395" s="24"/>
      <c r="I395" s="25"/>
      <c r="J395" s="26" t="n">
        <f aca="false">IF(G395&lt;&gt;"",G395,F395)</f>
        <v>1.8</v>
      </c>
      <c r="K395" s="21" t="n">
        <v>10</v>
      </c>
      <c r="L395" s="21"/>
    </row>
    <row r="396" customFormat="false" ht="15" hidden="false" customHeight="false" outlineLevel="0" collapsed="false">
      <c r="A396" s="21" t="s">
        <v>1341</v>
      </c>
      <c r="B396" s="21" t="s">
        <v>1254</v>
      </c>
      <c r="C396" s="21" t="s">
        <v>1342</v>
      </c>
      <c r="D396" s="21" t="s">
        <v>682</v>
      </c>
      <c r="E396" s="21" t="s">
        <v>1126</v>
      </c>
      <c r="F396" s="22" t="n">
        <v>4</v>
      </c>
      <c r="G396" s="23"/>
      <c r="H396" s="24"/>
      <c r="I396" s="25"/>
      <c r="J396" s="26" t="n">
        <f aca="false">IF(G396&lt;&gt;"",G396,F396)</f>
        <v>4</v>
      </c>
      <c r="K396" s="21" t="n">
        <v>2</v>
      </c>
      <c r="L396" s="21"/>
    </row>
    <row r="397" customFormat="false" ht="15" hidden="false" customHeight="false" outlineLevel="0" collapsed="false">
      <c r="A397" s="21" t="s">
        <v>1343</v>
      </c>
      <c r="B397" s="21" t="s">
        <v>1254</v>
      </c>
      <c r="C397" s="21" t="s">
        <v>1344</v>
      </c>
      <c r="D397" s="21" t="s">
        <v>682</v>
      </c>
      <c r="E397" s="21" t="s">
        <v>1121</v>
      </c>
      <c r="F397" s="22" t="n">
        <v>1.6</v>
      </c>
      <c r="G397" s="23"/>
      <c r="H397" s="24"/>
      <c r="I397" s="25"/>
      <c r="J397" s="26" t="n">
        <f aca="false">IF(G397&lt;&gt;"",G397,F397)</f>
        <v>1.6</v>
      </c>
      <c r="K397" s="21" t="n">
        <v>3</v>
      </c>
      <c r="L397" s="21"/>
    </row>
    <row r="398" customFormat="false" ht="15" hidden="false" customHeight="false" outlineLevel="0" collapsed="false">
      <c r="A398" s="21" t="s">
        <v>1345</v>
      </c>
      <c r="B398" s="21" t="s">
        <v>1254</v>
      </c>
      <c r="C398" s="21" t="s">
        <v>1346</v>
      </c>
      <c r="D398" s="21" t="s">
        <v>682</v>
      </c>
      <c r="E398" s="21" t="s">
        <v>1121</v>
      </c>
      <c r="F398" s="22" t="n">
        <v>1.5</v>
      </c>
      <c r="G398" s="23"/>
      <c r="H398" s="24"/>
      <c r="I398" s="25"/>
      <c r="J398" s="26" t="n">
        <f aca="false">IF(G398&lt;&gt;"",G398,F398)</f>
        <v>1.5</v>
      </c>
      <c r="K398" s="21" t="n">
        <v>22</v>
      </c>
      <c r="L398" s="21"/>
    </row>
    <row r="399" customFormat="false" ht="15" hidden="false" customHeight="false" outlineLevel="0" collapsed="false">
      <c r="A399" s="21" t="s">
        <v>1347</v>
      </c>
      <c r="B399" s="21" t="s">
        <v>1254</v>
      </c>
      <c r="C399" s="21" t="s">
        <v>1348</v>
      </c>
      <c r="D399" s="21" t="s">
        <v>682</v>
      </c>
      <c r="E399" s="21" t="s">
        <v>1126</v>
      </c>
      <c r="F399" s="22" t="n">
        <v>6</v>
      </c>
      <c r="G399" s="23"/>
      <c r="H399" s="24"/>
      <c r="I399" s="25"/>
      <c r="J399" s="26" t="n">
        <f aca="false">IF(G399&lt;&gt;"",G399,F399)</f>
        <v>6</v>
      </c>
      <c r="K399" s="21" t="n">
        <v>2</v>
      </c>
      <c r="L399" s="21"/>
    </row>
    <row r="400" customFormat="false" ht="15" hidden="false" customHeight="false" outlineLevel="0" collapsed="false">
      <c r="A400" s="21" t="s">
        <v>1349</v>
      </c>
      <c r="B400" s="21" t="s">
        <v>1254</v>
      </c>
      <c r="C400" s="21" t="s">
        <v>1350</v>
      </c>
      <c r="D400" s="21" t="s">
        <v>682</v>
      </c>
      <c r="E400" s="21" t="s">
        <v>1121</v>
      </c>
      <c r="F400" s="22" t="n">
        <v>3</v>
      </c>
      <c r="G400" s="23"/>
      <c r="H400" s="24"/>
      <c r="I400" s="25"/>
      <c r="J400" s="26" t="n">
        <f aca="false">IF(G400&lt;&gt;"",G400,F400)</f>
        <v>3</v>
      </c>
      <c r="K400" s="21" t="n">
        <v>3</v>
      </c>
      <c r="L400" s="21"/>
    </row>
    <row r="401" customFormat="false" ht="15" hidden="false" customHeight="false" outlineLevel="0" collapsed="false">
      <c r="A401" s="21" t="s">
        <v>1351</v>
      </c>
      <c r="B401" s="21" t="s">
        <v>1352</v>
      </c>
      <c r="C401" s="21" t="s">
        <v>1353</v>
      </c>
      <c r="D401" s="21" t="s">
        <v>682</v>
      </c>
      <c r="E401" s="21" t="s">
        <v>1354</v>
      </c>
      <c r="F401" s="22" t="n">
        <v>3</v>
      </c>
      <c r="G401" s="23"/>
      <c r="H401" s="24"/>
      <c r="I401" s="25"/>
      <c r="J401" s="26" t="n">
        <f aca="false">IF(G401&lt;&gt;"",G401,F401)</f>
        <v>3</v>
      </c>
      <c r="K401" s="21" t="n">
        <v>1</v>
      </c>
      <c r="L401" s="21"/>
    </row>
    <row r="402" customFormat="false" ht="15" hidden="false" customHeight="false" outlineLevel="0" collapsed="false">
      <c r="A402" s="21" t="s">
        <v>1355</v>
      </c>
      <c r="B402" s="21" t="s">
        <v>1352</v>
      </c>
      <c r="C402" s="21" t="s">
        <v>1356</v>
      </c>
      <c r="D402" s="21" t="s">
        <v>682</v>
      </c>
      <c r="E402" s="21" t="s">
        <v>1126</v>
      </c>
      <c r="F402" s="22" t="n">
        <v>18</v>
      </c>
      <c r="G402" s="23"/>
      <c r="H402" s="24"/>
      <c r="I402" s="25"/>
      <c r="J402" s="26" t="n">
        <f aca="false">IF(G402&lt;&gt;"",G402,F402)</f>
        <v>18</v>
      </c>
      <c r="K402" s="21" t="n">
        <v>1</v>
      </c>
      <c r="L402" s="21"/>
    </row>
    <row r="403" customFormat="false" ht="15" hidden="false" customHeight="false" outlineLevel="0" collapsed="false">
      <c r="A403" s="21" t="s">
        <v>1357</v>
      </c>
      <c r="B403" s="21" t="s">
        <v>1352</v>
      </c>
      <c r="C403" s="21" t="s">
        <v>1358</v>
      </c>
      <c r="D403" s="21" t="s">
        <v>682</v>
      </c>
      <c r="E403" s="21" t="s">
        <v>1354</v>
      </c>
      <c r="F403" s="22" t="n">
        <v>2.5</v>
      </c>
      <c r="G403" s="23"/>
      <c r="H403" s="24"/>
      <c r="I403" s="25"/>
      <c r="J403" s="26" t="n">
        <f aca="false">IF(G403&lt;&gt;"",G403,F403)</f>
        <v>2.5</v>
      </c>
      <c r="K403" s="21" t="n">
        <v>3</v>
      </c>
      <c r="L403" s="21"/>
    </row>
    <row r="404" customFormat="false" ht="15" hidden="false" customHeight="false" outlineLevel="0" collapsed="false">
      <c r="A404" s="21" t="s">
        <v>1359</v>
      </c>
      <c r="B404" s="21" t="s">
        <v>1352</v>
      </c>
      <c r="C404" s="21" t="s">
        <v>1360</v>
      </c>
      <c r="D404" s="21" t="s">
        <v>682</v>
      </c>
      <c r="E404" s="21" t="s">
        <v>1126</v>
      </c>
      <c r="F404" s="22" t="n">
        <v>22</v>
      </c>
      <c r="G404" s="23"/>
      <c r="H404" s="24"/>
      <c r="I404" s="25"/>
      <c r="J404" s="26" t="n">
        <f aca="false">IF(G404&lt;&gt;"",G404,F404)</f>
        <v>22</v>
      </c>
      <c r="K404" s="21" t="n">
        <v>1</v>
      </c>
      <c r="L404" s="21"/>
    </row>
    <row r="405" customFormat="false" ht="15" hidden="false" customHeight="false" outlineLevel="0" collapsed="false">
      <c r="A405" s="21" t="s">
        <v>1361</v>
      </c>
      <c r="B405" s="21" t="s">
        <v>1352</v>
      </c>
      <c r="C405" s="21" t="s">
        <v>1362</v>
      </c>
      <c r="D405" s="21" t="s">
        <v>682</v>
      </c>
      <c r="E405" s="21" t="s">
        <v>1363</v>
      </c>
      <c r="F405" s="22" t="n">
        <v>1.5</v>
      </c>
      <c r="G405" s="23"/>
      <c r="H405" s="24"/>
      <c r="I405" s="25"/>
      <c r="J405" s="26" t="n">
        <f aca="false">IF(G405&lt;&gt;"",G405,F405)</f>
        <v>1.5</v>
      </c>
      <c r="K405" s="21" t="n">
        <v>1</v>
      </c>
      <c r="L405" s="21"/>
    </row>
    <row r="406" customFormat="false" ht="15" hidden="false" customHeight="false" outlineLevel="0" collapsed="false">
      <c r="A406" s="21" t="s">
        <v>1364</v>
      </c>
      <c r="B406" s="21" t="s">
        <v>1352</v>
      </c>
      <c r="C406" s="21" t="s">
        <v>1365</v>
      </c>
      <c r="D406" s="21" t="s">
        <v>682</v>
      </c>
      <c r="E406" s="21" t="s">
        <v>1126</v>
      </c>
      <c r="F406" s="22" t="n">
        <v>8</v>
      </c>
      <c r="G406" s="23"/>
      <c r="H406" s="24"/>
      <c r="I406" s="25"/>
      <c r="J406" s="26" t="n">
        <f aca="false">IF(G406&lt;&gt;"",G406,F406)</f>
        <v>8</v>
      </c>
      <c r="K406" s="21" t="n">
        <v>1</v>
      </c>
      <c r="L406" s="21"/>
    </row>
    <row r="407" customFormat="false" ht="15" hidden="false" customHeight="false" outlineLevel="0" collapsed="false">
      <c r="A407" s="21" t="s">
        <v>1366</v>
      </c>
      <c r="B407" s="21" t="s">
        <v>1352</v>
      </c>
      <c r="C407" s="21" t="s">
        <v>1367</v>
      </c>
      <c r="D407" s="21" t="s">
        <v>682</v>
      </c>
      <c r="E407" s="21" t="s">
        <v>1126</v>
      </c>
      <c r="F407" s="22" t="n">
        <v>9</v>
      </c>
      <c r="G407" s="23"/>
      <c r="H407" s="24"/>
      <c r="I407" s="25"/>
      <c r="J407" s="26" t="n">
        <f aca="false">IF(G407&lt;&gt;"",G407,F407)</f>
        <v>9</v>
      </c>
      <c r="K407" s="21" t="n">
        <v>1</v>
      </c>
      <c r="L407" s="21"/>
    </row>
    <row r="408" customFormat="false" ht="15" hidden="false" customHeight="false" outlineLevel="0" collapsed="false">
      <c r="A408" s="21" t="s">
        <v>1368</v>
      </c>
      <c r="B408" s="21" t="s">
        <v>1352</v>
      </c>
      <c r="C408" s="21" t="s">
        <v>1369</v>
      </c>
      <c r="D408" s="21" t="s">
        <v>682</v>
      </c>
      <c r="E408" s="21" t="s">
        <v>1126</v>
      </c>
      <c r="F408" s="22" t="n">
        <v>14</v>
      </c>
      <c r="G408" s="23"/>
      <c r="H408" s="24"/>
      <c r="I408" s="25"/>
      <c r="J408" s="26" t="n">
        <f aca="false">IF(G408&lt;&gt;"",G408,F408)</f>
        <v>14</v>
      </c>
      <c r="K408" s="21" t="n">
        <v>1</v>
      </c>
      <c r="L408" s="21"/>
    </row>
    <row r="409" customFormat="false" ht="15" hidden="false" customHeight="false" outlineLevel="0" collapsed="false">
      <c r="A409" s="21" t="s">
        <v>1370</v>
      </c>
      <c r="B409" s="21" t="s">
        <v>1352</v>
      </c>
      <c r="C409" s="21" t="s">
        <v>1371</v>
      </c>
      <c r="D409" s="21" t="s">
        <v>682</v>
      </c>
      <c r="E409" s="21" t="s">
        <v>1372</v>
      </c>
      <c r="F409" s="22" t="n">
        <v>3.5</v>
      </c>
      <c r="G409" s="23"/>
      <c r="H409" s="24"/>
      <c r="I409" s="25"/>
      <c r="J409" s="26" t="n">
        <f aca="false">IF(G409&lt;&gt;"",G409,F409)</f>
        <v>3.5</v>
      </c>
      <c r="K409" s="21" t="n">
        <v>1</v>
      </c>
      <c r="L409" s="21"/>
    </row>
    <row r="410" customFormat="false" ht="15" hidden="false" customHeight="false" outlineLevel="0" collapsed="false">
      <c r="A410" s="21" t="s">
        <v>1373</v>
      </c>
      <c r="B410" s="21" t="s">
        <v>1352</v>
      </c>
      <c r="C410" s="21" t="s">
        <v>1374</v>
      </c>
      <c r="D410" s="21" t="s">
        <v>682</v>
      </c>
      <c r="E410" s="21" t="s">
        <v>1375</v>
      </c>
      <c r="F410" s="22" t="n">
        <v>2</v>
      </c>
      <c r="G410" s="23"/>
      <c r="H410" s="24"/>
      <c r="I410" s="25"/>
      <c r="J410" s="26" t="n">
        <f aca="false">IF(G410&lt;&gt;"",G410,F410)</f>
        <v>2</v>
      </c>
      <c r="K410" s="21" t="n">
        <v>52</v>
      </c>
      <c r="L410" s="21"/>
    </row>
    <row r="411" customFormat="false" ht="15" hidden="false" customHeight="false" outlineLevel="0" collapsed="false">
      <c r="A411" s="21" t="s">
        <v>1376</v>
      </c>
      <c r="B411" s="21" t="s">
        <v>1352</v>
      </c>
      <c r="C411" s="21" t="s">
        <v>1377</v>
      </c>
      <c r="D411" s="21" t="s">
        <v>682</v>
      </c>
      <c r="E411" s="21" t="s">
        <v>1375</v>
      </c>
      <c r="F411" s="22" t="n">
        <v>2</v>
      </c>
      <c r="G411" s="23"/>
      <c r="H411" s="24"/>
      <c r="I411" s="25"/>
      <c r="J411" s="26" t="n">
        <f aca="false">IF(G411&lt;&gt;"",G411,F411)</f>
        <v>2</v>
      </c>
      <c r="K411" s="21" t="n">
        <v>6</v>
      </c>
      <c r="L411" s="21"/>
    </row>
    <row r="412" customFormat="false" ht="15" hidden="false" customHeight="false" outlineLevel="0" collapsed="false">
      <c r="A412" s="21" t="s">
        <v>1378</v>
      </c>
      <c r="B412" s="21" t="s">
        <v>1379</v>
      </c>
      <c r="C412" s="21" t="s">
        <v>1380</v>
      </c>
      <c r="D412" s="21" t="s">
        <v>434</v>
      </c>
      <c r="E412" s="21" t="s">
        <v>514</v>
      </c>
      <c r="F412" s="22" t="n">
        <v>2.5</v>
      </c>
      <c r="G412" s="23"/>
      <c r="H412" s="24"/>
      <c r="I412" s="25"/>
      <c r="J412" s="26" t="n">
        <f aca="false">IF(G412&lt;&gt;"",G412,F412)</f>
        <v>2.5</v>
      </c>
      <c r="K412" s="21" t="n">
        <v>1</v>
      </c>
      <c r="L412" s="21"/>
    </row>
    <row r="413" customFormat="false" ht="15" hidden="false" customHeight="false" outlineLevel="0" collapsed="false">
      <c r="A413" s="21" t="s">
        <v>1381</v>
      </c>
      <c r="B413" s="21" t="s">
        <v>1379</v>
      </c>
      <c r="C413" s="21" t="s">
        <v>1382</v>
      </c>
      <c r="D413" s="21" t="s">
        <v>434</v>
      </c>
      <c r="E413" s="21" t="s">
        <v>1383</v>
      </c>
      <c r="F413" s="22" t="n">
        <v>3.5</v>
      </c>
      <c r="G413" s="23"/>
      <c r="H413" s="24"/>
      <c r="I413" s="25"/>
      <c r="J413" s="26" t="n">
        <f aca="false">IF(G413&lt;&gt;"",G413,F413)</f>
        <v>3.5</v>
      </c>
      <c r="K413" s="21" t="n">
        <v>1</v>
      </c>
      <c r="L413" s="21"/>
    </row>
    <row r="414" customFormat="false" ht="15" hidden="false" customHeight="false" outlineLevel="0" collapsed="false">
      <c r="A414" s="21" t="s">
        <v>1384</v>
      </c>
      <c r="B414" s="21" t="s">
        <v>1379</v>
      </c>
      <c r="C414" s="21" t="s">
        <v>1385</v>
      </c>
      <c r="D414" s="21" t="s">
        <v>434</v>
      </c>
      <c r="E414" s="21" t="s">
        <v>435</v>
      </c>
      <c r="F414" s="22" t="n">
        <v>7.5</v>
      </c>
      <c r="G414" s="23"/>
      <c r="H414" s="24"/>
      <c r="I414" s="25"/>
      <c r="J414" s="26" t="n">
        <f aca="false">IF(G414&lt;&gt;"",G414,F414)</f>
        <v>7.5</v>
      </c>
      <c r="K414" s="21" t="n">
        <v>1</v>
      </c>
      <c r="L414" s="21"/>
    </row>
    <row r="415" customFormat="false" ht="15" hidden="false" customHeight="false" outlineLevel="0" collapsed="false">
      <c r="A415" s="21" t="s">
        <v>1386</v>
      </c>
      <c r="B415" s="21" t="s">
        <v>1379</v>
      </c>
      <c r="C415" s="21" t="s">
        <v>1387</v>
      </c>
      <c r="D415" s="21" t="s">
        <v>434</v>
      </c>
      <c r="E415" s="21" t="s">
        <v>435</v>
      </c>
      <c r="F415" s="22" t="n">
        <v>7</v>
      </c>
      <c r="G415" s="23"/>
      <c r="H415" s="24"/>
      <c r="I415" s="25"/>
      <c r="J415" s="26" t="n">
        <f aca="false">IF(G415&lt;&gt;"",G415,F415)</f>
        <v>7</v>
      </c>
      <c r="K415" s="21" t="n">
        <v>1</v>
      </c>
      <c r="L415" s="21"/>
    </row>
    <row r="416" customFormat="false" ht="15" hidden="false" customHeight="false" outlineLevel="0" collapsed="false">
      <c r="A416" s="21" t="s">
        <v>1388</v>
      </c>
      <c r="B416" s="21" t="s">
        <v>1379</v>
      </c>
      <c r="C416" s="21" t="s">
        <v>1389</v>
      </c>
      <c r="D416" s="21" t="s">
        <v>434</v>
      </c>
      <c r="E416" s="21" t="s">
        <v>435</v>
      </c>
      <c r="F416" s="22" t="n">
        <v>7</v>
      </c>
      <c r="G416" s="23"/>
      <c r="H416" s="24"/>
      <c r="I416" s="25"/>
      <c r="J416" s="26" t="n">
        <f aca="false">IF(G416&lt;&gt;"",G416,F416)</f>
        <v>7</v>
      </c>
      <c r="K416" s="21" t="n">
        <v>1</v>
      </c>
      <c r="L416" s="21"/>
    </row>
    <row r="417" customFormat="false" ht="15" hidden="false" customHeight="false" outlineLevel="0" collapsed="false">
      <c r="A417" s="21" t="s">
        <v>1390</v>
      </c>
      <c r="B417" s="21" t="s">
        <v>1379</v>
      </c>
      <c r="C417" s="21" t="s">
        <v>1391</v>
      </c>
      <c r="D417" s="21" t="s">
        <v>434</v>
      </c>
      <c r="E417" s="21" t="s">
        <v>1383</v>
      </c>
      <c r="F417" s="22" t="n">
        <v>5.5</v>
      </c>
      <c r="G417" s="23"/>
      <c r="H417" s="24"/>
      <c r="I417" s="25"/>
      <c r="J417" s="26" t="n">
        <f aca="false">IF(G417&lt;&gt;"",G417,F417)</f>
        <v>5.5</v>
      </c>
      <c r="K417" s="21" t="n">
        <v>1</v>
      </c>
      <c r="L417" s="21"/>
    </row>
    <row r="418" customFormat="false" ht="15" hidden="false" customHeight="false" outlineLevel="0" collapsed="false">
      <c r="A418" s="21" t="s">
        <v>1392</v>
      </c>
      <c r="B418" s="21" t="s">
        <v>1393</v>
      </c>
      <c r="C418" s="21" t="s">
        <v>1394</v>
      </c>
      <c r="D418" s="21" t="s">
        <v>434</v>
      </c>
      <c r="E418" s="21" t="s">
        <v>1395</v>
      </c>
      <c r="F418" s="22" t="n">
        <v>8.75</v>
      </c>
      <c r="G418" s="23"/>
      <c r="H418" s="24"/>
      <c r="I418" s="25"/>
      <c r="J418" s="26" t="n">
        <f aca="false">IF(G418&lt;&gt;"",G418,F418)</f>
        <v>8.75</v>
      </c>
      <c r="K418" s="21" t="n">
        <v>2</v>
      </c>
      <c r="L418" s="21" t="s">
        <v>1396</v>
      </c>
    </row>
    <row r="419" customFormat="false" ht="15" hidden="false" customHeight="false" outlineLevel="0" collapsed="false">
      <c r="A419" s="21" t="s">
        <v>1397</v>
      </c>
      <c r="B419" s="21" t="s">
        <v>1393</v>
      </c>
      <c r="C419" s="21" t="s">
        <v>1398</v>
      </c>
      <c r="D419" s="21" t="s">
        <v>434</v>
      </c>
      <c r="E419" s="21" t="s">
        <v>709</v>
      </c>
      <c r="F419" s="22" t="n">
        <v>8</v>
      </c>
      <c r="G419" s="23"/>
      <c r="H419" s="24"/>
      <c r="I419" s="25"/>
      <c r="J419" s="26" t="n">
        <f aca="false">IF(G419&lt;&gt;"",G419,F419)</f>
        <v>8</v>
      </c>
      <c r="K419" s="21" t="n">
        <v>1</v>
      </c>
      <c r="L419" s="21"/>
    </row>
    <row r="420" customFormat="false" ht="15" hidden="false" customHeight="false" outlineLevel="0" collapsed="false">
      <c r="A420" s="21" t="s">
        <v>1399</v>
      </c>
      <c r="B420" s="21" t="s">
        <v>1393</v>
      </c>
      <c r="C420" s="21" t="s">
        <v>1400</v>
      </c>
      <c r="D420" s="21" t="s">
        <v>434</v>
      </c>
      <c r="E420" s="21" t="s">
        <v>1401</v>
      </c>
      <c r="F420" s="22" t="n">
        <v>6.67</v>
      </c>
      <c r="G420" s="23"/>
      <c r="H420" s="24"/>
      <c r="I420" s="25"/>
      <c r="J420" s="26" t="n">
        <f aca="false">IF(G420&lt;&gt;"",G420,F420)</f>
        <v>6.67</v>
      </c>
      <c r="K420" s="21" t="n">
        <v>1</v>
      </c>
      <c r="L420" s="21" t="s">
        <v>739</v>
      </c>
    </row>
    <row r="421" customFormat="false" ht="15" hidden="false" customHeight="false" outlineLevel="0" collapsed="false">
      <c r="A421" s="21" t="s">
        <v>1402</v>
      </c>
      <c r="B421" s="21" t="s">
        <v>1393</v>
      </c>
      <c r="C421" s="21" t="s">
        <v>1403</v>
      </c>
      <c r="D421" s="21" t="s">
        <v>434</v>
      </c>
      <c r="E421" s="21" t="s">
        <v>1404</v>
      </c>
      <c r="F421" s="22" t="n">
        <v>6</v>
      </c>
      <c r="G421" s="23"/>
      <c r="H421" s="24"/>
      <c r="I421" s="25"/>
      <c r="J421" s="26" t="n">
        <f aca="false">IF(G421&lt;&gt;"",G421,F421)</f>
        <v>6</v>
      </c>
      <c r="K421" s="21" t="n">
        <v>2</v>
      </c>
      <c r="L421" s="21" t="s">
        <v>743</v>
      </c>
    </row>
    <row r="422" customFormat="false" ht="15" hidden="false" customHeight="false" outlineLevel="0" collapsed="false">
      <c r="A422" s="21" t="s">
        <v>1405</v>
      </c>
      <c r="B422" s="21" t="s">
        <v>1393</v>
      </c>
      <c r="C422" s="21" t="s">
        <v>1406</v>
      </c>
      <c r="D422" s="21" t="s">
        <v>434</v>
      </c>
      <c r="E422" s="21" t="s">
        <v>1407</v>
      </c>
      <c r="F422" s="22" t="n">
        <v>18</v>
      </c>
      <c r="G422" s="23"/>
      <c r="H422" s="24"/>
      <c r="I422" s="25"/>
      <c r="J422" s="26" t="n">
        <f aca="false">IF(G422&lt;&gt;"",G422,F422)</f>
        <v>18</v>
      </c>
      <c r="K422" s="21" t="n">
        <v>1</v>
      </c>
      <c r="L422" s="21" t="s">
        <v>1408</v>
      </c>
    </row>
    <row r="423" customFormat="false" ht="15" hidden="false" customHeight="false" outlineLevel="0" collapsed="false">
      <c r="A423" s="21" t="s">
        <v>1409</v>
      </c>
      <c r="B423" s="21" t="s">
        <v>1393</v>
      </c>
      <c r="C423" s="21" t="s">
        <v>1410</v>
      </c>
      <c r="D423" s="21" t="s">
        <v>434</v>
      </c>
      <c r="E423" s="21" t="s">
        <v>1411</v>
      </c>
      <c r="F423" s="22" t="n">
        <v>6</v>
      </c>
      <c r="G423" s="23"/>
      <c r="H423" s="24"/>
      <c r="I423" s="25"/>
      <c r="J423" s="26" t="n">
        <f aca="false">IF(G423&lt;&gt;"",G423,F423)</f>
        <v>6</v>
      </c>
      <c r="K423" s="21" t="n">
        <v>2</v>
      </c>
      <c r="L423" s="21"/>
    </row>
    <row r="424" customFormat="false" ht="15" hidden="false" customHeight="false" outlineLevel="0" collapsed="false">
      <c r="A424" s="21" t="s">
        <v>1412</v>
      </c>
      <c r="B424" s="21" t="s">
        <v>1393</v>
      </c>
      <c r="C424" s="21" t="s">
        <v>1413</v>
      </c>
      <c r="D424" s="21" t="s">
        <v>434</v>
      </c>
      <c r="E424" s="21" t="s">
        <v>1414</v>
      </c>
      <c r="F424" s="22" t="n">
        <v>6.5</v>
      </c>
      <c r="G424" s="23"/>
      <c r="H424" s="24"/>
      <c r="I424" s="25"/>
      <c r="J424" s="26" t="n">
        <f aca="false">IF(G424&lt;&gt;"",G424,F424)</f>
        <v>6.5</v>
      </c>
      <c r="K424" s="21" t="n">
        <v>1</v>
      </c>
      <c r="L424" s="21" t="s">
        <v>825</v>
      </c>
    </row>
    <row r="425" customFormat="false" ht="15" hidden="false" customHeight="false" outlineLevel="0" collapsed="false">
      <c r="A425" s="21" t="s">
        <v>1415</v>
      </c>
      <c r="B425" s="21" t="s">
        <v>1393</v>
      </c>
      <c r="C425" s="21" t="s">
        <v>1416</v>
      </c>
      <c r="D425" s="21" t="s">
        <v>434</v>
      </c>
      <c r="E425" s="21" t="s">
        <v>1417</v>
      </c>
      <c r="F425" s="22" t="n">
        <v>6</v>
      </c>
      <c r="G425" s="23"/>
      <c r="H425" s="24"/>
      <c r="I425" s="25"/>
      <c r="J425" s="26" t="n">
        <f aca="false">IF(G425&lt;&gt;"",G425,F425)</f>
        <v>6</v>
      </c>
      <c r="K425" s="21" t="n">
        <v>2</v>
      </c>
      <c r="L425" s="21" t="s">
        <v>825</v>
      </c>
    </row>
    <row r="426" customFormat="false" ht="15" hidden="false" customHeight="false" outlineLevel="0" collapsed="false">
      <c r="A426" s="21" t="s">
        <v>1418</v>
      </c>
      <c r="B426" s="21" t="s">
        <v>1393</v>
      </c>
      <c r="C426" s="21" t="s">
        <v>1419</v>
      </c>
      <c r="D426" s="21" t="s">
        <v>434</v>
      </c>
      <c r="E426" s="21" t="s">
        <v>709</v>
      </c>
      <c r="F426" s="22" t="n">
        <v>8.5</v>
      </c>
      <c r="G426" s="23"/>
      <c r="H426" s="24"/>
      <c r="I426" s="25"/>
      <c r="J426" s="26" t="n">
        <f aca="false">IF(G426&lt;&gt;"",G426,F426)</f>
        <v>8.5</v>
      </c>
      <c r="K426" s="21" t="n">
        <v>1</v>
      </c>
      <c r="L426" s="21"/>
    </row>
    <row r="427" customFormat="false" ht="15" hidden="false" customHeight="false" outlineLevel="0" collapsed="false">
      <c r="A427" s="21" t="s">
        <v>1420</v>
      </c>
      <c r="B427" s="21" t="s">
        <v>1393</v>
      </c>
      <c r="C427" s="21" t="s">
        <v>1421</v>
      </c>
      <c r="D427" s="21" t="s">
        <v>434</v>
      </c>
      <c r="E427" s="21" t="s">
        <v>1422</v>
      </c>
      <c r="F427" s="22" t="n">
        <v>5</v>
      </c>
      <c r="G427" s="23"/>
      <c r="H427" s="24"/>
      <c r="I427" s="25"/>
      <c r="J427" s="26" t="n">
        <f aca="false">IF(G427&lt;&gt;"",G427,F427)</f>
        <v>5</v>
      </c>
      <c r="K427" s="21" t="n">
        <v>2</v>
      </c>
      <c r="L427" s="21"/>
    </row>
    <row r="428" customFormat="false" ht="15" hidden="false" customHeight="false" outlineLevel="0" collapsed="false">
      <c r="A428" s="21" t="s">
        <v>1423</v>
      </c>
      <c r="B428" s="21" t="s">
        <v>1393</v>
      </c>
      <c r="C428" s="21" t="s">
        <v>1424</v>
      </c>
      <c r="D428" s="21" t="s">
        <v>434</v>
      </c>
      <c r="E428" s="21" t="s">
        <v>1422</v>
      </c>
      <c r="F428" s="22" t="n">
        <v>5</v>
      </c>
      <c r="G428" s="23"/>
      <c r="H428" s="24"/>
      <c r="I428" s="25"/>
      <c r="J428" s="26" t="n">
        <f aca="false">IF(G428&lt;&gt;"",G428,F428)</f>
        <v>5</v>
      </c>
      <c r="K428" s="21" t="n">
        <v>1</v>
      </c>
      <c r="L428" s="21"/>
    </row>
    <row r="429" customFormat="false" ht="15" hidden="false" customHeight="false" outlineLevel="0" collapsed="false">
      <c r="A429" s="21" t="s">
        <v>1425</v>
      </c>
      <c r="B429" s="21" t="s">
        <v>1393</v>
      </c>
      <c r="C429" s="21" t="s">
        <v>1426</v>
      </c>
      <c r="D429" s="21" t="s">
        <v>434</v>
      </c>
      <c r="E429" s="21" t="s">
        <v>714</v>
      </c>
      <c r="F429" s="22" t="n">
        <v>7</v>
      </c>
      <c r="G429" s="23"/>
      <c r="H429" s="24"/>
      <c r="I429" s="25"/>
      <c r="J429" s="26" t="n">
        <f aca="false">IF(G429&lt;&gt;"",G429,F429)</f>
        <v>7</v>
      </c>
      <c r="K429" s="21" t="n">
        <v>1</v>
      </c>
      <c r="L429" s="21"/>
    </row>
    <row r="430" customFormat="false" ht="15" hidden="false" customHeight="false" outlineLevel="0" collapsed="false">
      <c r="A430" s="21" t="s">
        <v>1427</v>
      </c>
      <c r="B430" s="21" t="s">
        <v>1393</v>
      </c>
      <c r="C430" s="21" t="s">
        <v>1428</v>
      </c>
      <c r="D430" s="21" t="s">
        <v>434</v>
      </c>
      <c r="E430" s="21" t="s">
        <v>1429</v>
      </c>
      <c r="F430" s="22" t="n">
        <v>3</v>
      </c>
      <c r="G430" s="23"/>
      <c r="H430" s="24"/>
      <c r="I430" s="25"/>
      <c r="J430" s="26" t="n">
        <f aca="false">IF(G430&lt;&gt;"",G430,F430)</f>
        <v>3</v>
      </c>
      <c r="K430" s="21" t="n">
        <v>2</v>
      </c>
      <c r="L430" s="21"/>
    </row>
    <row r="431" customFormat="false" ht="15" hidden="false" customHeight="false" outlineLevel="0" collapsed="false">
      <c r="A431" s="21" t="s">
        <v>1430</v>
      </c>
      <c r="B431" s="21" t="s">
        <v>1393</v>
      </c>
      <c r="C431" s="21" t="s">
        <v>1431</v>
      </c>
      <c r="D431" s="21" t="s">
        <v>434</v>
      </c>
      <c r="E431" s="21" t="s">
        <v>1432</v>
      </c>
      <c r="F431" s="22" t="n">
        <v>2.8</v>
      </c>
      <c r="G431" s="23"/>
      <c r="H431" s="24"/>
      <c r="I431" s="25"/>
      <c r="J431" s="26" t="n">
        <f aca="false">IF(G431&lt;&gt;"",G431,F431)</f>
        <v>2.8</v>
      </c>
      <c r="K431" s="21" t="n">
        <v>6</v>
      </c>
      <c r="L431" s="21"/>
    </row>
    <row r="432" customFormat="false" ht="15" hidden="false" customHeight="false" outlineLevel="0" collapsed="false">
      <c r="A432" s="21" t="s">
        <v>1433</v>
      </c>
      <c r="B432" s="21" t="s">
        <v>1393</v>
      </c>
      <c r="C432" s="21" t="s">
        <v>1434</v>
      </c>
      <c r="D432" s="21" t="s">
        <v>434</v>
      </c>
      <c r="E432" s="21" t="s">
        <v>1435</v>
      </c>
      <c r="F432" s="22" t="n">
        <v>4.55</v>
      </c>
      <c r="G432" s="23"/>
      <c r="H432" s="24"/>
      <c r="I432" s="25"/>
      <c r="J432" s="26" t="n">
        <f aca="false">IF(G432&lt;&gt;"",G432,F432)</f>
        <v>4.55</v>
      </c>
      <c r="K432" s="21" t="n">
        <v>1</v>
      </c>
      <c r="L432" s="21" t="s">
        <v>1436</v>
      </c>
    </row>
    <row r="433" customFormat="false" ht="15" hidden="false" customHeight="false" outlineLevel="0" collapsed="false">
      <c r="A433" s="21" t="s">
        <v>1437</v>
      </c>
      <c r="B433" s="21" t="s">
        <v>1393</v>
      </c>
      <c r="C433" s="21" t="s">
        <v>1438</v>
      </c>
      <c r="D433" s="21" t="s">
        <v>434</v>
      </c>
      <c r="E433" s="21" t="s">
        <v>1439</v>
      </c>
      <c r="F433" s="22" t="n">
        <v>4.29</v>
      </c>
      <c r="G433" s="23"/>
      <c r="H433" s="24"/>
      <c r="I433" s="25"/>
      <c r="J433" s="26" t="n">
        <f aca="false">IF(G433&lt;&gt;"",G433,F433)</f>
        <v>4.29</v>
      </c>
      <c r="K433" s="21" t="n">
        <v>1</v>
      </c>
      <c r="L433" s="21" t="s">
        <v>1440</v>
      </c>
    </row>
    <row r="434" customFormat="false" ht="15" hidden="false" customHeight="false" outlineLevel="0" collapsed="false">
      <c r="A434" s="21" t="s">
        <v>1441</v>
      </c>
      <c r="B434" s="21" t="s">
        <v>1393</v>
      </c>
      <c r="C434" s="21" t="s">
        <v>1442</v>
      </c>
      <c r="D434" s="21" t="s">
        <v>434</v>
      </c>
      <c r="E434" s="21" t="s">
        <v>438</v>
      </c>
      <c r="F434" s="22" t="n">
        <v>5.5</v>
      </c>
      <c r="G434" s="23"/>
      <c r="H434" s="24"/>
      <c r="I434" s="25"/>
      <c r="J434" s="26" t="n">
        <f aca="false">IF(G434&lt;&gt;"",G434,F434)</f>
        <v>5.5</v>
      </c>
      <c r="K434" s="21" t="n">
        <v>1</v>
      </c>
      <c r="L434" s="21"/>
    </row>
    <row r="435" customFormat="false" ht="15" hidden="false" customHeight="false" outlineLevel="0" collapsed="false">
      <c r="A435" s="21" t="s">
        <v>1443</v>
      </c>
      <c r="B435" s="21" t="s">
        <v>1393</v>
      </c>
      <c r="C435" s="21" t="s">
        <v>1444</v>
      </c>
      <c r="D435" s="21" t="s">
        <v>434</v>
      </c>
      <c r="E435" s="21" t="s">
        <v>1445</v>
      </c>
      <c r="F435" s="22" t="n">
        <v>4.17</v>
      </c>
      <c r="G435" s="23"/>
      <c r="H435" s="24"/>
      <c r="I435" s="25"/>
      <c r="J435" s="26" t="n">
        <f aca="false">IF(G435&lt;&gt;"",G435,F435)</f>
        <v>4.17</v>
      </c>
      <c r="K435" s="21" t="n">
        <v>1</v>
      </c>
      <c r="L435" s="21" t="s">
        <v>1446</v>
      </c>
    </row>
    <row r="436" customFormat="false" ht="15" hidden="false" customHeight="false" outlineLevel="0" collapsed="false">
      <c r="A436" s="21" t="s">
        <v>1447</v>
      </c>
      <c r="B436" s="21" t="s">
        <v>1393</v>
      </c>
      <c r="C436" s="21" t="s">
        <v>1448</v>
      </c>
      <c r="D436" s="21" t="s">
        <v>434</v>
      </c>
      <c r="E436" s="21" t="s">
        <v>1449</v>
      </c>
      <c r="F436" s="22" t="n">
        <v>3.33</v>
      </c>
      <c r="G436" s="23"/>
      <c r="H436" s="24"/>
      <c r="I436" s="25"/>
      <c r="J436" s="26" t="n">
        <f aca="false">IF(G436&lt;&gt;"",G436,F436)</f>
        <v>3.33</v>
      </c>
      <c r="K436" s="21" t="n">
        <v>5</v>
      </c>
      <c r="L436" s="21" t="s">
        <v>1450</v>
      </c>
    </row>
    <row r="437" customFormat="false" ht="15" hidden="false" customHeight="false" outlineLevel="0" collapsed="false">
      <c r="A437" s="21" t="s">
        <v>1451</v>
      </c>
      <c r="B437" s="21" t="s">
        <v>1393</v>
      </c>
      <c r="C437" s="21" t="s">
        <v>1452</v>
      </c>
      <c r="D437" s="21" t="s">
        <v>434</v>
      </c>
      <c r="E437" s="21" t="s">
        <v>1453</v>
      </c>
      <c r="F437" s="22" t="n">
        <v>3.89</v>
      </c>
      <c r="G437" s="23"/>
      <c r="H437" s="24"/>
      <c r="I437" s="25"/>
      <c r="J437" s="26" t="n">
        <f aca="false">IF(G437&lt;&gt;"",G437,F437)</f>
        <v>3.89</v>
      </c>
      <c r="K437" s="21" t="n">
        <v>3</v>
      </c>
      <c r="L437" s="21" t="s">
        <v>1450</v>
      </c>
    </row>
    <row r="438" customFormat="false" ht="15" hidden="false" customHeight="false" outlineLevel="0" collapsed="false">
      <c r="A438" s="21" t="s">
        <v>1454</v>
      </c>
      <c r="B438" s="21" t="s">
        <v>1393</v>
      </c>
      <c r="C438" s="21" t="s">
        <v>1455</v>
      </c>
      <c r="D438" s="21" t="s">
        <v>434</v>
      </c>
      <c r="E438" s="21" t="s">
        <v>1456</v>
      </c>
      <c r="F438" s="22" t="n">
        <v>3.56</v>
      </c>
      <c r="G438" s="23"/>
      <c r="H438" s="24"/>
      <c r="I438" s="25"/>
      <c r="J438" s="26" t="n">
        <f aca="false">IF(G438&lt;&gt;"",G438,F438)</f>
        <v>3.56</v>
      </c>
      <c r="K438" s="21" t="n">
        <v>1</v>
      </c>
      <c r="L438" s="21" t="s">
        <v>1450</v>
      </c>
    </row>
    <row r="439" customFormat="false" ht="15" hidden="false" customHeight="false" outlineLevel="0" collapsed="false">
      <c r="A439" s="21" t="s">
        <v>1457</v>
      </c>
      <c r="B439" s="21" t="s">
        <v>1458</v>
      </c>
      <c r="C439" s="21" t="s">
        <v>1459</v>
      </c>
      <c r="D439" s="21" t="s">
        <v>682</v>
      </c>
      <c r="E439" s="21" t="s">
        <v>1460</v>
      </c>
      <c r="F439" s="22" t="n">
        <v>0</v>
      </c>
      <c r="G439" s="23"/>
      <c r="H439" s="24"/>
      <c r="I439" s="25"/>
      <c r="J439" s="26" t="n">
        <f aca="false">IF(G439&lt;&gt;"",G439,F439)</f>
        <v>0</v>
      </c>
      <c r="K439" s="21" t="n">
        <v>113</v>
      </c>
      <c r="L439" s="21"/>
    </row>
    <row r="440" customFormat="false" ht="15" hidden="false" customHeight="false" outlineLevel="0" collapsed="false">
      <c r="A440" s="21" t="s">
        <v>1461</v>
      </c>
      <c r="B440" s="21" t="s">
        <v>1458</v>
      </c>
      <c r="C440" s="21" t="s">
        <v>1462</v>
      </c>
      <c r="D440" s="21" t="s">
        <v>1463</v>
      </c>
      <c r="E440" s="21" t="s">
        <v>1464</v>
      </c>
      <c r="F440" s="22" t="n">
        <v>0</v>
      </c>
      <c r="G440" s="23"/>
      <c r="H440" s="24"/>
      <c r="I440" s="25"/>
      <c r="J440" s="26" t="n">
        <f aca="false">IF(G440&lt;&gt;"",G440,F440)</f>
        <v>0</v>
      </c>
      <c r="K440" s="21" t="n">
        <v>0</v>
      </c>
      <c r="L440" s="21"/>
    </row>
    <row r="441" customFormat="false" ht="15" hidden="false" customHeight="false" outlineLevel="0" collapsed="false">
      <c r="A441" s="21" t="s">
        <v>1465</v>
      </c>
      <c r="B441" s="21" t="s">
        <v>1458</v>
      </c>
      <c r="C441" s="21" t="s">
        <v>1466</v>
      </c>
      <c r="D441" s="21" t="s">
        <v>1463</v>
      </c>
      <c r="E441" s="21" t="s">
        <v>1467</v>
      </c>
      <c r="F441" s="22" t="n">
        <v>0.04</v>
      </c>
      <c r="G441" s="23"/>
      <c r="H441" s="24"/>
      <c r="I441" s="25"/>
      <c r="J441" s="26" t="n">
        <f aca="false">IF(G441&lt;&gt;"",G441,F441)</f>
        <v>0.04</v>
      </c>
      <c r="K441" s="21" t="n">
        <v>0</v>
      </c>
      <c r="L441" s="21"/>
    </row>
  </sheetData>
  <autoFilter ref="A4:L44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7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2109375" defaultRowHeight="15" zeroHeight="false" outlineLevelRow="0" outlineLevelCol="0"/>
  <cols>
    <col collapsed="false" customWidth="true" hidden="false" outlineLevel="0" max="1" min="1" style="0" width="60"/>
    <col collapsed="false" customWidth="true" hidden="false" outlineLevel="0" max="2" min="2" style="0" width="12"/>
    <col collapsed="false" customWidth="true" hidden="false" outlineLevel="0" max="3" min="3" style="0" width="44"/>
    <col collapsed="false" customWidth="true" hidden="false" outlineLevel="0" max="4" min="4" style="0" width="16"/>
  </cols>
  <sheetData>
    <row r="1" customFormat="false" ht="15" hidden="false" customHeight="false" outlineLevel="0" collapsed="false">
      <c r="A1" s="16" t="s">
        <v>1468</v>
      </c>
    </row>
    <row r="2" customFormat="false" ht="15" hidden="false" customHeight="false" outlineLevel="0" collapsed="false">
      <c r="A2" s="27" t="s">
        <v>1469</v>
      </c>
      <c r="B2" s="27" t="s">
        <v>1470</v>
      </c>
      <c r="C2" s="27" t="s">
        <v>1471</v>
      </c>
      <c r="D2" s="27" t="s">
        <v>428</v>
      </c>
    </row>
    <row r="3" customFormat="false" ht="15" hidden="false" customHeight="false" outlineLevel="0" collapsed="false">
      <c r="A3" s="28" t="s">
        <v>1472</v>
      </c>
      <c r="B3" s="28" t="s">
        <v>431</v>
      </c>
      <c r="C3" s="28" t="str">
        <f aca="false">IFERROR(INDEX(Cadencier!$C$5:$C$441,MATCH(B3,Cadencier!$A$5:$A$441,0)),"code inconnu")</f>
        <v>Agneau haché 15 % MG</v>
      </c>
      <c r="D3" s="29" t="n">
        <f aca="false">IFERROR(INDEX(Cadencier!$J$5:$J$441,MATCH(B3,Cadencier!$A$5:$A$441,0)),0)</f>
        <v>12.5</v>
      </c>
    </row>
    <row r="4" customFormat="false" ht="15" hidden="false" customHeight="false" outlineLevel="0" collapsed="false">
      <c r="A4" s="28" t="s">
        <v>519</v>
      </c>
      <c r="B4" s="28" t="s">
        <v>517</v>
      </c>
      <c r="C4" s="28" t="str">
        <f aca="false">IFERROR(INDEX(Cadencier!$C$5:$C$441,MATCH(B4,Cadencier!$A$5:$A$441,0)),"code inconnu")</f>
        <v>Aiguillettes de poulet</v>
      </c>
      <c r="D4" s="29" t="n">
        <f aca="false">IFERROR(INDEX(Cadencier!$J$5:$J$441,MATCH(B4,Cadencier!$A$5:$A$441,0)),0)</f>
        <v>10.5</v>
      </c>
    </row>
    <row r="5" customFormat="false" ht="15" hidden="false" customHeight="false" outlineLevel="0" collapsed="false">
      <c r="A5" s="28" t="s">
        <v>1473</v>
      </c>
      <c r="B5" s="28" t="s">
        <v>748</v>
      </c>
      <c r="C5" s="28" t="str">
        <f aca="false">IFERROR(INDEX(Cadencier!$C$5:$C$441,MATCH(B5,Cadencier!$A$5:$A$441,0)),"code inconnu")</f>
        <v>Ail frais</v>
      </c>
      <c r="D5" s="29" t="n">
        <f aca="false">IFERROR(INDEX(Cadencier!$J$5:$J$441,MATCH(B5,Cadencier!$A$5:$A$441,0)),0)</f>
        <v>6</v>
      </c>
    </row>
    <row r="6" customFormat="false" ht="15" hidden="false" customHeight="false" outlineLevel="0" collapsed="false">
      <c r="A6" s="28" t="s">
        <v>894</v>
      </c>
      <c r="B6" s="28" t="s">
        <v>892</v>
      </c>
      <c r="C6" s="28" t="str">
        <f aca="false">IFERROR(INDEX(Cadencier!$C$5:$C$441,MATCH(B6,Cadencier!$A$5:$A$441,0)),"code inconnu")</f>
        <v>Ail surgelé</v>
      </c>
      <c r="D6" s="29" t="n">
        <f aca="false">IFERROR(INDEX(Cadencier!$J$5:$J$441,MATCH(B6,Cadencier!$A$5:$A$441,0)),0)</f>
        <v>5.5</v>
      </c>
    </row>
    <row r="7" customFormat="false" ht="15" hidden="false" customHeight="false" outlineLevel="0" collapsed="false">
      <c r="A7" s="28" t="s">
        <v>1474</v>
      </c>
      <c r="B7" s="28" t="s">
        <v>752</v>
      </c>
      <c r="C7" s="28" t="str">
        <f aca="false">IFERROR(INDEX(Cadencier!$C$5:$C$441,MATCH(B7,Cadencier!$A$5:$A$441,0)),"code inconnu")</f>
        <v>Ananas frais</v>
      </c>
      <c r="D7" s="29" t="n">
        <f aca="false">IFERROR(INDEX(Cadencier!$J$5:$J$441,MATCH(B7,Cadencier!$A$5:$A$441,0)),0)</f>
        <v>1.87</v>
      </c>
    </row>
    <row r="8" customFormat="false" ht="15" hidden="false" customHeight="false" outlineLevel="0" collapsed="false">
      <c r="A8" s="28" t="s">
        <v>1475</v>
      </c>
      <c r="B8" s="28" t="s">
        <v>1185</v>
      </c>
      <c r="C8" s="28" t="str">
        <f aca="false">IFERROR(INDEX(Cadencier!$C$5:$C$441,MATCH(B8,Cadencier!$A$5:$A$441,0)),"code inconnu")</f>
        <v>Anchois en filets (à l'huile)</v>
      </c>
      <c r="D8" s="29" t="n">
        <f aca="false">IFERROR(INDEX(Cadencier!$J$5:$J$441,MATCH(B8,Cadencier!$A$5:$A$441,0)),0)</f>
        <v>22</v>
      </c>
    </row>
    <row r="9" customFormat="false" ht="15" hidden="false" customHeight="false" outlineLevel="0" collapsed="false">
      <c r="A9" s="28" t="s">
        <v>1476</v>
      </c>
      <c r="B9" s="28" t="s">
        <v>554</v>
      </c>
      <c r="C9" s="28" t="str">
        <f aca="false">IFERROR(INDEX(Cadencier!$C$5:$C$441,MATCH(B9,Cadencier!$A$5:$A$441,0)),"code inconnu")</f>
        <v>Andouillettes AAAAA 150 g</v>
      </c>
      <c r="D9" s="29" t="n">
        <f aca="false">IFERROR(INDEX(Cadencier!$J$5:$J$441,MATCH(B9,Cadencier!$A$5:$A$441,0)),0)</f>
        <v>11</v>
      </c>
    </row>
    <row r="10" customFormat="false" ht="15" hidden="false" customHeight="false" outlineLevel="0" collapsed="false">
      <c r="A10" s="28" t="s">
        <v>896</v>
      </c>
      <c r="B10" s="28" t="s">
        <v>895</v>
      </c>
      <c r="C10" s="28" t="str">
        <f aca="false">IFERROR(INDEX(Cadencier!$C$5:$C$441,MATCH(B10,Cadencier!$A$5:$A$441,0)),"code inconnu")</f>
        <v>Aneth ciselé surgelé</v>
      </c>
      <c r="D10" s="29" t="n">
        <f aca="false">IFERROR(INDEX(Cadencier!$J$5:$J$441,MATCH(B10,Cadencier!$A$5:$A$441,0)),0)</f>
        <v>14</v>
      </c>
    </row>
    <row r="11" customFormat="false" ht="15" hidden="false" customHeight="false" outlineLevel="0" collapsed="false">
      <c r="A11" s="28" t="s">
        <v>1477</v>
      </c>
      <c r="B11" s="28" t="s">
        <v>895</v>
      </c>
      <c r="C11" s="28" t="str">
        <f aca="false">IFERROR(INDEX(Cadencier!$C$5:$C$441,MATCH(B11,Cadencier!$A$5:$A$441,0)),"code inconnu")</f>
        <v>Aneth ciselé surgelé</v>
      </c>
      <c r="D11" s="29" t="n">
        <f aca="false">IFERROR(INDEX(Cadencier!$J$5:$J$441,MATCH(B11,Cadencier!$A$5:$A$441,0)),0)</f>
        <v>14</v>
      </c>
    </row>
    <row r="12" customFormat="false" ht="15" hidden="false" customHeight="false" outlineLevel="0" collapsed="false">
      <c r="A12" s="28" t="s">
        <v>1478</v>
      </c>
      <c r="B12" s="28" t="s">
        <v>895</v>
      </c>
      <c r="C12" s="28" t="str">
        <f aca="false">IFERROR(INDEX(Cadencier!$C$5:$C$441,MATCH(B12,Cadencier!$A$5:$A$441,0)),"code inconnu")</f>
        <v>Aneth ciselé surgelé</v>
      </c>
      <c r="D12" s="29" t="n">
        <f aca="false">IFERROR(INDEX(Cadencier!$J$5:$J$441,MATCH(B12,Cadencier!$A$5:$A$441,0)),0)</f>
        <v>14</v>
      </c>
    </row>
    <row r="13" customFormat="false" ht="15" hidden="false" customHeight="false" outlineLevel="0" collapsed="false">
      <c r="A13" s="28" t="s">
        <v>627</v>
      </c>
      <c r="B13" s="28" t="s">
        <v>625</v>
      </c>
      <c r="C13" s="28" t="str">
        <f aca="false">IFERROR(INDEX(Cadencier!$C$5:$C$441,MATCH(B13,Cadencier!$A$5:$A$441,0)),"code inconnu")</f>
        <v>Anneaux de calamar surgelés</v>
      </c>
      <c r="D13" s="29" t="n">
        <f aca="false">IFERROR(INDEX(Cadencier!$J$5:$J$441,MATCH(B13,Cadencier!$A$5:$A$441,0)),0)</f>
        <v>8.5</v>
      </c>
    </row>
    <row r="14" customFormat="false" ht="15" hidden="false" customHeight="false" outlineLevel="0" collapsed="false">
      <c r="A14" s="28" t="s">
        <v>1479</v>
      </c>
      <c r="B14" s="28" t="s">
        <v>625</v>
      </c>
      <c r="C14" s="28" t="str">
        <f aca="false">IFERROR(INDEX(Cadencier!$C$5:$C$441,MATCH(B14,Cadencier!$A$5:$A$441,0)),"code inconnu")</f>
        <v>Anneaux de calamar surgelés</v>
      </c>
      <c r="D14" s="29" t="n">
        <f aca="false">IFERROR(INDEX(Cadencier!$J$5:$J$441,MATCH(B14,Cadencier!$A$5:$A$441,0)),0)</f>
        <v>8.5</v>
      </c>
    </row>
    <row r="15" customFormat="false" ht="15" hidden="false" customHeight="false" outlineLevel="0" collapsed="false">
      <c r="A15" s="28" t="s">
        <v>1480</v>
      </c>
      <c r="B15" s="28" t="s">
        <v>756</v>
      </c>
      <c r="C15" s="28" t="str">
        <f aca="false">IFERROR(INDEX(Cadencier!$C$5:$C$441,MATCH(B15,Cadencier!$A$5:$A$441,0)),"code inconnu")</f>
        <v>Asperges blanches fraîches épluchées</v>
      </c>
      <c r="D15" s="29" t="n">
        <f aca="false">IFERROR(INDEX(Cadencier!$J$5:$J$441,MATCH(B15,Cadencier!$A$5:$A$441,0)),0)</f>
        <v>9</v>
      </c>
    </row>
    <row r="16" customFormat="false" ht="15" hidden="false" customHeight="false" outlineLevel="0" collapsed="false">
      <c r="A16" s="28" t="s">
        <v>899</v>
      </c>
      <c r="B16" s="28" t="s">
        <v>898</v>
      </c>
      <c r="C16" s="28" t="str">
        <f aca="false">IFERROR(INDEX(Cadencier!$C$5:$C$441,MATCH(B16,Cadencier!$A$5:$A$441,0)),"code inconnu")</f>
        <v>Asperges vertes surgelées</v>
      </c>
      <c r="D16" s="29" t="n">
        <f aca="false">IFERROR(INDEX(Cadencier!$J$5:$J$441,MATCH(B16,Cadencier!$A$5:$A$441,0)),0)</f>
        <v>7.5</v>
      </c>
    </row>
    <row r="17" customFormat="false" ht="15" hidden="false" customHeight="false" outlineLevel="0" collapsed="false">
      <c r="A17" s="28" t="s">
        <v>1481</v>
      </c>
      <c r="B17" s="28" t="s">
        <v>759</v>
      </c>
      <c r="C17" s="28" t="str">
        <f aca="false">IFERROR(INDEX(Cadencier!$C$5:$C$441,MATCH(B17,Cadencier!$A$5:$A$441,0)),"code inconnu")</f>
        <v>Aubergines fraîches</v>
      </c>
      <c r="D17" s="29" t="n">
        <f aca="false">IFERROR(INDEX(Cadencier!$J$5:$J$441,MATCH(B17,Cadencier!$A$5:$A$441,0)),0)</f>
        <v>2.6</v>
      </c>
    </row>
    <row r="18" customFormat="false" ht="15" hidden="false" customHeight="false" outlineLevel="0" collapsed="false">
      <c r="A18" s="28" t="s">
        <v>1482</v>
      </c>
      <c r="B18" s="28" t="s">
        <v>759</v>
      </c>
      <c r="C18" s="28" t="str">
        <f aca="false">IFERROR(INDEX(Cadencier!$C$5:$C$441,MATCH(B18,Cadencier!$A$5:$A$441,0)),"code inconnu")</f>
        <v>Aubergines fraîches</v>
      </c>
      <c r="D18" s="29" t="n">
        <f aca="false">IFERROR(INDEX(Cadencier!$J$5:$J$441,MATCH(B18,Cadencier!$A$5:$A$441,0)),0)</f>
        <v>2.6</v>
      </c>
    </row>
    <row r="19" customFormat="false" ht="15" hidden="false" customHeight="false" outlineLevel="0" collapsed="false">
      <c r="A19" s="28" t="s">
        <v>903</v>
      </c>
      <c r="B19" s="28" t="s">
        <v>902</v>
      </c>
      <c r="C19" s="28" t="str">
        <f aca="false">IFERROR(INDEX(Cadencier!$C$5:$C$441,MATCH(B19,Cadencier!$A$5:$A$441,0)),"code inconnu")</f>
        <v>Aubergines tranches grillées surgelées</v>
      </c>
      <c r="D19" s="29" t="n">
        <f aca="false">IFERROR(INDEX(Cadencier!$J$5:$J$441,MATCH(B19,Cadencier!$A$5:$A$441,0)),0)</f>
        <v>5.5</v>
      </c>
    </row>
    <row r="20" customFormat="false" ht="15" hidden="false" customHeight="false" outlineLevel="0" collapsed="false">
      <c r="A20" s="28" t="s">
        <v>1483</v>
      </c>
      <c r="B20" s="28" t="s">
        <v>762</v>
      </c>
      <c r="C20" s="28" t="str">
        <f aca="false">IFERROR(INDEX(Cadencier!$C$5:$C$441,MATCH(B20,Cadencier!$A$5:$A$441,0)),"code inconnu")</f>
        <v>Avocats</v>
      </c>
      <c r="D20" s="29" t="n">
        <f aca="false">IFERROR(INDEX(Cadencier!$J$5:$J$441,MATCH(B20,Cadencier!$A$5:$A$441,0)),0)</f>
        <v>5.5</v>
      </c>
    </row>
    <row r="21" customFormat="false" ht="15" hidden="false" customHeight="false" outlineLevel="0" collapsed="false">
      <c r="A21" s="28" t="s">
        <v>1484</v>
      </c>
      <c r="B21" s="28" t="s">
        <v>1253</v>
      </c>
      <c r="C21" s="28" t="str">
        <f aca="false">IFERROR(INDEX(Cadencier!$C$5:$C$441,MATCH(B21,Cadencier!$A$5:$A$441,0)),"code inconnu")</f>
        <v>Baies de genièvre</v>
      </c>
      <c r="D21" s="29" t="n">
        <f aca="false">IFERROR(INDEX(Cadencier!$J$5:$J$441,MATCH(B21,Cadencier!$A$5:$A$441,0)),0)</f>
        <v>20</v>
      </c>
    </row>
    <row r="22" customFormat="false" ht="15" hidden="false" customHeight="false" outlineLevel="0" collapsed="false">
      <c r="A22" s="28" t="s">
        <v>767</v>
      </c>
      <c r="B22" s="28" t="s">
        <v>766</v>
      </c>
      <c r="C22" s="28" t="str">
        <f aca="false">IFERROR(INDEX(Cadencier!$C$5:$C$441,MATCH(B22,Cadencier!$A$5:$A$441,0)),"code inconnu")</f>
        <v>Bananes</v>
      </c>
      <c r="D22" s="29" t="n">
        <f aca="false">IFERROR(INDEX(Cadencier!$J$5:$J$441,MATCH(B22,Cadencier!$A$5:$A$441,0)),0)</f>
        <v>1.6</v>
      </c>
    </row>
    <row r="23" customFormat="false" ht="15" hidden="false" customHeight="false" outlineLevel="0" collapsed="false">
      <c r="A23" s="28" t="s">
        <v>905</v>
      </c>
      <c r="B23" s="28" t="s">
        <v>904</v>
      </c>
      <c r="C23" s="28" t="str">
        <f aca="false">IFERROR(INDEX(Cadencier!$C$5:$C$441,MATCH(B23,Cadencier!$A$5:$A$441,0)),"code inconnu")</f>
        <v>Basilic ciselé surgelé</v>
      </c>
      <c r="D23" s="29" t="n">
        <f aca="false">IFERROR(INDEX(Cadencier!$J$5:$J$441,MATCH(B23,Cadencier!$A$5:$A$441,0)),0)</f>
        <v>12</v>
      </c>
    </row>
    <row r="24" customFormat="false" ht="15" hidden="false" customHeight="false" outlineLevel="0" collapsed="false">
      <c r="A24" s="28" t="s">
        <v>1485</v>
      </c>
      <c r="B24" s="28" t="s">
        <v>769</v>
      </c>
      <c r="C24" s="28" t="str">
        <f aca="false">IFERROR(INDEX(Cadencier!$C$5:$C$441,MATCH(B24,Cadencier!$A$5:$A$441,0)),"code inconnu")</f>
        <v>Basilic frais (botte)</v>
      </c>
      <c r="D24" s="29" t="n">
        <f aca="false">IFERROR(INDEX(Cadencier!$J$5:$J$441,MATCH(B24,Cadencier!$A$5:$A$441,0)),0)</f>
        <v>32</v>
      </c>
    </row>
    <row r="25" customFormat="false" ht="15" hidden="false" customHeight="false" outlineLevel="0" collapsed="false">
      <c r="A25" s="28" t="s">
        <v>1486</v>
      </c>
      <c r="B25" s="28" t="s">
        <v>904</v>
      </c>
      <c r="C25" s="28" t="str">
        <f aca="false">IFERROR(INDEX(Cadencier!$C$5:$C$441,MATCH(B25,Cadencier!$A$5:$A$441,0)),"code inconnu")</f>
        <v>Basilic ciselé surgelé</v>
      </c>
      <c r="D25" s="29" t="n">
        <f aca="false">IFERROR(INDEX(Cadencier!$J$5:$J$441,MATCH(B25,Cadencier!$A$5:$A$441,0)),0)</f>
        <v>12</v>
      </c>
    </row>
    <row r="26" customFormat="false" ht="15" hidden="false" customHeight="false" outlineLevel="0" collapsed="false">
      <c r="A26" s="28" t="s">
        <v>1487</v>
      </c>
      <c r="B26" s="28" t="s">
        <v>904</v>
      </c>
      <c r="C26" s="28" t="str">
        <f aca="false">IFERROR(INDEX(Cadencier!$C$5:$C$441,MATCH(B26,Cadencier!$A$5:$A$441,0)),"code inconnu")</f>
        <v>Basilic ciselé surgelé</v>
      </c>
      <c r="D26" s="29" t="n">
        <f aca="false">IFERROR(INDEX(Cadencier!$J$5:$J$441,MATCH(B26,Cadencier!$A$5:$A$441,0)),0)</f>
        <v>12</v>
      </c>
    </row>
    <row r="27" customFormat="false" ht="15" hidden="false" customHeight="false" outlineLevel="0" collapsed="false">
      <c r="A27" s="28" t="s">
        <v>1488</v>
      </c>
      <c r="B27" s="28" t="s">
        <v>904</v>
      </c>
      <c r="C27" s="28" t="str">
        <f aca="false">IFERROR(INDEX(Cadencier!$C$5:$C$441,MATCH(B27,Cadencier!$A$5:$A$441,0)),"code inconnu")</f>
        <v>Basilic ciselé surgelé</v>
      </c>
      <c r="D27" s="29" t="n">
        <f aca="false">IFERROR(INDEX(Cadencier!$J$5:$J$441,MATCH(B27,Cadencier!$A$5:$A$441,0)),0)</f>
        <v>12</v>
      </c>
    </row>
    <row r="28" customFormat="false" ht="15" hidden="false" customHeight="false" outlineLevel="0" collapsed="false">
      <c r="A28" s="28" t="s">
        <v>1489</v>
      </c>
      <c r="B28" s="28" t="s">
        <v>904</v>
      </c>
      <c r="C28" s="28" t="str">
        <f aca="false">IFERROR(INDEX(Cadencier!$C$5:$C$441,MATCH(B28,Cadencier!$A$5:$A$441,0)),"code inconnu")</f>
        <v>Basilic ciselé surgelé</v>
      </c>
      <c r="D28" s="29" t="n">
        <f aca="false">IFERROR(INDEX(Cadencier!$J$5:$J$441,MATCH(B28,Cadencier!$A$5:$A$441,0)),0)</f>
        <v>12</v>
      </c>
    </row>
    <row r="29" customFormat="false" ht="15" hidden="false" customHeight="false" outlineLevel="0" collapsed="false">
      <c r="A29" s="28" t="s">
        <v>1490</v>
      </c>
      <c r="B29" s="28" t="s">
        <v>904</v>
      </c>
      <c r="C29" s="28" t="str">
        <f aca="false">IFERROR(INDEX(Cadencier!$C$5:$C$441,MATCH(B29,Cadencier!$A$5:$A$441,0)),"code inconnu")</f>
        <v>Basilic ciselé surgelé</v>
      </c>
      <c r="D29" s="29" t="n">
        <f aca="false">IFERROR(INDEX(Cadencier!$J$5:$J$441,MATCH(B29,Cadencier!$A$5:$A$441,0)),0)</f>
        <v>12</v>
      </c>
    </row>
    <row r="30" customFormat="false" ht="15" hidden="false" customHeight="false" outlineLevel="0" collapsed="false">
      <c r="A30" s="28" t="s">
        <v>773</v>
      </c>
      <c r="B30" s="28" t="s">
        <v>772</v>
      </c>
      <c r="C30" s="28" t="str">
        <f aca="false">IFERROR(INDEX(Cadencier!$C$5:$C$441,MATCH(B30,Cadencier!$A$5:$A$441,0)),"code inconnu")</f>
        <v>Betteraves rouges crues</v>
      </c>
      <c r="D30" s="29" t="n">
        <f aca="false">IFERROR(INDEX(Cadencier!$J$5:$J$441,MATCH(B30,Cadencier!$A$5:$A$441,0)),0)</f>
        <v>1.4</v>
      </c>
    </row>
    <row r="31" customFormat="false" ht="15" hidden="false" customHeight="false" outlineLevel="0" collapsed="false">
      <c r="A31" s="28" t="s">
        <v>1491</v>
      </c>
      <c r="B31" s="28" t="s">
        <v>673</v>
      </c>
      <c r="C31" s="28" t="str">
        <f aca="false">IFERROR(INDEX(Cadencier!$C$5:$C$441,MATCH(B31,Cadencier!$A$5:$A$441,0)),"code inconnu")</f>
        <v>Beurre doux</v>
      </c>
      <c r="D31" s="29" t="n">
        <f aca="false">IFERROR(INDEX(Cadencier!$J$5:$J$441,MATCH(B31,Cadencier!$A$5:$A$441,0)),0)</f>
        <v>9</v>
      </c>
    </row>
    <row r="32" customFormat="false" ht="15" hidden="false" customHeight="false" outlineLevel="0" collapsed="false">
      <c r="A32" s="28" t="s">
        <v>1492</v>
      </c>
      <c r="B32" s="28" t="s">
        <v>673</v>
      </c>
      <c r="C32" s="28" t="str">
        <f aca="false">IFERROR(INDEX(Cadencier!$C$5:$C$441,MATCH(B32,Cadencier!$A$5:$A$441,0)),"code inconnu")</f>
        <v>Beurre doux</v>
      </c>
      <c r="D32" s="29" t="n">
        <f aca="false">IFERROR(INDEX(Cadencier!$J$5:$J$441,MATCH(B32,Cadencier!$A$5:$A$441,0)),0)</f>
        <v>9</v>
      </c>
    </row>
    <row r="33" customFormat="false" ht="15" hidden="false" customHeight="false" outlineLevel="0" collapsed="false">
      <c r="A33" s="28" t="s">
        <v>1493</v>
      </c>
      <c r="B33" s="28" t="s">
        <v>673</v>
      </c>
      <c r="C33" s="28" t="str">
        <f aca="false">IFERROR(INDEX(Cadencier!$C$5:$C$441,MATCH(B33,Cadencier!$A$5:$A$441,0)),"code inconnu")</f>
        <v>Beurre doux</v>
      </c>
      <c r="D33" s="29" t="n">
        <f aca="false">IFERROR(INDEX(Cadencier!$J$5:$J$441,MATCH(B33,Cadencier!$A$5:$A$441,0)),0)</f>
        <v>9</v>
      </c>
    </row>
    <row r="34" customFormat="false" ht="15" hidden="false" customHeight="false" outlineLevel="0" collapsed="false">
      <c r="A34" s="28" t="s">
        <v>675</v>
      </c>
      <c r="B34" s="28" t="s">
        <v>673</v>
      </c>
      <c r="C34" s="28" t="str">
        <f aca="false">IFERROR(INDEX(Cadencier!$C$5:$C$441,MATCH(B34,Cadencier!$A$5:$A$441,0)),"code inconnu")</f>
        <v>Beurre doux</v>
      </c>
      <c r="D34" s="29" t="n">
        <f aca="false">IFERROR(INDEX(Cadencier!$J$5:$J$441,MATCH(B34,Cadencier!$A$5:$A$441,0)),0)</f>
        <v>9</v>
      </c>
    </row>
    <row r="35" customFormat="false" ht="15" hidden="false" customHeight="false" outlineLevel="0" collapsed="false">
      <c r="A35" s="28" t="s">
        <v>1494</v>
      </c>
      <c r="B35" s="28" t="s">
        <v>677</v>
      </c>
      <c r="C35" s="28" t="str">
        <f aca="false">IFERROR(INDEX(Cadencier!$C$5:$C$441,MATCH(B35,Cadencier!$A$5:$A$441,0)),"code inconnu")</f>
        <v>Beurre portions 10 g</v>
      </c>
      <c r="D35" s="29" t="n">
        <f aca="false">IFERROR(INDEX(Cadencier!$J$5:$J$441,MATCH(B35,Cadencier!$A$5:$A$441,0)),0)</f>
        <v>10.5</v>
      </c>
    </row>
    <row r="36" customFormat="false" ht="15" hidden="false" customHeight="false" outlineLevel="0" collapsed="false">
      <c r="A36" s="28" t="s">
        <v>1495</v>
      </c>
      <c r="B36" s="28" t="s">
        <v>673</v>
      </c>
      <c r="C36" s="28" t="str">
        <f aca="false">IFERROR(INDEX(Cadencier!$C$5:$C$441,MATCH(B36,Cadencier!$A$5:$A$441,0)),"code inconnu")</f>
        <v>Beurre doux</v>
      </c>
      <c r="D36" s="29" t="n">
        <f aca="false">IFERROR(INDEX(Cadencier!$J$5:$J$441,MATCH(B36,Cadencier!$A$5:$A$441,0)),0)</f>
        <v>9</v>
      </c>
    </row>
    <row r="37" customFormat="false" ht="15" hidden="false" customHeight="false" outlineLevel="0" collapsed="false">
      <c r="A37" s="28" t="s">
        <v>678</v>
      </c>
      <c r="B37" s="28" t="s">
        <v>677</v>
      </c>
      <c r="C37" s="28" t="str">
        <f aca="false">IFERROR(INDEX(Cadencier!$C$5:$C$441,MATCH(B37,Cadencier!$A$5:$A$441,0)),"code inconnu")</f>
        <v>Beurre portions 10 g</v>
      </c>
      <c r="D37" s="29" t="n">
        <f aca="false">IFERROR(INDEX(Cadencier!$J$5:$J$441,MATCH(B37,Cadencier!$A$5:$A$441,0)),0)</f>
        <v>10.5</v>
      </c>
    </row>
    <row r="38" customFormat="false" ht="15" hidden="false" customHeight="false" outlineLevel="0" collapsed="false">
      <c r="A38" s="28" t="s">
        <v>1496</v>
      </c>
      <c r="B38" s="28" t="s">
        <v>1047</v>
      </c>
      <c r="C38" s="28" t="str">
        <f aca="false">IFERROR(INDEX(Cadencier!$C$5:$C$441,MATCH(B38,Cadencier!$A$5:$A$441,0)),"code inconnu")</f>
        <v>Bicarbonate de soude</v>
      </c>
      <c r="D38" s="29" t="n">
        <f aca="false">IFERROR(INDEX(Cadencier!$J$5:$J$441,MATCH(B38,Cadencier!$A$5:$A$441,0)),0)</f>
        <v>3</v>
      </c>
    </row>
    <row r="39" customFormat="false" ht="15" hidden="false" customHeight="false" outlineLevel="0" collapsed="false">
      <c r="A39" s="28" t="s">
        <v>1497</v>
      </c>
      <c r="B39" s="28" t="s">
        <v>1415</v>
      </c>
      <c r="C39" s="28" t="str">
        <f aca="false">IFERROR(INDEX(Cadencier!$C$5:$C$441,MATCH(B39,Cadencier!$A$5:$A$441,0)),"code inconnu")</f>
        <v>Génoise nature prête à l'emploi (plaque 40x60)</v>
      </c>
      <c r="D39" s="29" t="n">
        <f aca="false">IFERROR(INDEX(Cadencier!$J$5:$J$441,MATCH(B39,Cadencier!$A$5:$A$441,0)),0)</f>
        <v>6</v>
      </c>
    </row>
    <row r="40" customFormat="false" ht="15" hidden="false" customHeight="false" outlineLevel="0" collapsed="false">
      <c r="A40" s="28" t="s">
        <v>1498</v>
      </c>
      <c r="B40" s="28" t="s">
        <v>1189</v>
      </c>
      <c r="C40" s="28" t="str">
        <f aca="false">IFERROR(INDEX(Cadencier!$C$5:$C$441,MATCH(B40,Cadencier!$A$5:$A$441,0)),"code inconnu")</f>
        <v>Bisque de homard</v>
      </c>
      <c r="D40" s="29" t="n">
        <f aca="false">IFERROR(INDEX(Cadencier!$J$5:$J$441,MATCH(B40,Cadencier!$A$5:$A$441,0)),0)</f>
        <v>6.5</v>
      </c>
    </row>
    <row r="41" customFormat="false" ht="15" hidden="false" customHeight="false" outlineLevel="0" collapsed="false">
      <c r="A41" s="28" t="s">
        <v>1353</v>
      </c>
      <c r="B41" s="28" t="s">
        <v>1351</v>
      </c>
      <c r="C41" s="28" t="str">
        <f aca="false">IFERROR(INDEX(Cadencier!$C$5:$C$441,MATCH(B41,Cadencier!$A$5:$A$441,0)),"code inconnu")</f>
        <v>Bière brune</v>
      </c>
      <c r="D41" s="29" t="n">
        <f aca="false">IFERROR(INDEX(Cadencier!$J$5:$J$441,MATCH(B41,Cadencier!$A$5:$A$441,0)),0)</f>
        <v>3</v>
      </c>
    </row>
    <row r="42" customFormat="false" ht="15" hidden="false" customHeight="false" outlineLevel="0" collapsed="false">
      <c r="A42" s="28" t="s">
        <v>681</v>
      </c>
      <c r="B42" s="28" t="s">
        <v>680</v>
      </c>
      <c r="C42" s="28" t="str">
        <f aca="false">IFERROR(INDEX(Cadencier!$C$5:$C$441,MATCH(B42,Cadencier!$A$5:$A$441,0)),"code inconnu")</f>
        <v>Blancs d'œufs liquides pasteurisés</v>
      </c>
      <c r="D42" s="29" t="n">
        <f aca="false">IFERROR(INDEX(Cadencier!$J$5:$J$441,MATCH(B42,Cadencier!$A$5:$A$441,0)),0)</f>
        <v>4.5</v>
      </c>
    </row>
    <row r="43" customFormat="false" ht="15" hidden="false" customHeight="false" outlineLevel="0" collapsed="false">
      <c r="A43" s="28" t="s">
        <v>1499</v>
      </c>
      <c r="B43" s="28" t="s">
        <v>845</v>
      </c>
      <c r="C43" s="28" t="str">
        <f aca="false">IFERROR(INDEX(Cadencier!$C$5:$C$441,MATCH(B43,Cadencier!$A$5:$A$441,0)),"code inconnu")</f>
        <v>Poireaux frais</v>
      </c>
      <c r="D43" s="29" t="n">
        <f aca="false">IFERROR(INDEX(Cadencier!$J$5:$J$441,MATCH(B43,Cadencier!$A$5:$A$441,0)),0)</f>
        <v>2</v>
      </c>
    </row>
    <row r="44" customFormat="false" ht="15" hidden="false" customHeight="false" outlineLevel="0" collapsed="false">
      <c r="A44" s="28" t="s">
        <v>685</v>
      </c>
      <c r="B44" s="28" t="s">
        <v>684</v>
      </c>
      <c r="C44" s="28" t="str">
        <f aca="false">IFERROR(INDEX(Cadencier!$C$5:$C$441,MATCH(B44,Cadencier!$A$5:$A$441,0)),"code inconnu")</f>
        <v>Bleu d'Auvergne</v>
      </c>
      <c r="D44" s="29" t="n">
        <f aca="false">IFERROR(INDEX(Cadencier!$J$5:$J$441,MATCH(B44,Cadencier!$A$5:$A$441,0)),0)</f>
        <v>10.5</v>
      </c>
    </row>
    <row r="45" customFormat="false" ht="15" hidden="false" customHeight="false" outlineLevel="0" collapsed="false">
      <c r="A45" s="28" t="s">
        <v>559</v>
      </c>
      <c r="B45" s="28" t="s">
        <v>558</v>
      </c>
      <c r="C45" s="28" t="str">
        <f aca="false">IFERROR(INDEX(Cadencier!$C$5:$C$441,MATCH(B45,Cadencier!$A$5:$A$441,0)),"code inconnu")</f>
        <v>Bloc de foie gras de canard</v>
      </c>
      <c r="D45" s="29" t="n">
        <f aca="false">IFERROR(INDEX(Cadencier!$J$5:$J$441,MATCH(B45,Cadencier!$A$5:$A$441,0)),0)</f>
        <v>45</v>
      </c>
    </row>
    <row r="46" customFormat="false" ht="15" hidden="false" customHeight="false" outlineLevel="0" collapsed="false">
      <c r="A46" s="28" t="s">
        <v>1500</v>
      </c>
      <c r="B46" s="28" t="s">
        <v>1051</v>
      </c>
      <c r="C46" s="28" t="str">
        <f aca="false">IFERROR(INDEX(Cadencier!$C$5:$C$441,MATCH(B46,Cadencier!$A$5:$A$441,0)),"code inconnu")</f>
        <v>Blé précuit (type Ebly)</v>
      </c>
      <c r="D46" s="29" t="n">
        <f aca="false">IFERROR(INDEX(Cadencier!$J$5:$J$441,MATCH(B46,Cadencier!$A$5:$A$441,0)),0)</f>
        <v>2.8</v>
      </c>
    </row>
    <row r="47" customFormat="false" ht="15" hidden="false" customHeight="false" outlineLevel="0" collapsed="false">
      <c r="A47" s="28" t="s">
        <v>1501</v>
      </c>
      <c r="B47" s="28" t="s">
        <v>1392</v>
      </c>
      <c r="C47" s="28" t="str">
        <f aca="false">IFERROR(INDEX(Cadencier!$C$5:$C$441,MATCH(B47,Cadencier!$A$5:$A$441,0)),"code inconnu")</f>
        <v>Bouchées feuilletées vides 40 g</v>
      </c>
      <c r="D47" s="29" t="n">
        <f aca="false">IFERROR(INDEX(Cadencier!$J$5:$J$441,MATCH(B47,Cadencier!$A$5:$A$441,0)),0)</f>
        <v>8.75</v>
      </c>
    </row>
    <row r="48" customFormat="false" ht="15" hidden="false" customHeight="false" outlineLevel="0" collapsed="false">
      <c r="A48" s="28" t="s">
        <v>1502</v>
      </c>
      <c r="B48" s="28" t="s">
        <v>561</v>
      </c>
      <c r="C48" s="28" t="str">
        <f aca="false">IFERROR(INDEX(Cadencier!$C$5:$C$441,MATCH(B48,Cadencier!$A$5:$A$441,0)),"code inconnu")</f>
        <v>Boudin blanc portions 100 g</v>
      </c>
      <c r="D48" s="29" t="n">
        <f aca="false">IFERROR(INDEX(Cadencier!$J$5:$J$441,MATCH(B48,Cadencier!$A$5:$A$441,0)),0)</f>
        <v>8.5</v>
      </c>
    </row>
    <row r="49" customFormat="false" ht="15" hidden="false" customHeight="false" outlineLevel="0" collapsed="false">
      <c r="A49" s="28" t="s">
        <v>1503</v>
      </c>
      <c r="B49" s="28" t="s">
        <v>563</v>
      </c>
      <c r="C49" s="28" t="str">
        <f aca="false">IFERROR(INDEX(Cadencier!$C$5:$C$441,MATCH(B49,Cadencier!$A$5:$A$441,0)),"code inconnu")</f>
        <v>Boudin noir portions 100 g</v>
      </c>
      <c r="D49" s="29" t="n">
        <f aca="false">IFERROR(INDEX(Cadencier!$J$5:$J$441,MATCH(B49,Cadencier!$A$5:$A$441,0)),0)</f>
        <v>7</v>
      </c>
    </row>
    <row r="50" customFormat="false" ht="15" hidden="false" customHeight="false" outlineLevel="0" collapsed="false">
      <c r="A50" s="28" t="s">
        <v>1504</v>
      </c>
      <c r="B50" s="28" t="s">
        <v>1053</v>
      </c>
      <c r="C50" s="28" t="str">
        <f aca="false">IFERROR(INDEX(Cadencier!$C$5:$C$441,MATCH(B50,Cadencier!$A$5:$A$441,0)),"code inconnu")</f>
        <v>Bouillon de bœuf déshydraté</v>
      </c>
      <c r="D50" s="29" t="n">
        <f aca="false">IFERROR(INDEX(Cadencier!$J$5:$J$441,MATCH(B50,Cadencier!$A$5:$A$441,0)),0)</f>
        <v>9</v>
      </c>
    </row>
    <row r="51" customFormat="false" ht="15" hidden="false" customHeight="false" outlineLevel="0" collapsed="false">
      <c r="A51" s="28" t="s">
        <v>1054</v>
      </c>
      <c r="B51" s="28" t="s">
        <v>1053</v>
      </c>
      <c r="C51" s="28" t="str">
        <f aca="false">IFERROR(INDEX(Cadencier!$C$5:$C$441,MATCH(B51,Cadencier!$A$5:$A$441,0)),"code inconnu")</f>
        <v>Bouillon de bœuf déshydraté</v>
      </c>
      <c r="D51" s="29" t="n">
        <f aca="false">IFERROR(INDEX(Cadencier!$J$5:$J$441,MATCH(B51,Cadencier!$A$5:$A$441,0)),0)</f>
        <v>9</v>
      </c>
    </row>
    <row r="52" customFormat="false" ht="15" hidden="false" customHeight="false" outlineLevel="0" collapsed="false">
      <c r="A52" s="28" t="s">
        <v>1505</v>
      </c>
      <c r="B52" s="28" t="s">
        <v>1053</v>
      </c>
      <c r="C52" s="28" t="str">
        <f aca="false">IFERROR(INDEX(Cadencier!$C$5:$C$441,MATCH(B52,Cadencier!$A$5:$A$441,0)),"code inconnu")</f>
        <v>Bouillon de bœuf déshydraté</v>
      </c>
      <c r="D52" s="29" t="n">
        <f aca="false">IFERROR(INDEX(Cadencier!$J$5:$J$441,MATCH(B52,Cadencier!$A$5:$A$441,0)),0)</f>
        <v>9</v>
      </c>
    </row>
    <row r="53" customFormat="false" ht="15" hidden="false" customHeight="false" outlineLevel="0" collapsed="false">
      <c r="A53" s="28" t="s">
        <v>1056</v>
      </c>
      <c r="B53" s="28" t="s">
        <v>1055</v>
      </c>
      <c r="C53" s="28" t="str">
        <f aca="false">IFERROR(INDEX(Cadencier!$C$5:$C$441,MATCH(B53,Cadencier!$A$5:$A$441,0)),"code inconnu")</f>
        <v>Bouillon de volaille déshydraté</v>
      </c>
      <c r="D53" s="29" t="n">
        <f aca="false">IFERROR(INDEX(Cadencier!$J$5:$J$441,MATCH(B53,Cadencier!$A$5:$A$441,0)),0)</f>
        <v>9</v>
      </c>
    </row>
    <row r="54" customFormat="false" ht="15" hidden="false" customHeight="false" outlineLevel="0" collapsed="false">
      <c r="A54" s="28" t="s">
        <v>1506</v>
      </c>
      <c r="B54" s="28" t="s">
        <v>436</v>
      </c>
      <c r="C54" s="28" t="str">
        <f aca="false">IFERROR(INDEX(Cadencier!$C$5:$C$441,MATCH(B54,Cadencier!$A$5:$A$441,0)),"code inconnu")</f>
        <v>Boulettes de bœuf crues surgelées 30 g</v>
      </c>
      <c r="D54" s="29" t="n">
        <f aca="false">IFERROR(INDEX(Cadencier!$J$5:$J$441,MATCH(B54,Cadencier!$A$5:$A$441,0)),0)</f>
        <v>8.5</v>
      </c>
    </row>
    <row r="55" customFormat="false" ht="15" hidden="false" customHeight="false" outlineLevel="0" collapsed="false">
      <c r="A55" s="28" t="s">
        <v>1507</v>
      </c>
      <c r="B55" s="28" t="s">
        <v>1333</v>
      </c>
      <c r="C55" s="28" t="str">
        <f aca="false">IFERROR(INDEX(Cadencier!$C$5:$C$441,MATCH(B55,Cadencier!$A$5:$A$441,0)),"code inconnu")</f>
        <v>Thym / laurier (bouquet garni)</v>
      </c>
      <c r="D55" s="29" t="n">
        <f aca="false">IFERROR(INDEX(Cadencier!$J$5:$J$441,MATCH(B55,Cadencier!$A$5:$A$441,0)),0)</f>
        <v>16</v>
      </c>
    </row>
    <row r="56" customFormat="false" ht="15" hidden="false" customHeight="false" outlineLevel="0" collapsed="false">
      <c r="A56" s="28" t="s">
        <v>1508</v>
      </c>
      <c r="B56" s="28" t="s">
        <v>1333</v>
      </c>
      <c r="C56" s="28" t="str">
        <f aca="false">IFERROR(INDEX(Cadencier!$C$5:$C$441,MATCH(B56,Cadencier!$A$5:$A$441,0)),"code inconnu")</f>
        <v>Thym / laurier (bouquet garni)</v>
      </c>
      <c r="D56" s="29" t="n">
        <f aca="false">IFERROR(INDEX(Cadencier!$J$5:$J$441,MATCH(B56,Cadencier!$A$5:$A$441,0)),0)</f>
        <v>16</v>
      </c>
    </row>
    <row r="57" customFormat="false" ht="15" hidden="false" customHeight="false" outlineLevel="0" collapsed="false">
      <c r="A57" s="28" t="s">
        <v>1509</v>
      </c>
      <c r="B57" s="28" t="s">
        <v>1333</v>
      </c>
      <c r="C57" s="28" t="str">
        <f aca="false">IFERROR(INDEX(Cadencier!$C$5:$C$441,MATCH(B57,Cadencier!$A$5:$A$441,0)),"code inconnu")</f>
        <v>Thym / laurier (bouquet garni)</v>
      </c>
      <c r="D57" s="29" t="n">
        <f aca="false">IFERROR(INDEX(Cadencier!$J$5:$J$441,MATCH(B57,Cadencier!$A$5:$A$441,0)),0)</f>
        <v>16</v>
      </c>
    </row>
    <row r="58" customFormat="false" ht="15" hidden="false" customHeight="false" outlineLevel="0" collapsed="false">
      <c r="A58" s="28" t="s">
        <v>1510</v>
      </c>
      <c r="B58" s="28" t="s">
        <v>439</v>
      </c>
      <c r="C58" s="28" t="str">
        <f aca="false">IFERROR(INDEX(Cadencier!$C$5:$C$441,MATCH(B58,Cadencier!$A$5:$A$441,0)),"code inconnu")</f>
        <v>Brochettes de bœuf 100 g</v>
      </c>
      <c r="D58" s="29" t="n">
        <f aca="false">IFERROR(INDEX(Cadencier!$J$5:$J$441,MATCH(B58,Cadencier!$A$5:$A$441,0)),0)</f>
        <v>14</v>
      </c>
    </row>
    <row r="59" customFormat="false" ht="15" hidden="false" customHeight="false" outlineLevel="0" collapsed="false">
      <c r="A59" s="28" t="s">
        <v>1511</v>
      </c>
      <c r="B59" s="28" t="s">
        <v>520</v>
      </c>
      <c r="C59" s="28" t="str">
        <f aca="false">IFERROR(INDEX(Cadencier!$C$5:$C$441,MATCH(B59,Cadencier!$A$5:$A$441,0)),"code inconnu")</f>
        <v>Brochettes de poulet 100 g</v>
      </c>
      <c r="D59" s="29" t="n">
        <f aca="false">IFERROR(INDEX(Cadencier!$J$5:$J$441,MATCH(B59,Cadencier!$A$5:$A$441,0)),0)</f>
        <v>11</v>
      </c>
    </row>
    <row r="60" customFormat="false" ht="15" hidden="false" customHeight="false" outlineLevel="0" collapsed="false">
      <c r="A60" s="28" t="s">
        <v>907</v>
      </c>
      <c r="B60" s="28" t="s">
        <v>906</v>
      </c>
      <c r="C60" s="28" t="str">
        <f aca="false">IFERROR(INDEX(Cadencier!$C$5:$C$441,MATCH(B60,Cadencier!$A$5:$A$441,0)),"code inconnu")</f>
        <v>Brocolis fleurettes surgelés</v>
      </c>
      <c r="D60" s="29" t="n">
        <f aca="false">IFERROR(INDEX(Cadencier!$J$5:$J$441,MATCH(B60,Cadencier!$A$5:$A$441,0)),0)</f>
        <v>2.3</v>
      </c>
    </row>
    <row r="61" customFormat="false" ht="15" hidden="false" customHeight="false" outlineLevel="0" collapsed="false">
      <c r="A61" s="28" t="s">
        <v>1512</v>
      </c>
      <c r="B61" s="28" t="s">
        <v>908</v>
      </c>
      <c r="C61" s="28" t="str">
        <f aca="false">IFERROR(INDEX(Cadencier!$C$5:$C$441,MATCH(B61,Cadencier!$A$5:$A$441,0)),"code inconnu")</f>
        <v>Brunoise de légumes surgelée</v>
      </c>
      <c r="D61" s="29" t="n">
        <f aca="false">IFERROR(INDEX(Cadencier!$J$5:$J$441,MATCH(B61,Cadencier!$A$5:$A$441,0)),0)</f>
        <v>4</v>
      </c>
    </row>
    <row r="62" customFormat="false" ht="15" hidden="false" customHeight="false" outlineLevel="0" collapsed="false">
      <c r="A62" s="28" t="s">
        <v>1513</v>
      </c>
      <c r="B62" s="28" t="s">
        <v>912</v>
      </c>
      <c r="C62" s="28" t="str">
        <f aca="false">IFERROR(INDEX(Cadencier!$C$5:$C$441,MATCH(B62,Cadencier!$A$5:$A$441,0)),"code inconnu")</f>
        <v>Carottes brunoise surgelées</v>
      </c>
      <c r="D62" s="29" t="n">
        <f aca="false">IFERROR(INDEX(Cadencier!$J$5:$J$441,MATCH(B62,Cadencier!$A$5:$A$441,0)),0)</f>
        <v>2.6</v>
      </c>
    </row>
    <row r="63" customFormat="false" ht="15" hidden="false" customHeight="false" outlineLevel="0" collapsed="false">
      <c r="A63" s="28" t="s">
        <v>1514</v>
      </c>
      <c r="B63" s="28" t="s">
        <v>908</v>
      </c>
      <c r="C63" s="28" t="str">
        <f aca="false">IFERROR(INDEX(Cadencier!$C$5:$C$441,MATCH(B63,Cadencier!$A$5:$A$441,0)),"code inconnu")</f>
        <v>Brunoise de légumes surgelée</v>
      </c>
      <c r="D63" s="29" t="n">
        <f aca="false">IFERROR(INDEX(Cadencier!$J$5:$J$441,MATCH(B63,Cadencier!$A$5:$A$441,0)),0)</f>
        <v>4</v>
      </c>
    </row>
    <row r="64" customFormat="false" ht="15" hidden="false" customHeight="false" outlineLevel="0" collapsed="false">
      <c r="A64" s="28" t="s">
        <v>1515</v>
      </c>
      <c r="B64" s="28" t="s">
        <v>908</v>
      </c>
      <c r="C64" s="28" t="str">
        <f aca="false">IFERROR(INDEX(Cadencier!$C$5:$C$441,MATCH(B64,Cadencier!$A$5:$A$441,0)),"code inconnu")</f>
        <v>Brunoise de légumes surgelée</v>
      </c>
      <c r="D64" s="29" t="n">
        <f aca="false">IFERROR(INDEX(Cadencier!$J$5:$J$441,MATCH(B64,Cadencier!$A$5:$A$441,0)),0)</f>
        <v>4</v>
      </c>
    </row>
    <row r="65" customFormat="false" ht="15" hidden="false" customHeight="false" outlineLevel="0" collapsed="false">
      <c r="A65" s="28" t="s">
        <v>1516</v>
      </c>
      <c r="B65" s="28" t="s">
        <v>908</v>
      </c>
      <c r="C65" s="28" t="str">
        <f aca="false">IFERROR(INDEX(Cadencier!$C$5:$C$441,MATCH(B65,Cadencier!$A$5:$A$441,0)),"code inconnu")</f>
        <v>Brunoise de légumes surgelée</v>
      </c>
      <c r="D65" s="29" t="n">
        <f aca="false">IFERROR(INDEX(Cadencier!$J$5:$J$441,MATCH(B65,Cadencier!$A$5:$A$441,0)),0)</f>
        <v>4</v>
      </c>
    </row>
    <row r="66" customFormat="false" ht="15" hidden="false" customHeight="false" outlineLevel="0" collapsed="false">
      <c r="A66" s="28" t="s">
        <v>629</v>
      </c>
      <c r="B66" s="28" t="s">
        <v>628</v>
      </c>
      <c r="C66" s="28" t="str">
        <f aca="false">IFERROR(INDEX(Cadencier!$C$5:$C$441,MATCH(B66,Cadencier!$A$5:$A$441,0)),"code inconnu")</f>
        <v>Bâtonnets de surimi</v>
      </c>
      <c r="D66" s="29" t="n">
        <f aca="false">IFERROR(INDEX(Cadencier!$J$5:$J$441,MATCH(B66,Cadencier!$A$5:$A$441,0)),0)</f>
        <v>6</v>
      </c>
    </row>
    <row r="67" customFormat="false" ht="15" hidden="false" customHeight="false" outlineLevel="0" collapsed="false">
      <c r="A67" s="28" t="s">
        <v>688</v>
      </c>
      <c r="B67" s="28" t="s">
        <v>687</v>
      </c>
      <c r="C67" s="28" t="str">
        <f aca="false">IFERROR(INDEX(Cadencier!$C$5:$C$441,MATCH(B67,Cadencier!$A$5:$A$441,0)),"code inconnu")</f>
        <v>Bûche de chèvre</v>
      </c>
      <c r="D67" s="29" t="n">
        <f aca="false">IFERROR(INDEX(Cadencier!$J$5:$J$441,MATCH(B67,Cadencier!$A$5:$A$441,0)),0)</f>
        <v>11</v>
      </c>
    </row>
    <row r="68" customFormat="false" ht="15" hidden="false" customHeight="false" outlineLevel="0" collapsed="false">
      <c r="A68" s="28" t="s">
        <v>1517</v>
      </c>
      <c r="B68" s="28" t="s">
        <v>687</v>
      </c>
      <c r="C68" s="28" t="str">
        <f aca="false">IFERROR(INDEX(Cadencier!$C$5:$C$441,MATCH(B68,Cadencier!$A$5:$A$441,0)),"code inconnu")</f>
        <v>Bûche de chèvre</v>
      </c>
      <c r="D68" s="29" t="n">
        <f aca="false">IFERROR(INDEX(Cadencier!$J$5:$J$441,MATCH(B68,Cadencier!$A$5:$A$441,0)),0)</f>
        <v>11</v>
      </c>
    </row>
    <row r="69" customFormat="false" ht="15" hidden="false" customHeight="false" outlineLevel="0" collapsed="false">
      <c r="A69" s="28" t="s">
        <v>445</v>
      </c>
      <c r="B69" s="28" t="s">
        <v>444</v>
      </c>
      <c r="C69" s="28" t="str">
        <f aca="false">IFERROR(INDEX(Cadencier!$C$5:$C$441,MATCH(B69,Cadencier!$A$5:$A$441,0)),"code inconnu")</f>
        <v>Bœuf haché 15 % MG surgelé</v>
      </c>
      <c r="D69" s="29" t="n">
        <f aca="false">IFERROR(INDEX(Cadencier!$J$5:$J$441,MATCH(B69,Cadencier!$A$5:$A$441,0)),0)</f>
        <v>8.5</v>
      </c>
    </row>
    <row r="70" customFormat="false" ht="15" hidden="false" customHeight="false" outlineLevel="0" collapsed="false">
      <c r="A70" s="28" t="s">
        <v>1518</v>
      </c>
      <c r="B70" s="28" t="s">
        <v>442</v>
      </c>
      <c r="C70" s="28" t="str">
        <f aca="false">IFERROR(INDEX(Cadencier!$C$5:$C$441,MATCH(B70,Cadencier!$A$5:$A$441,0)),"code inconnu")</f>
        <v>Bœuf haché 15 % MG frais</v>
      </c>
      <c r="D70" s="29" t="n">
        <f aca="false">IFERROR(INDEX(Cadencier!$J$5:$J$441,MATCH(B70,Cadencier!$A$5:$A$441,0)),0)</f>
        <v>9.5</v>
      </c>
    </row>
    <row r="71" customFormat="false" ht="15" hidden="false" customHeight="false" outlineLevel="0" collapsed="false">
      <c r="A71" s="28" t="s">
        <v>1058</v>
      </c>
      <c r="B71" s="28" t="s">
        <v>1057</v>
      </c>
      <c r="C71" s="28" t="str">
        <f aca="false">IFERROR(INDEX(Cadencier!$C$5:$C$441,MATCH(B71,Cadencier!$A$5:$A$441,0)),"code inconnu")</f>
        <v>Cacao en poudre</v>
      </c>
      <c r="D71" s="29" t="n">
        <f aca="false">IFERROR(INDEX(Cadencier!$J$5:$J$441,MATCH(B71,Cadencier!$A$5:$A$441,0)),0)</f>
        <v>7</v>
      </c>
    </row>
    <row r="72" customFormat="false" ht="15" hidden="false" customHeight="false" outlineLevel="0" collapsed="false">
      <c r="A72" s="28" t="s">
        <v>1519</v>
      </c>
      <c r="B72" s="28" t="s">
        <v>1057</v>
      </c>
      <c r="C72" s="28" t="str">
        <f aca="false">IFERROR(INDEX(Cadencier!$C$5:$C$441,MATCH(B72,Cadencier!$A$5:$A$441,0)),"code inconnu")</f>
        <v>Cacao en poudre</v>
      </c>
      <c r="D72" s="29" t="n">
        <f aca="false">IFERROR(INDEX(Cadencier!$J$5:$J$441,MATCH(B72,Cadencier!$A$5:$A$441,0)),0)</f>
        <v>7</v>
      </c>
    </row>
    <row r="73" customFormat="false" ht="15" hidden="false" customHeight="false" outlineLevel="0" collapsed="false">
      <c r="A73" s="28" t="s">
        <v>1520</v>
      </c>
      <c r="B73" s="28" t="s">
        <v>630</v>
      </c>
      <c r="C73" s="28" t="str">
        <f aca="false">IFERROR(INDEX(Cadencier!$C$5:$C$441,MATCH(B73,Cadencier!$A$5:$A$441,0)),"code inconnu")</f>
        <v>Calamars / seiches surgelés</v>
      </c>
      <c r="D73" s="29" t="n">
        <f aca="false">IFERROR(INDEX(Cadencier!$J$5:$J$441,MATCH(B73,Cadencier!$A$5:$A$441,0)),0)</f>
        <v>8</v>
      </c>
    </row>
    <row r="74" customFormat="false" ht="15" hidden="false" customHeight="false" outlineLevel="0" collapsed="false">
      <c r="A74" s="28" t="s">
        <v>1356</v>
      </c>
      <c r="B74" s="28" t="s">
        <v>1355</v>
      </c>
      <c r="C74" s="28" t="str">
        <f aca="false">IFERROR(INDEX(Cadencier!$C$5:$C$441,MATCH(B74,Cadencier!$A$5:$A$441,0)),"code inconnu")</f>
        <v>Calvados</v>
      </c>
      <c r="D74" s="29" t="n">
        <f aca="false">IFERROR(INDEX(Cadencier!$J$5:$J$441,MATCH(B74,Cadencier!$A$5:$A$441,0)),0)</f>
        <v>18</v>
      </c>
    </row>
    <row r="75" customFormat="false" ht="15" hidden="false" customHeight="false" outlineLevel="0" collapsed="false">
      <c r="A75" s="28" t="s">
        <v>1521</v>
      </c>
      <c r="B75" s="28" t="s">
        <v>1257</v>
      </c>
      <c r="C75" s="28" t="str">
        <f aca="false">IFERROR(INDEX(Cadencier!$C$5:$C$441,MATCH(B75,Cadencier!$A$5:$A$441,0)),"code inconnu")</f>
        <v>Cannelle moulue</v>
      </c>
      <c r="D75" s="29" t="n">
        <f aca="false">IFERROR(INDEX(Cadencier!$J$5:$J$441,MATCH(B75,Cadencier!$A$5:$A$441,0)),0)</f>
        <v>12</v>
      </c>
    </row>
    <row r="76" customFormat="false" ht="15" hidden="false" customHeight="false" outlineLevel="0" collapsed="false">
      <c r="A76" s="28" t="s">
        <v>1522</v>
      </c>
      <c r="B76" s="28" t="s">
        <v>1257</v>
      </c>
      <c r="C76" s="28" t="str">
        <f aca="false">IFERROR(INDEX(Cadencier!$C$5:$C$441,MATCH(B76,Cadencier!$A$5:$A$441,0)),"code inconnu")</f>
        <v>Cannelle moulue</v>
      </c>
      <c r="D76" s="29" t="n">
        <f aca="false">IFERROR(INDEX(Cadencier!$J$5:$J$441,MATCH(B76,Cadencier!$A$5:$A$441,0)),0)</f>
        <v>12</v>
      </c>
    </row>
    <row r="77" customFormat="false" ht="15" hidden="false" customHeight="false" outlineLevel="0" collapsed="false">
      <c r="A77" s="28" t="s">
        <v>1523</v>
      </c>
      <c r="B77" s="28" t="s">
        <v>1257</v>
      </c>
      <c r="C77" s="28" t="str">
        <f aca="false">IFERROR(INDEX(Cadencier!$C$5:$C$441,MATCH(B77,Cadencier!$A$5:$A$441,0)),"code inconnu")</f>
        <v>Cannelle moulue</v>
      </c>
      <c r="D77" s="29" t="n">
        <f aca="false">IFERROR(INDEX(Cadencier!$J$5:$J$441,MATCH(B77,Cadencier!$A$5:$A$441,0)),0)</f>
        <v>12</v>
      </c>
    </row>
    <row r="78" customFormat="false" ht="15" hidden="false" customHeight="false" outlineLevel="0" collapsed="false">
      <c r="A78" s="28" t="s">
        <v>1060</v>
      </c>
      <c r="B78" s="28" t="s">
        <v>1059</v>
      </c>
      <c r="C78" s="28" t="str">
        <f aca="false">IFERROR(INDEX(Cadencier!$C$5:$C$441,MATCH(B78,Cadencier!$A$5:$A$441,0)),"code inconnu")</f>
        <v>Cannellonis à farcir (pâte sèche)</v>
      </c>
      <c r="D78" s="29" t="n">
        <f aca="false">IFERROR(INDEX(Cadencier!$J$5:$J$441,MATCH(B78,Cadencier!$A$5:$A$441,0)),0)</f>
        <v>4.5</v>
      </c>
    </row>
    <row r="79" customFormat="false" ht="15" hidden="false" customHeight="false" outlineLevel="0" collapsed="false">
      <c r="A79" s="28" t="s">
        <v>1524</v>
      </c>
      <c r="B79" s="28" t="s">
        <v>690</v>
      </c>
      <c r="C79" s="28" t="str">
        <f aca="false">IFERROR(INDEX(Cadencier!$C$5:$C$441,MATCH(B79,Cadencier!$A$5:$A$441,0)),"code inconnu")</f>
        <v>Cantal jeune</v>
      </c>
      <c r="D79" s="29" t="n">
        <f aca="false">IFERROR(INDEX(Cadencier!$J$5:$J$441,MATCH(B79,Cadencier!$A$5:$A$441,0)),0)</f>
        <v>11</v>
      </c>
    </row>
    <row r="80" customFormat="false" ht="15" hidden="false" customHeight="false" outlineLevel="0" collapsed="false">
      <c r="A80" s="28" t="s">
        <v>1398</v>
      </c>
      <c r="B80" s="28" t="s">
        <v>1397</v>
      </c>
      <c r="C80" s="28" t="str">
        <f aca="false">IFERROR(INDEX(Cadencier!$C$5:$C$441,MATCH(B80,Cadencier!$A$5:$A$441,0)),"code inconnu")</f>
        <v>Caramel beurre salé prêt à l'emploi</v>
      </c>
      <c r="D80" s="29" t="n">
        <f aca="false">IFERROR(INDEX(Cadencier!$J$5:$J$441,MATCH(B80,Cadencier!$A$5:$A$441,0)),0)</f>
        <v>8</v>
      </c>
    </row>
    <row r="81" customFormat="false" ht="15" hidden="false" customHeight="false" outlineLevel="0" collapsed="false">
      <c r="A81" s="28" t="s">
        <v>1525</v>
      </c>
      <c r="B81" s="28" t="s">
        <v>777</v>
      </c>
      <c r="C81" s="28" t="str">
        <f aca="false">IFERROR(INDEX(Cadencier!$C$5:$C$441,MATCH(B81,Cadencier!$A$5:$A$441,0)),"code inconnu")</f>
        <v>Carottes fraîches</v>
      </c>
      <c r="D81" s="29" t="n">
        <f aca="false">IFERROR(INDEX(Cadencier!$J$5:$J$441,MATCH(B81,Cadencier!$A$5:$A$441,0)),0)</f>
        <v>1</v>
      </c>
    </row>
    <row r="82" customFormat="false" ht="15" hidden="false" customHeight="false" outlineLevel="0" collapsed="false">
      <c r="A82" s="28" t="s">
        <v>1526</v>
      </c>
      <c r="B82" s="28" t="s">
        <v>912</v>
      </c>
      <c r="C82" s="28" t="str">
        <f aca="false">IFERROR(INDEX(Cadencier!$C$5:$C$441,MATCH(B82,Cadencier!$A$5:$A$441,0)),"code inconnu")</f>
        <v>Carottes brunoise surgelées</v>
      </c>
      <c r="D82" s="29" t="n">
        <f aca="false">IFERROR(INDEX(Cadencier!$J$5:$J$441,MATCH(B82,Cadencier!$A$5:$A$441,0)),0)</f>
        <v>2.6</v>
      </c>
    </row>
    <row r="83" customFormat="false" ht="15" hidden="false" customHeight="false" outlineLevel="0" collapsed="false">
      <c r="A83" s="28" t="s">
        <v>1527</v>
      </c>
      <c r="B83" s="28" t="s">
        <v>775</v>
      </c>
      <c r="C83" s="28" t="str">
        <f aca="false">IFERROR(INDEX(Cadencier!$C$5:$C$441,MATCH(B83,Cadencier!$A$5:$A$441,0)),"code inconnu")</f>
        <v>Carottes bâtonnets 4ème gamme</v>
      </c>
      <c r="D83" s="29" t="n">
        <f aca="false">IFERROR(INDEX(Cadencier!$J$5:$J$441,MATCH(B83,Cadencier!$A$5:$A$441,0)),0)</f>
        <v>3.2</v>
      </c>
    </row>
    <row r="84" customFormat="false" ht="15" hidden="false" customHeight="false" outlineLevel="0" collapsed="false">
      <c r="A84" s="28" t="s">
        <v>911</v>
      </c>
      <c r="B84" s="28" t="s">
        <v>910</v>
      </c>
      <c r="C84" s="28" t="str">
        <f aca="false">IFERROR(INDEX(Cadencier!$C$5:$C$441,MATCH(B84,Cadencier!$A$5:$A$441,0)),"code inconnu")</f>
        <v>Carottes bâtonnets surgelées</v>
      </c>
      <c r="D84" s="29" t="n">
        <f aca="false">IFERROR(INDEX(Cadencier!$J$5:$J$441,MATCH(B84,Cadencier!$A$5:$A$441,0)),0)</f>
        <v>2.2</v>
      </c>
    </row>
    <row r="85" customFormat="false" ht="15" hidden="false" customHeight="false" outlineLevel="0" collapsed="false">
      <c r="A85" s="28" t="s">
        <v>915</v>
      </c>
      <c r="B85" s="28" t="s">
        <v>914</v>
      </c>
      <c r="C85" s="28" t="str">
        <f aca="false">IFERROR(INDEX(Cadencier!$C$5:$C$441,MATCH(B85,Cadencier!$A$5:$A$441,0)),"code inconnu")</f>
        <v>Carottes cubes surgelées</v>
      </c>
      <c r="D85" s="29" t="n">
        <f aca="false">IFERROR(INDEX(Cadencier!$J$5:$J$441,MATCH(B85,Cadencier!$A$5:$A$441,0)),0)</f>
        <v>1.9</v>
      </c>
    </row>
    <row r="86" customFormat="false" ht="15" hidden="false" customHeight="false" outlineLevel="0" collapsed="false">
      <c r="A86" s="28" t="s">
        <v>917</v>
      </c>
      <c r="B86" s="28" t="s">
        <v>916</v>
      </c>
      <c r="C86" s="28" t="str">
        <f aca="false">IFERROR(INDEX(Cadencier!$C$5:$C$441,MATCH(B86,Cadencier!$A$5:$A$441,0)),"code inconnu")</f>
        <v>Carottes rondelles surgelées</v>
      </c>
      <c r="D86" s="29" t="n">
        <f aca="false">IFERROR(INDEX(Cadencier!$J$5:$J$441,MATCH(B86,Cadencier!$A$5:$A$441,0)),0)</f>
        <v>1.8</v>
      </c>
    </row>
    <row r="87" customFormat="false" ht="15" hidden="false" customHeight="false" outlineLevel="0" collapsed="false">
      <c r="A87" s="28" t="s">
        <v>780</v>
      </c>
      <c r="B87" s="28" t="s">
        <v>779</v>
      </c>
      <c r="C87" s="28" t="str">
        <f aca="false">IFERROR(INDEX(Cadencier!$C$5:$C$441,MATCH(B87,Cadencier!$A$5:$A$441,0)),"code inconnu")</f>
        <v>Carottes râpées 4ème gamme</v>
      </c>
      <c r="D87" s="29" t="n">
        <f aca="false">IFERROR(INDEX(Cadencier!$J$5:$J$441,MATCH(B87,Cadencier!$A$5:$A$441,0)),0)</f>
        <v>3.2</v>
      </c>
    </row>
    <row r="88" customFormat="false" ht="15" hidden="false" customHeight="false" outlineLevel="0" collapsed="false">
      <c r="A88" s="28" t="s">
        <v>1063</v>
      </c>
      <c r="B88" s="28" t="s">
        <v>1062</v>
      </c>
      <c r="C88" s="28" t="str">
        <f aca="false">IFERROR(INDEX(Cadencier!$C$5:$C$441,MATCH(B88,Cadencier!$A$5:$A$441,0)),"code inconnu")</f>
        <v>Cassonade</v>
      </c>
      <c r="D88" s="29" t="n">
        <f aca="false">IFERROR(INDEX(Cadencier!$J$5:$J$441,MATCH(B88,Cadencier!$A$5:$A$441,0)),0)</f>
        <v>2.2</v>
      </c>
    </row>
    <row r="89" customFormat="false" ht="15" hidden="false" customHeight="false" outlineLevel="0" collapsed="false">
      <c r="A89" s="28" t="s">
        <v>1066</v>
      </c>
      <c r="B89" s="28" t="s">
        <v>1065</v>
      </c>
      <c r="C89" s="28" t="str">
        <f aca="false">IFERROR(INDEX(Cadencier!$C$5:$C$441,MATCH(B89,Cadencier!$A$5:$A$441,0)),"code inconnu")</f>
        <v>Cerises confites</v>
      </c>
      <c r="D89" s="29" t="n">
        <f aca="false">IFERROR(INDEX(Cadencier!$J$5:$J$441,MATCH(B89,Cadencier!$A$5:$A$441,0)),0)</f>
        <v>9</v>
      </c>
    </row>
    <row r="90" customFormat="false" ht="15" hidden="false" customHeight="false" outlineLevel="0" collapsed="false">
      <c r="A90" s="28" t="s">
        <v>1068</v>
      </c>
      <c r="B90" s="28" t="s">
        <v>1067</v>
      </c>
      <c r="C90" s="28" t="str">
        <f aca="false">IFERROR(INDEX(Cadencier!$C$5:$C$441,MATCH(B90,Cadencier!$A$5:$A$441,0)),"code inconnu")</f>
        <v>Cerneaux de noix</v>
      </c>
      <c r="D90" s="29" t="n">
        <f aca="false">IFERROR(INDEX(Cadencier!$J$5:$J$441,MATCH(B90,Cadencier!$A$5:$A$441,0)),0)</f>
        <v>14</v>
      </c>
    </row>
    <row r="91" customFormat="false" ht="15" hidden="false" customHeight="false" outlineLevel="0" collapsed="false">
      <c r="A91" s="28" t="s">
        <v>566</v>
      </c>
      <c r="B91" s="28" t="s">
        <v>565</v>
      </c>
      <c r="C91" s="28" t="str">
        <f aca="false">IFERROR(INDEX(Cadencier!$C$5:$C$441,MATCH(B91,Cadencier!$A$5:$A$441,0)),"code inconnu")</f>
        <v>Chair à saucisse</v>
      </c>
      <c r="D91" s="29" t="n">
        <f aca="false">IFERROR(INDEX(Cadencier!$J$5:$J$441,MATCH(B91,Cadencier!$A$5:$A$441,0)),0)</f>
        <v>6.5</v>
      </c>
    </row>
    <row r="92" customFormat="false" ht="15" hidden="false" customHeight="false" outlineLevel="0" collapsed="false">
      <c r="A92" s="28" t="s">
        <v>1528</v>
      </c>
      <c r="B92" s="28" t="s">
        <v>922</v>
      </c>
      <c r="C92" s="28" t="str">
        <f aca="false">IFERROR(INDEX(Cadencier!$C$5:$C$441,MATCH(B92,Cadencier!$A$5:$A$441,0)),"code inconnu")</f>
        <v>Champignons de Paris entiers / quartiers surgelés</v>
      </c>
      <c r="D92" s="29" t="n">
        <f aca="false">IFERROR(INDEX(Cadencier!$J$5:$J$441,MATCH(B92,Cadencier!$A$5:$A$441,0)),0)</f>
        <v>4.5</v>
      </c>
    </row>
    <row r="93" customFormat="false" ht="15" hidden="false" customHeight="false" outlineLevel="0" collapsed="false">
      <c r="A93" s="28" t="s">
        <v>921</v>
      </c>
      <c r="B93" s="28" t="s">
        <v>920</v>
      </c>
      <c r="C93" s="28" t="str">
        <f aca="false">IFERROR(INDEX(Cadencier!$C$5:$C$441,MATCH(B93,Cadencier!$A$5:$A$441,0)),"code inconnu")</f>
        <v>Champignons de Paris émincés surgelés</v>
      </c>
      <c r="D93" s="29" t="n">
        <f aca="false">IFERROR(INDEX(Cadencier!$J$5:$J$441,MATCH(B93,Cadencier!$A$5:$A$441,0)),0)</f>
        <v>3.8</v>
      </c>
    </row>
    <row r="94" customFormat="false" ht="15" hidden="false" customHeight="false" outlineLevel="0" collapsed="false">
      <c r="A94" s="28" t="s">
        <v>1529</v>
      </c>
      <c r="B94" s="28" t="s">
        <v>920</v>
      </c>
      <c r="C94" s="28" t="str">
        <f aca="false">IFERROR(INDEX(Cadencier!$C$5:$C$441,MATCH(B94,Cadencier!$A$5:$A$441,0)),"code inconnu")</f>
        <v>Champignons de Paris émincés surgelés</v>
      </c>
      <c r="D94" s="29" t="n">
        <f aca="false">IFERROR(INDEX(Cadencier!$J$5:$J$441,MATCH(B94,Cadencier!$A$5:$A$441,0)),0)</f>
        <v>3.8</v>
      </c>
    </row>
    <row r="95" customFormat="false" ht="15" hidden="false" customHeight="false" outlineLevel="0" collapsed="false">
      <c r="A95" s="28" t="s">
        <v>1530</v>
      </c>
      <c r="B95" s="28" t="s">
        <v>920</v>
      </c>
      <c r="C95" s="28" t="str">
        <f aca="false">IFERROR(INDEX(Cadencier!$C$5:$C$441,MATCH(B95,Cadencier!$A$5:$A$441,0)),"code inconnu")</f>
        <v>Champignons de Paris émincés surgelés</v>
      </c>
      <c r="D95" s="29" t="n">
        <f aca="false">IFERROR(INDEX(Cadencier!$J$5:$J$441,MATCH(B95,Cadencier!$A$5:$A$441,0)),0)</f>
        <v>3.8</v>
      </c>
    </row>
    <row r="96" customFormat="false" ht="15" hidden="false" customHeight="false" outlineLevel="0" collapsed="false">
      <c r="A96" s="28" t="s">
        <v>1070</v>
      </c>
      <c r="B96" s="28" t="s">
        <v>1069</v>
      </c>
      <c r="C96" s="28" t="str">
        <f aca="false">IFERROR(INDEX(Cadencier!$C$5:$C$441,MATCH(B96,Cadencier!$A$5:$A$441,0)),"code inconnu")</f>
        <v>Chapelure</v>
      </c>
      <c r="D96" s="29" t="n">
        <f aca="false">IFERROR(INDEX(Cadencier!$J$5:$J$441,MATCH(B96,Cadencier!$A$5:$A$441,0)),0)</f>
        <v>2</v>
      </c>
    </row>
    <row r="97" customFormat="false" ht="15" hidden="false" customHeight="false" outlineLevel="0" collapsed="false">
      <c r="A97" s="28" t="s">
        <v>1531</v>
      </c>
      <c r="B97" s="28" t="s">
        <v>1069</v>
      </c>
      <c r="C97" s="28" t="str">
        <f aca="false">IFERROR(INDEX(Cadencier!$C$5:$C$441,MATCH(B97,Cadencier!$A$5:$A$441,0)),"code inconnu")</f>
        <v>Chapelure</v>
      </c>
      <c r="D97" s="29" t="n">
        <f aca="false">IFERROR(INDEX(Cadencier!$J$5:$J$441,MATCH(B97,Cadencier!$A$5:$A$441,0)),0)</f>
        <v>2</v>
      </c>
    </row>
    <row r="98" customFormat="false" ht="15" hidden="false" customHeight="false" outlineLevel="0" collapsed="false">
      <c r="A98" s="28" t="s">
        <v>1532</v>
      </c>
      <c r="B98" s="28" t="s">
        <v>693</v>
      </c>
      <c r="C98" s="28" t="str">
        <f aca="false">IFERROR(INDEX(Cadencier!$C$5:$C$441,MATCH(B98,Cadencier!$A$5:$A$441,0)),"code inconnu")</f>
        <v>Cheddar en tranches</v>
      </c>
      <c r="D98" s="29" t="n">
        <f aca="false">IFERROR(INDEX(Cadencier!$J$5:$J$441,MATCH(B98,Cadencier!$A$5:$A$441,0)),0)</f>
        <v>9.5</v>
      </c>
    </row>
    <row r="99" customFormat="false" ht="15" hidden="false" customHeight="false" outlineLevel="0" collapsed="false">
      <c r="A99" s="28" t="s">
        <v>1533</v>
      </c>
      <c r="B99" s="28" t="s">
        <v>1270</v>
      </c>
      <c r="C99" s="28" t="str">
        <f aca="false">IFERROR(INDEX(Cadencier!$C$5:$C$441,MATCH(B99,Cadencier!$A$5:$A$441,0)),"code inconnu")</f>
        <v>Épices chili (mélange)</v>
      </c>
      <c r="D99" s="29" t="n">
        <f aca="false">IFERROR(INDEX(Cadencier!$J$5:$J$441,MATCH(B99,Cadencier!$A$5:$A$441,0)),0)</f>
        <v>13</v>
      </c>
    </row>
    <row r="100" customFormat="false" ht="15" hidden="false" customHeight="false" outlineLevel="0" collapsed="false">
      <c r="A100" s="28" t="s">
        <v>1534</v>
      </c>
      <c r="B100" s="28" t="s">
        <v>567</v>
      </c>
      <c r="C100" s="28" t="str">
        <f aca="false">IFERROR(INDEX(Cadencier!$C$5:$C$441,MATCH(B100,Cadencier!$A$5:$A$441,0)),"code inconnu")</f>
        <v>Chipolatas 50 g</v>
      </c>
      <c r="D100" s="29" t="n">
        <f aca="false">IFERROR(INDEX(Cadencier!$J$5:$J$441,MATCH(B100,Cadencier!$A$5:$A$441,0)),0)</f>
        <v>7</v>
      </c>
    </row>
    <row r="101" customFormat="false" ht="15" hidden="false" customHeight="false" outlineLevel="0" collapsed="false">
      <c r="A101" s="28" t="s">
        <v>1072</v>
      </c>
      <c r="B101" s="28" t="s">
        <v>1071</v>
      </c>
      <c r="C101" s="28" t="str">
        <f aca="false">IFERROR(INDEX(Cadencier!$C$5:$C$441,MATCH(B101,Cadencier!$A$5:$A$441,0)),"code inconnu")</f>
        <v>Chocolat au lait</v>
      </c>
      <c r="D101" s="29" t="n">
        <f aca="false">IFERROR(INDEX(Cadencier!$J$5:$J$441,MATCH(B101,Cadencier!$A$5:$A$441,0)),0)</f>
        <v>9.5</v>
      </c>
    </row>
    <row r="102" customFormat="false" ht="15" hidden="false" customHeight="false" outlineLevel="0" collapsed="false">
      <c r="A102" s="28" t="s">
        <v>1074</v>
      </c>
      <c r="B102" s="28" t="s">
        <v>1073</v>
      </c>
      <c r="C102" s="28" t="str">
        <f aca="false">IFERROR(INDEX(Cadencier!$C$5:$C$441,MATCH(B102,Cadencier!$A$5:$A$441,0)),"code inconnu")</f>
        <v>Chocolat noir de couverture</v>
      </c>
      <c r="D102" s="29" t="n">
        <f aca="false">IFERROR(INDEX(Cadencier!$J$5:$J$441,MATCH(B102,Cadencier!$A$5:$A$441,0)),0)</f>
        <v>10</v>
      </c>
    </row>
    <row r="103" customFormat="false" ht="15" hidden="false" customHeight="false" outlineLevel="0" collapsed="false">
      <c r="A103" s="28" t="s">
        <v>1535</v>
      </c>
      <c r="B103" s="28" t="s">
        <v>569</v>
      </c>
      <c r="C103" s="28" t="str">
        <f aca="false">IFERROR(INDEX(Cadencier!$C$5:$C$441,MATCH(B103,Cadencier!$A$5:$A$441,0)),"code inconnu")</f>
        <v>Chorizo doux (pièce)</v>
      </c>
      <c r="D103" s="29" t="n">
        <f aca="false">IFERROR(INDEX(Cadencier!$J$5:$J$441,MATCH(B103,Cadencier!$A$5:$A$441,0)),0)</f>
        <v>9.5</v>
      </c>
    </row>
    <row r="104" customFormat="false" ht="15" hidden="false" customHeight="false" outlineLevel="0" collapsed="false">
      <c r="A104" s="28" t="s">
        <v>573</v>
      </c>
      <c r="B104" s="28" t="s">
        <v>572</v>
      </c>
      <c r="C104" s="28" t="str">
        <f aca="false">IFERROR(INDEX(Cadencier!$C$5:$C$441,MATCH(B104,Cadencier!$A$5:$A$441,0)),"code inconnu")</f>
        <v>Chorizo doux en rondelles</v>
      </c>
      <c r="D104" s="29" t="n">
        <f aca="false">IFERROR(INDEX(Cadencier!$J$5:$J$441,MATCH(B104,Cadencier!$A$5:$A$441,0)),0)</f>
        <v>10.5</v>
      </c>
    </row>
    <row r="105" customFormat="false" ht="15" hidden="false" customHeight="false" outlineLevel="0" collapsed="false">
      <c r="A105" s="28" t="s">
        <v>1536</v>
      </c>
      <c r="B105" s="28" t="s">
        <v>572</v>
      </c>
      <c r="C105" s="28" t="str">
        <f aca="false">IFERROR(INDEX(Cadencier!$C$5:$C$441,MATCH(B105,Cadencier!$A$5:$A$441,0)),"code inconnu")</f>
        <v>Chorizo doux en rondelles</v>
      </c>
      <c r="D105" s="29" t="n">
        <f aca="false">IFERROR(INDEX(Cadencier!$J$5:$J$441,MATCH(B105,Cadencier!$A$5:$A$441,0)),0)</f>
        <v>10.5</v>
      </c>
    </row>
    <row r="106" customFormat="false" ht="15" hidden="false" customHeight="false" outlineLevel="0" collapsed="false">
      <c r="A106" s="28" t="s">
        <v>787</v>
      </c>
      <c r="B106" s="28" t="s">
        <v>786</v>
      </c>
      <c r="C106" s="28" t="str">
        <f aca="false">IFERROR(INDEX(Cadencier!$C$5:$C$441,MATCH(B106,Cadencier!$A$5:$A$441,0)),"code inconnu")</f>
        <v>Chou blanc</v>
      </c>
      <c r="D106" s="29" t="n">
        <f aca="false">IFERROR(INDEX(Cadencier!$J$5:$J$441,MATCH(B106,Cadencier!$A$5:$A$441,0)),0)</f>
        <v>1</v>
      </c>
    </row>
    <row r="107" customFormat="false" ht="15" hidden="false" customHeight="false" outlineLevel="0" collapsed="false">
      <c r="A107" s="28" t="s">
        <v>789</v>
      </c>
      <c r="B107" s="28" t="s">
        <v>788</v>
      </c>
      <c r="C107" s="28" t="str">
        <f aca="false">IFERROR(INDEX(Cadencier!$C$5:$C$441,MATCH(B107,Cadencier!$A$5:$A$441,0)),"code inconnu")</f>
        <v>Chou chinois</v>
      </c>
      <c r="D107" s="29" t="n">
        <f aca="false">IFERROR(INDEX(Cadencier!$J$5:$J$441,MATCH(B107,Cadencier!$A$5:$A$441,0)),0)</f>
        <v>1.9</v>
      </c>
    </row>
    <row r="108" customFormat="false" ht="15" hidden="false" customHeight="false" outlineLevel="0" collapsed="false">
      <c r="A108" s="28" t="s">
        <v>792</v>
      </c>
      <c r="B108" s="28" t="s">
        <v>791</v>
      </c>
      <c r="C108" s="28" t="str">
        <f aca="false">IFERROR(INDEX(Cadencier!$C$5:$C$441,MATCH(B108,Cadencier!$A$5:$A$441,0)),"code inconnu")</f>
        <v>Chou rouge râpé 4ème gamme</v>
      </c>
      <c r="D108" s="29" t="n">
        <f aca="false">IFERROR(INDEX(Cadencier!$J$5:$J$441,MATCH(B108,Cadencier!$A$5:$A$441,0)),0)</f>
        <v>3.2</v>
      </c>
    </row>
    <row r="109" customFormat="false" ht="15" hidden="false" customHeight="false" outlineLevel="0" collapsed="false">
      <c r="A109" s="28" t="s">
        <v>794</v>
      </c>
      <c r="B109" s="28" t="s">
        <v>793</v>
      </c>
      <c r="C109" s="28" t="str">
        <f aca="false">IFERROR(INDEX(Cadencier!$C$5:$C$441,MATCH(B109,Cadencier!$A$5:$A$441,0)),"code inconnu")</f>
        <v>Chou vert frisé</v>
      </c>
      <c r="D109" s="29" t="n">
        <f aca="false">IFERROR(INDEX(Cadencier!$J$5:$J$441,MATCH(B109,Cadencier!$A$5:$A$441,0)),0)</f>
        <v>1.3</v>
      </c>
    </row>
    <row r="110" customFormat="false" ht="15" hidden="false" customHeight="false" outlineLevel="0" collapsed="false">
      <c r="A110" s="28" t="s">
        <v>927</v>
      </c>
      <c r="B110" s="28" t="s">
        <v>926</v>
      </c>
      <c r="C110" s="28" t="str">
        <f aca="false">IFERROR(INDEX(Cadencier!$C$5:$C$441,MATCH(B110,Cadencier!$A$5:$A$441,0)),"code inconnu")</f>
        <v>Chou-fleur fleurettes surgelé</v>
      </c>
      <c r="D110" s="29" t="n">
        <f aca="false">IFERROR(INDEX(Cadencier!$J$5:$J$441,MATCH(B110,Cadencier!$A$5:$A$441,0)),0)</f>
        <v>2.2</v>
      </c>
    </row>
    <row r="111" customFormat="false" ht="15" hidden="false" customHeight="false" outlineLevel="0" collapsed="false">
      <c r="A111" s="28" t="s">
        <v>1380</v>
      </c>
      <c r="B111" s="28" t="s">
        <v>1378</v>
      </c>
      <c r="C111" s="28" t="str">
        <f aca="false">IFERROR(INDEX(Cadencier!$C$5:$C$441,MATCH(B111,Cadencier!$A$5:$A$441,0)),"code inconnu")</f>
        <v>Choucroute crue</v>
      </c>
      <c r="D111" s="29" t="n">
        <f aca="false">IFERROR(INDEX(Cadencier!$J$5:$J$441,MATCH(B111,Cadencier!$A$5:$A$441,0)),0)</f>
        <v>2.5</v>
      </c>
    </row>
    <row r="112" customFormat="false" ht="15" hidden="false" customHeight="false" outlineLevel="0" collapsed="false">
      <c r="A112" s="28" t="s">
        <v>929</v>
      </c>
      <c r="B112" s="28" t="s">
        <v>928</v>
      </c>
      <c r="C112" s="28" t="str">
        <f aca="false">IFERROR(INDEX(Cadencier!$C$5:$C$441,MATCH(B112,Cadencier!$A$5:$A$441,0)),"code inconnu")</f>
        <v>Choux de Bruxelles surgelés</v>
      </c>
      <c r="D112" s="29" t="n">
        <f aca="false">IFERROR(INDEX(Cadencier!$J$5:$J$441,MATCH(B112,Cadencier!$A$5:$A$441,0)),0)</f>
        <v>2.6</v>
      </c>
    </row>
    <row r="113" customFormat="false" ht="15" hidden="false" customHeight="false" outlineLevel="0" collapsed="false">
      <c r="A113" s="28" t="s">
        <v>1537</v>
      </c>
      <c r="B113" s="28" t="s">
        <v>1194</v>
      </c>
      <c r="C113" s="28" t="str">
        <f aca="false">IFERROR(INDEX(Cadencier!$C$5:$C$441,MATCH(B113,Cadencier!$A$5:$A$441,0)),"code inconnu")</f>
        <v>Châtaignes cuites pelées sous vide</v>
      </c>
      <c r="D113" s="29" t="n">
        <f aca="false">IFERROR(INDEX(Cadencier!$J$5:$J$441,MATCH(B113,Cadencier!$A$5:$A$441,0)),0)</f>
        <v>9.5</v>
      </c>
    </row>
    <row r="114" customFormat="false" ht="15" hidden="false" customHeight="false" outlineLevel="0" collapsed="false">
      <c r="A114" s="28" t="s">
        <v>1538</v>
      </c>
      <c r="B114" s="28" t="s">
        <v>1194</v>
      </c>
      <c r="C114" s="28" t="str">
        <f aca="false">IFERROR(INDEX(Cadencier!$C$5:$C$441,MATCH(B114,Cadencier!$A$5:$A$441,0)),"code inconnu")</f>
        <v>Châtaignes cuites pelées sous vide</v>
      </c>
      <c r="D114" s="29" t="n">
        <f aca="false">IFERROR(INDEX(Cadencier!$J$5:$J$441,MATCH(B114,Cadencier!$A$5:$A$441,0)),0)</f>
        <v>9.5</v>
      </c>
    </row>
    <row r="115" customFormat="false" ht="15" hidden="false" customHeight="false" outlineLevel="0" collapsed="false">
      <c r="A115" s="28" t="s">
        <v>1539</v>
      </c>
      <c r="B115" s="28" t="s">
        <v>930</v>
      </c>
      <c r="C115" s="28" t="str">
        <f aca="false">IFERROR(INDEX(Cadencier!$C$5:$C$441,MATCH(B115,Cadencier!$A$5:$A$441,0)),"code inconnu")</f>
        <v>Ciboulette ciselée surgelée</v>
      </c>
      <c r="D115" s="29" t="n">
        <f aca="false">IFERROR(INDEX(Cadencier!$J$5:$J$441,MATCH(B115,Cadencier!$A$5:$A$441,0)),0)</f>
        <v>13</v>
      </c>
    </row>
    <row r="116" customFormat="false" ht="15" hidden="false" customHeight="false" outlineLevel="0" collapsed="false">
      <c r="A116" s="28" t="s">
        <v>931</v>
      </c>
      <c r="B116" s="28" t="s">
        <v>930</v>
      </c>
      <c r="C116" s="28" t="str">
        <f aca="false">IFERROR(INDEX(Cadencier!$C$5:$C$441,MATCH(B116,Cadencier!$A$5:$A$441,0)),"code inconnu")</f>
        <v>Ciboulette ciselée surgelée</v>
      </c>
      <c r="D116" s="29" t="n">
        <f aca="false">IFERROR(INDEX(Cadencier!$J$5:$J$441,MATCH(B116,Cadencier!$A$5:$A$441,0)),0)</f>
        <v>13</v>
      </c>
    </row>
    <row r="117" customFormat="false" ht="15" hidden="false" customHeight="false" outlineLevel="0" collapsed="false">
      <c r="A117" s="28" t="s">
        <v>1540</v>
      </c>
      <c r="B117" s="28" t="s">
        <v>930</v>
      </c>
      <c r="C117" s="28" t="str">
        <f aca="false">IFERROR(INDEX(Cadencier!$C$5:$C$441,MATCH(B117,Cadencier!$A$5:$A$441,0)),"code inconnu")</f>
        <v>Ciboulette ciselée surgelée</v>
      </c>
      <c r="D117" s="29" t="n">
        <f aca="false">IFERROR(INDEX(Cadencier!$J$5:$J$441,MATCH(B117,Cadencier!$A$5:$A$441,0)),0)</f>
        <v>13</v>
      </c>
    </row>
    <row r="118" customFormat="false" ht="15" hidden="false" customHeight="false" outlineLevel="0" collapsed="false">
      <c r="A118" s="28" t="s">
        <v>1541</v>
      </c>
      <c r="B118" s="28" t="s">
        <v>930</v>
      </c>
      <c r="C118" s="28" t="str">
        <f aca="false">IFERROR(INDEX(Cadencier!$C$5:$C$441,MATCH(B118,Cadencier!$A$5:$A$441,0)),"code inconnu")</f>
        <v>Ciboulette ciselée surgelée</v>
      </c>
      <c r="D118" s="29" t="n">
        <f aca="false">IFERROR(INDEX(Cadencier!$J$5:$J$441,MATCH(B118,Cadencier!$A$5:$A$441,0)),0)</f>
        <v>13</v>
      </c>
    </row>
    <row r="119" customFormat="false" ht="15" hidden="false" customHeight="false" outlineLevel="0" collapsed="false">
      <c r="A119" s="28" t="s">
        <v>1542</v>
      </c>
      <c r="B119" s="28" t="s">
        <v>930</v>
      </c>
      <c r="C119" s="28" t="str">
        <f aca="false">IFERROR(INDEX(Cadencier!$C$5:$C$441,MATCH(B119,Cadencier!$A$5:$A$441,0)),"code inconnu")</f>
        <v>Ciboulette ciselée surgelée</v>
      </c>
      <c r="D119" s="29" t="n">
        <f aca="false">IFERROR(INDEX(Cadencier!$J$5:$J$441,MATCH(B119,Cadencier!$A$5:$A$441,0)),0)</f>
        <v>13</v>
      </c>
    </row>
    <row r="120" customFormat="false" ht="15" hidden="false" customHeight="false" outlineLevel="0" collapsed="false">
      <c r="A120" s="28" t="s">
        <v>1543</v>
      </c>
      <c r="B120" s="28" t="s">
        <v>930</v>
      </c>
      <c r="C120" s="28" t="str">
        <f aca="false">IFERROR(INDEX(Cadencier!$C$5:$C$441,MATCH(B120,Cadencier!$A$5:$A$441,0)),"code inconnu")</f>
        <v>Ciboulette ciselée surgelée</v>
      </c>
      <c r="D120" s="29" t="n">
        <f aca="false">IFERROR(INDEX(Cadencier!$J$5:$J$441,MATCH(B120,Cadencier!$A$5:$A$441,0)),0)</f>
        <v>13</v>
      </c>
    </row>
    <row r="121" customFormat="false" ht="15" hidden="false" customHeight="false" outlineLevel="0" collapsed="false">
      <c r="A121" s="28" t="s">
        <v>1544</v>
      </c>
      <c r="B121" s="28" t="s">
        <v>930</v>
      </c>
      <c r="C121" s="28" t="str">
        <f aca="false">IFERROR(INDEX(Cadencier!$C$5:$C$441,MATCH(B121,Cadencier!$A$5:$A$441,0)),"code inconnu")</f>
        <v>Ciboulette ciselée surgelée</v>
      </c>
      <c r="D121" s="29" t="n">
        <f aca="false">IFERROR(INDEX(Cadencier!$J$5:$J$441,MATCH(B121,Cadencier!$A$5:$A$441,0)),0)</f>
        <v>13</v>
      </c>
    </row>
    <row r="122" customFormat="false" ht="15" hidden="false" customHeight="false" outlineLevel="0" collapsed="false">
      <c r="A122" s="28" t="s">
        <v>1358</v>
      </c>
      <c r="B122" s="28" t="s">
        <v>1357</v>
      </c>
      <c r="C122" s="28" t="str">
        <f aca="false">IFERROR(INDEX(Cadencier!$C$5:$C$441,MATCH(B122,Cadencier!$A$5:$A$441,0)),"code inconnu")</f>
        <v>Cidre brut</v>
      </c>
      <c r="D122" s="29" t="n">
        <f aca="false">IFERROR(INDEX(Cadencier!$J$5:$J$441,MATCH(B122,Cadencier!$A$5:$A$441,0)),0)</f>
        <v>2.5</v>
      </c>
    </row>
    <row r="123" customFormat="false" ht="15" hidden="false" customHeight="false" outlineLevel="0" collapsed="false">
      <c r="A123" s="28" t="s">
        <v>1545</v>
      </c>
      <c r="B123" s="28" t="s">
        <v>1357</v>
      </c>
      <c r="C123" s="28" t="str">
        <f aca="false">IFERROR(INDEX(Cadencier!$C$5:$C$441,MATCH(B123,Cadencier!$A$5:$A$441,0)),"code inconnu")</f>
        <v>Cidre brut</v>
      </c>
      <c r="D123" s="29" t="n">
        <f aca="false">IFERROR(INDEX(Cadencier!$J$5:$J$441,MATCH(B123,Cadencier!$A$5:$A$441,0)),0)</f>
        <v>2.5</v>
      </c>
    </row>
    <row r="124" customFormat="false" ht="15" hidden="false" customHeight="false" outlineLevel="0" collapsed="false">
      <c r="A124" s="28" t="s">
        <v>1546</v>
      </c>
      <c r="B124" s="28" t="s">
        <v>795</v>
      </c>
      <c r="C124" s="28" t="str">
        <f aca="false">IFERROR(INDEX(Cadencier!$C$5:$C$441,MATCH(B124,Cadencier!$A$5:$A$441,0)),"code inconnu")</f>
        <v>Citrons jaunes</v>
      </c>
      <c r="D124" s="29" t="n">
        <f aca="false">IFERROR(INDEX(Cadencier!$J$5:$J$441,MATCH(B124,Cadencier!$A$5:$A$441,0)),0)</f>
        <v>2.2</v>
      </c>
    </row>
    <row r="125" customFormat="false" ht="15" hidden="false" customHeight="false" outlineLevel="0" collapsed="false">
      <c r="A125" s="28" t="s">
        <v>1547</v>
      </c>
      <c r="B125" s="28" t="s">
        <v>795</v>
      </c>
      <c r="C125" s="28" t="str">
        <f aca="false">IFERROR(INDEX(Cadencier!$C$5:$C$441,MATCH(B125,Cadencier!$A$5:$A$441,0)),"code inconnu")</f>
        <v>Citrons jaunes</v>
      </c>
      <c r="D125" s="29" t="n">
        <f aca="false">IFERROR(INDEX(Cadencier!$J$5:$J$441,MATCH(B125,Cadencier!$A$5:$A$441,0)),0)</f>
        <v>2.2</v>
      </c>
    </row>
    <row r="126" customFormat="false" ht="15" hidden="false" customHeight="false" outlineLevel="0" collapsed="false">
      <c r="A126" s="28" t="s">
        <v>1548</v>
      </c>
      <c r="B126" s="28" t="s">
        <v>797</v>
      </c>
      <c r="C126" s="28" t="str">
        <f aca="false">IFERROR(INDEX(Cadencier!$C$5:$C$441,MATCH(B126,Cadencier!$A$5:$A$441,0)),"code inconnu")</f>
        <v>Citrons verts</v>
      </c>
      <c r="D126" s="29" t="n">
        <f aca="false">IFERROR(INDEX(Cadencier!$J$5:$J$441,MATCH(B126,Cadencier!$A$5:$A$441,0)),0)</f>
        <v>3.5</v>
      </c>
    </row>
    <row r="127" customFormat="false" ht="15" hidden="false" customHeight="false" outlineLevel="0" collapsed="false">
      <c r="A127" s="28" t="s">
        <v>1549</v>
      </c>
      <c r="B127" s="28" t="s">
        <v>795</v>
      </c>
      <c r="C127" s="28" t="str">
        <f aca="false">IFERROR(INDEX(Cadencier!$C$5:$C$441,MATCH(B127,Cadencier!$A$5:$A$441,0)),"code inconnu")</f>
        <v>Citrons jaunes</v>
      </c>
      <c r="D127" s="29" t="n">
        <f aca="false">IFERROR(INDEX(Cadencier!$J$5:$J$441,MATCH(B127,Cadencier!$A$5:$A$441,0)),0)</f>
        <v>2.2</v>
      </c>
    </row>
    <row r="128" customFormat="false" ht="15" hidden="false" customHeight="false" outlineLevel="0" collapsed="false">
      <c r="A128" s="28" t="s">
        <v>1550</v>
      </c>
      <c r="B128" s="28" t="s">
        <v>1260</v>
      </c>
      <c r="C128" s="28" t="str">
        <f aca="false">IFERROR(INDEX(Cadencier!$C$5:$C$441,MATCH(B128,Cadencier!$A$5:$A$441,0)),"code inconnu")</f>
        <v>Clous de girofle</v>
      </c>
      <c r="D128" s="29" t="n">
        <f aca="false">IFERROR(INDEX(Cadencier!$J$5:$J$441,MATCH(B128,Cadencier!$A$5:$A$441,0)),0)</f>
        <v>25</v>
      </c>
    </row>
    <row r="129" customFormat="false" ht="15" hidden="false" customHeight="false" outlineLevel="0" collapsed="false">
      <c r="A129" s="28" t="s">
        <v>1551</v>
      </c>
      <c r="B129" s="28" t="s">
        <v>1260</v>
      </c>
      <c r="C129" s="28" t="str">
        <f aca="false">IFERROR(INDEX(Cadencier!$C$5:$C$441,MATCH(B129,Cadencier!$A$5:$A$441,0)),"code inconnu")</f>
        <v>Clous de girofle</v>
      </c>
      <c r="D129" s="29" t="n">
        <f aca="false">IFERROR(INDEX(Cadencier!$J$5:$J$441,MATCH(B129,Cadencier!$A$5:$A$441,0)),0)</f>
        <v>25</v>
      </c>
    </row>
    <row r="130" customFormat="false" ht="15" hidden="false" customHeight="false" outlineLevel="0" collapsed="false">
      <c r="A130" s="28" t="s">
        <v>1552</v>
      </c>
      <c r="B130" s="28" t="s">
        <v>1260</v>
      </c>
      <c r="C130" s="28" t="str">
        <f aca="false">IFERROR(INDEX(Cadencier!$C$5:$C$441,MATCH(B130,Cadencier!$A$5:$A$441,0)),"code inconnu")</f>
        <v>Clous de girofle</v>
      </c>
      <c r="D130" s="29" t="n">
        <f aca="false">IFERROR(INDEX(Cadencier!$J$5:$J$441,MATCH(B130,Cadencier!$A$5:$A$441,0)),0)</f>
        <v>25</v>
      </c>
    </row>
    <row r="131" customFormat="false" ht="15" hidden="false" customHeight="false" outlineLevel="0" collapsed="false">
      <c r="A131" s="28" t="s">
        <v>1553</v>
      </c>
      <c r="B131" s="28" t="s">
        <v>1260</v>
      </c>
      <c r="C131" s="28" t="str">
        <f aca="false">IFERROR(INDEX(Cadencier!$C$5:$C$441,MATCH(B131,Cadencier!$A$5:$A$441,0)),"code inconnu")</f>
        <v>Clous de girofle</v>
      </c>
      <c r="D131" s="29" t="n">
        <f aca="false">IFERROR(INDEX(Cadencier!$J$5:$J$441,MATCH(B131,Cadencier!$A$5:$A$441,0)),0)</f>
        <v>25</v>
      </c>
    </row>
    <row r="132" customFormat="false" ht="15" hidden="false" customHeight="false" outlineLevel="0" collapsed="false">
      <c r="A132" s="28" t="s">
        <v>1554</v>
      </c>
      <c r="B132" s="28" t="s">
        <v>1359</v>
      </c>
      <c r="C132" s="28" t="str">
        <f aca="false">IFERROR(INDEX(Cadencier!$C$5:$C$441,MATCH(B132,Cadencier!$A$5:$A$441,0)),"code inconnu")</f>
        <v>Cognac de cuisine</v>
      </c>
      <c r="D132" s="29" t="n">
        <f aca="false">IFERROR(INDEX(Cadencier!$J$5:$J$441,MATCH(B132,Cadencier!$A$5:$A$441,0)),0)</f>
        <v>22</v>
      </c>
    </row>
    <row r="133" customFormat="false" ht="15" hidden="false" customHeight="false" outlineLevel="0" collapsed="false">
      <c r="A133" s="28" t="s">
        <v>1555</v>
      </c>
      <c r="B133" s="28" t="s">
        <v>1262</v>
      </c>
      <c r="C133" s="28" t="str">
        <f aca="false">IFERROR(INDEX(Cadencier!$C$5:$C$441,MATCH(B133,Cadencier!$A$5:$A$441,0)),"code inconnu")</f>
        <v>Colombo (épices)</v>
      </c>
      <c r="D133" s="29" t="n">
        <f aca="false">IFERROR(INDEX(Cadencier!$J$5:$J$441,MATCH(B133,Cadencier!$A$5:$A$441,0)),0)</f>
        <v>14</v>
      </c>
    </row>
    <row r="134" customFormat="false" ht="15" hidden="false" customHeight="false" outlineLevel="0" collapsed="false">
      <c r="A134" s="28" t="s">
        <v>1556</v>
      </c>
      <c r="B134" s="28" t="s">
        <v>1262</v>
      </c>
      <c r="C134" s="28" t="str">
        <f aca="false">IFERROR(INDEX(Cadencier!$C$5:$C$441,MATCH(B134,Cadencier!$A$5:$A$441,0)),"code inconnu")</f>
        <v>Colombo (épices)</v>
      </c>
      <c r="D134" s="29" t="n">
        <f aca="false">IFERROR(INDEX(Cadencier!$J$5:$J$441,MATCH(B134,Cadencier!$A$5:$A$441,0)),0)</f>
        <v>14</v>
      </c>
    </row>
    <row r="135" customFormat="false" ht="15" hidden="false" customHeight="false" outlineLevel="0" collapsed="false">
      <c r="A135" s="28" t="s">
        <v>1557</v>
      </c>
      <c r="B135" s="28" t="s">
        <v>1262</v>
      </c>
      <c r="C135" s="28" t="str">
        <f aca="false">IFERROR(INDEX(Cadencier!$C$5:$C$441,MATCH(B135,Cadencier!$A$5:$A$441,0)),"code inconnu")</f>
        <v>Colombo (épices)</v>
      </c>
      <c r="D135" s="29" t="n">
        <f aca="false">IFERROR(INDEX(Cadencier!$J$5:$J$441,MATCH(B135,Cadencier!$A$5:$A$441,0)),0)</f>
        <v>14</v>
      </c>
    </row>
    <row r="136" customFormat="false" ht="15" hidden="false" customHeight="false" outlineLevel="0" collapsed="false">
      <c r="A136" s="28" t="s">
        <v>697</v>
      </c>
      <c r="B136" s="28" t="s">
        <v>696</v>
      </c>
      <c r="C136" s="28" t="str">
        <f aca="false">IFERROR(INDEX(Cadencier!$C$5:$C$441,MATCH(B136,Cadencier!$A$5:$A$441,0)),"code inconnu")</f>
        <v>Comté râpé</v>
      </c>
      <c r="D136" s="29" t="n">
        <f aca="false">IFERROR(INDEX(Cadencier!$J$5:$J$441,MATCH(B136,Cadencier!$A$5:$A$441,0)),0)</f>
        <v>13</v>
      </c>
    </row>
    <row r="137" customFormat="false" ht="15" hidden="false" customHeight="false" outlineLevel="0" collapsed="false">
      <c r="A137" s="28" t="s">
        <v>1558</v>
      </c>
      <c r="B137" s="28" t="s">
        <v>1251</v>
      </c>
      <c r="C137" s="28" t="str">
        <f aca="false">IFERROR(INDEX(Cadencier!$C$5:$C$441,MATCH(B137,Cadencier!$A$5:$A$441,0)),"code inconnu")</f>
        <v>Tomates concassées (boîte 5/1)</v>
      </c>
      <c r="D137" s="29" t="n">
        <f aca="false">IFERROR(INDEX(Cadencier!$J$5:$J$441,MATCH(B137,Cadencier!$A$5:$A$441,0)),0)</f>
        <v>1.6</v>
      </c>
    </row>
    <row r="138" customFormat="false" ht="15" hidden="false" customHeight="false" outlineLevel="0" collapsed="false">
      <c r="A138" s="28" t="s">
        <v>1197</v>
      </c>
      <c r="B138" s="28" t="s">
        <v>1196</v>
      </c>
      <c r="C138" s="28" t="str">
        <f aca="false">IFERROR(INDEX(Cadencier!$C$5:$C$441,MATCH(B138,Cadencier!$A$5:$A$441,0)),"code inconnu")</f>
        <v>Concentré de tomates</v>
      </c>
      <c r="D138" s="29" t="n">
        <f aca="false">IFERROR(INDEX(Cadencier!$J$5:$J$441,MATCH(B138,Cadencier!$A$5:$A$441,0)),0)</f>
        <v>2.6</v>
      </c>
    </row>
    <row r="139" customFormat="false" ht="15" hidden="false" customHeight="false" outlineLevel="0" collapsed="false">
      <c r="A139" s="28" t="s">
        <v>1559</v>
      </c>
      <c r="B139" s="28" t="s">
        <v>800</v>
      </c>
      <c r="C139" s="28" t="str">
        <f aca="false">IFERROR(INDEX(Cadencier!$C$5:$C$441,MATCH(B139,Cadencier!$A$5:$A$441,0)),"code inconnu")</f>
        <v>Concombres</v>
      </c>
      <c r="D139" s="29" t="n">
        <f aca="false">IFERROR(INDEX(Cadencier!$J$5:$J$441,MATCH(B139,Cadencier!$A$5:$A$441,0)),0)</f>
        <v>2.25</v>
      </c>
    </row>
    <row r="140" customFormat="false" ht="15" hidden="false" customHeight="false" outlineLevel="0" collapsed="false">
      <c r="A140" s="28" t="s">
        <v>801</v>
      </c>
      <c r="B140" s="28" t="s">
        <v>800</v>
      </c>
      <c r="C140" s="28" t="str">
        <f aca="false">IFERROR(INDEX(Cadencier!$C$5:$C$441,MATCH(B140,Cadencier!$A$5:$A$441,0)),"code inconnu")</f>
        <v>Concombres</v>
      </c>
      <c r="D140" s="29" t="n">
        <f aca="false">IFERROR(INDEX(Cadencier!$J$5:$J$441,MATCH(B140,Cadencier!$A$5:$A$441,0)),0)</f>
        <v>2.25</v>
      </c>
    </row>
    <row r="141" customFormat="false" ht="15" hidden="false" customHeight="false" outlineLevel="0" collapsed="false">
      <c r="A141" s="28" t="s">
        <v>1560</v>
      </c>
      <c r="B141" s="28" t="s">
        <v>1199</v>
      </c>
      <c r="C141" s="28" t="str">
        <f aca="false">IFERROR(INDEX(Cadencier!$C$5:$C$441,MATCH(B141,Cadencier!$A$5:$A$441,0)),"code inconnu")</f>
        <v>Confit d'oignons</v>
      </c>
      <c r="D141" s="29" t="n">
        <f aca="false">IFERROR(INDEX(Cadencier!$J$5:$J$441,MATCH(B141,Cadencier!$A$5:$A$441,0)),0)</f>
        <v>8.5</v>
      </c>
    </row>
    <row r="142" customFormat="false" ht="15" hidden="false" customHeight="false" outlineLevel="0" collapsed="false">
      <c r="A142" s="28" t="s">
        <v>1561</v>
      </c>
      <c r="B142" s="28" t="s">
        <v>1201</v>
      </c>
      <c r="C142" s="28" t="str">
        <f aca="false">IFERROR(INDEX(Cadencier!$C$5:$C$441,MATCH(B142,Cadencier!$A$5:$A$441,0)),"code inconnu")</f>
        <v>Confit de figues</v>
      </c>
      <c r="D142" s="29" t="n">
        <f aca="false">IFERROR(INDEX(Cadencier!$J$5:$J$441,MATCH(B142,Cadencier!$A$5:$A$441,0)),0)</f>
        <v>10</v>
      </c>
    </row>
    <row r="143" customFormat="false" ht="15" hidden="false" customHeight="false" outlineLevel="0" collapsed="false">
      <c r="A143" s="28" t="s">
        <v>1562</v>
      </c>
      <c r="B143" s="28" t="s">
        <v>932</v>
      </c>
      <c r="C143" s="28" t="str">
        <f aca="false">IFERROR(INDEX(Cadencier!$C$5:$C$441,MATCH(B143,Cadencier!$A$5:$A$441,0)),"code inconnu")</f>
        <v>Cordon bleu de volaille surgelé 100 g</v>
      </c>
      <c r="D143" s="29" t="n">
        <f aca="false">IFERROR(INDEX(Cadencier!$J$5:$J$441,MATCH(B143,Cadencier!$A$5:$A$441,0)),0)</f>
        <v>6.5</v>
      </c>
    </row>
    <row r="144" customFormat="false" ht="15" hidden="false" customHeight="false" outlineLevel="0" collapsed="false">
      <c r="A144" s="28" t="s">
        <v>1563</v>
      </c>
      <c r="B144" s="28" t="s">
        <v>804</v>
      </c>
      <c r="C144" s="28" t="str">
        <f aca="false">IFERROR(INDEX(Cadencier!$C$5:$C$441,MATCH(B144,Cadencier!$A$5:$A$441,0)),"code inconnu")</f>
        <v>Coriandre fraîche (botte)</v>
      </c>
      <c r="D144" s="29" t="n">
        <f aca="false">IFERROR(INDEX(Cadencier!$J$5:$J$441,MATCH(B144,Cadencier!$A$5:$A$441,0)),0)</f>
        <v>30</v>
      </c>
    </row>
    <row r="145" customFormat="false" ht="15" hidden="false" customHeight="false" outlineLevel="0" collapsed="false">
      <c r="A145" s="28" t="s">
        <v>1564</v>
      </c>
      <c r="B145" s="28" t="s">
        <v>934</v>
      </c>
      <c r="C145" s="28" t="str">
        <f aca="false">IFERROR(INDEX(Cadencier!$C$5:$C$441,MATCH(B145,Cadencier!$A$5:$A$441,0)),"code inconnu")</f>
        <v>Coriandre ciselée surgelée</v>
      </c>
      <c r="D145" s="29" t="n">
        <f aca="false">IFERROR(INDEX(Cadencier!$J$5:$J$441,MATCH(B145,Cadencier!$A$5:$A$441,0)),0)</f>
        <v>13</v>
      </c>
    </row>
    <row r="146" customFormat="false" ht="15" hidden="false" customHeight="false" outlineLevel="0" collapsed="false">
      <c r="A146" s="28" t="s">
        <v>1565</v>
      </c>
      <c r="B146" s="28" t="s">
        <v>934</v>
      </c>
      <c r="C146" s="28" t="str">
        <f aca="false">IFERROR(INDEX(Cadencier!$C$5:$C$441,MATCH(B146,Cadencier!$A$5:$A$441,0)),"code inconnu")</f>
        <v>Coriandre ciselée surgelée</v>
      </c>
      <c r="D146" s="29" t="n">
        <f aca="false">IFERROR(INDEX(Cadencier!$J$5:$J$441,MATCH(B146,Cadencier!$A$5:$A$441,0)),0)</f>
        <v>13</v>
      </c>
    </row>
    <row r="147" customFormat="false" ht="15" hidden="false" customHeight="false" outlineLevel="0" collapsed="false">
      <c r="A147" s="28" t="s">
        <v>1566</v>
      </c>
      <c r="B147" s="28" t="s">
        <v>934</v>
      </c>
      <c r="C147" s="28" t="str">
        <f aca="false">IFERROR(INDEX(Cadencier!$C$5:$C$441,MATCH(B147,Cadencier!$A$5:$A$441,0)),"code inconnu")</f>
        <v>Coriandre ciselée surgelée</v>
      </c>
      <c r="D147" s="29" t="n">
        <f aca="false">IFERROR(INDEX(Cadencier!$J$5:$J$441,MATCH(B147,Cadencier!$A$5:$A$441,0)),0)</f>
        <v>13</v>
      </c>
    </row>
    <row r="148" customFormat="false" ht="15" hidden="false" customHeight="false" outlineLevel="0" collapsed="false">
      <c r="A148" s="28" t="s">
        <v>1567</v>
      </c>
      <c r="B148" s="28" t="s">
        <v>1206</v>
      </c>
      <c r="C148" s="28" t="str">
        <f aca="false">IFERROR(INDEX(Cadencier!$C$5:$C$441,MATCH(B148,Cadencier!$A$5:$A$441,0)),"code inconnu")</f>
        <v>Cornichons entiers</v>
      </c>
      <c r="D148" s="29" t="n">
        <f aca="false">IFERROR(INDEX(Cadencier!$J$5:$J$441,MATCH(B148,Cadencier!$A$5:$A$441,0)),0)</f>
        <v>6.5</v>
      </c>
    </row>
    <row r="149" customFormat="false" ht="15" hidden="false" customHeight="false" outlineLevel="0" collapsed="false">
      <c r="A149" s="28" t="s">
        <v>1568</v>
      </c>
      <c r="B149" s="28" t="s">
        <v>1206</v>
      </c>
      <c r="C149" s="28" t="str">
        <f aca="false">IFERROR(INDEX(Cadencier!$C$5:$C$441,MATCH(B149,Cadencier!$A$5:$A$441,0)),"code inconnu")</f>
        <v>Cornichons entiers</v>
      </c>
      <c r="D149" s="29" t="n">
        <f aca="false">IFERROR(INDEX(Cadencier!$J$5:$J$441,MATCH(B149,Cadencier!$A$5:$A$441,0)),0)</f>
        <v>6.5</v>
      </c>
    </row>
    <row r="150" customFormat="false" ht="15" hidden="false" customHeight="false" outlineLevel="0" collapsed="false">
      <c r="A150" s="28" t="s">
        <v>1204</v>
      </c>
      <c r="B150" s="28" t="s">
        <v>1203</v>
      </c>
      <c r="C150" s="28" t="str">
        <f aca="false">IFERROR(INDEX(Cadencier!$C$5:$C$441,MATCH(B150,Cadencier!$A$5:$A$441,0)),"code inconnu")</f>
        <v>Cornichons en rondelles</v>
      </c>
      <c r="D150" s="29" t="n">
        <f aca="false">IFERROR(INDEX(Cadencier!$J$5:$J$441,MATCH(B150,Cadencier!$A$5:$A$441,0)),0)</f>
        <v>6</v>
      </c>
    </row>
    <row r="151" customFormat="false" ht="15" hidden="false" customHeight="false" outlineLevel="0" collapsed="false">
      <c r="A151" s="28" t="s">
        <v>1569</v>
      </c>
      <c r="B151" s="28" t="s">
        <v>1203</v>
      </c>
      <c r="C151" s="28" t="str">
        <f aca="false">IFERROR(INDEX(Cadencier!$C$5:$C$441,MATCH(B151,Cadencier!$A$5:$A$441,0)),"code inconnu")</f>
        <v>Cornichons en rondelles</v>
      </c>
      <c r="D151" s="29" t="n">
        <f aca="false">IFERROR(INDEX(Cadencier!$J$5:$J$441,MATCH(B151,Cadencier!$A$5:$A$441,0)),0)</f>
        <v>6</v>
      </c>
    </row>
    <row r="152" customFormat="false" ht="15" hidden="false" customHeight="false" outlineLevel="0" collapsed="false">
      <c r="A152" s="28" t="s">
        <v>1570</v>
      </c>
      <c r="B152" s="28" t="s">
        <v>807</v>
      </c>
      <c r="C152" s="28" t="str">
        <f aca="false">IFERROR(INDEX(Cadencier!$C$5:$C$441,MATCH(B152,Cadencier!$A$5:$A$441,0)),"code inconnu")</f>
        <v>Courgettes fraîches</v>
      </c>
      <c r="D152" s="29" t="n">
        <f aca="false">IFERROR(INDEX(Cadencier!$J$5:$J$441,MATCH(B152,Cadencier!$A$5:$A$441,0)),0)</f>
        <v>2</v>
      </c>
    </row>
    <row r="153" customFormat="false" ht="15" hidden="false" customHeight="false" outlineLevel="0" collapsed="false">
      <c r="A153" s="28" t="s">
        <v>939</v>
      </c>
      <c r="B153" s="28" t="s">
        <v>938</v>
      </c>
      <c r="C153" s="28" t="str">
        <f aca="false">IFERROR(INDEX(Cadencier!$C$5:$C$441,MATCH(B153,Cadencier!$A$5:$A$441,0)),"code inconnu")</f>
        <v>Courgettes cubes surgelées</v>
      </c>
      <c r="D153" s="29" t="n">
        <f aca="false">IFERROR(INDEX(Cadencier!$J$5:$J$441,MATCH(B153,Cadencier!$A$5:$A$441,0)),0)</f>
        <v>2.4</v>
      </c>
    </row>
    <row r="154" customFormat="false" ht="15" hidden="false" customHeight="false" outlineLevel="0" collapsed="false">
      <c r="A154" s="28" t="s">
        <v>808</v>
      </c>
      <c r="B154" s="28" t="s">
        <v>807</v>
      </c>
      <c r="C154" s="28" t="str">
        <f aca="false">IFERROR(INDEX(Cadencier!$C$5:$C$441,MATCH(B154,Cadencier!$A$5:$A$441,0)),"code inconnu")</f>
        <v>Courgettes fraîches</v>
      </c>
      <c r="D154" s="29" t="n">
        <f aca="false">IFERROR(INDEX(Cadencier!$J$5:$J$441,MATCH(B154,Cadencier!$A$5:$A$441,0)),0)</f>
        <v>2</v>
      </c>
    </row>
    <row r="155" customFormat="false" ht="15" hidden="false" customHeight="false" outlineLevel="0" collapsed="false">
      <c r="A155" s="28" t="s">
        <v>1571</v>
      </c>
      <c r="B155" s="28" t="s">
        <v>940</v>
      </c>
      <c r="C155" s="28" t="str">
        <f aca="false">IFERROR(INDEX(Cadencier!$C$5:$C$441,MATCH(B155,Cadencier!$A$5:$A$441,0)),"code inconnu")</f>
        <v>Courgettes rondelles surgelées</v>
      </c>
      <c r="D155" s="29" t="n">
        <f aca="false">IFERROR(INDEX(Cadencier!$J$5:$J$441,MATCH(B155,Cadencier!$A$5:$A$441,0)),0)</f>
        <v>2.4</v>
      </c>
    </row>
    <row r="156" customFormat="false" ht="15" hidden="false" customHeight="false" outlineLevel="0" collapsed="false">
      <c r="A156" s="28" t="s">
        <v>941</v>
      </c>
      <c r="B156" s="28" t="s">
        <v>940</v>
      </c>
      <c r="C156" s="28" t="str">
        <f aca="false">IFERROR(INDEX(Cadencier!$C$5:$C$441,MATCH(B156,Cadencier!$A$5:$A$441,0)),"code inconnu")</f>
        <v>Courgettes rondelles surgelées</v>
      </c>
      <c r="D156" s="29" t="n">
        <f aca="false">IFERROR(INDEX(Cadencier!$J$5:$J$441,MATCH(B156,Cadencier!$A$5:$A$441,0)),0)</f>
        <v>2.4</v>
      </c>
    </row>
    <row r="157" customFormat="false" ht="15" hidden="false" customHeight="false" outlineLevel="0" collapsed="false">
      <c r="A157" s="28" t="s">
        <v>1572</v>
      </c>
      <c r="B157" s="28" t="s">
        <v>807</v>
      </c>
      <c r="C157" s="28" t="str">
        <f aca="false">IFERROR(INDEX(Cadencier!$C$5:$C$441,MATCH(B157,Cadencier!$A$5:$A$441,0)),"code inconnu")</f>
        <v>Courgettes fraîches</v>
      </c>
      <c r="D157" s="29" t="n">
        <f aca="false">IFERROR(INDEX(Cadencier!$J$5:$J$441,MATCH(B157,Cadencier!$A$5:$A$441,0)),0)</f>
        <v>2</v>
      </c>
    </row>
    <row r="158" customFormat="false" ht="15" hidden="false" customHeight="false" outlineLevel="0" collapsed="false">
      <c r="A158" s="28" t="s">
        <v>633</v>
      </c>
      <c r="B158" s="28" t="s">
        <v>632</v>
      </c>
      <c r="C158" s="28" t="str">
        <f aca="false">IFERROR(INDEX(Cadencier!$C$5:$C$441,MATCH(B158,Cadencier!$A$5:$A$441,0)),"code inconnu")</f>
        <v>Crevettes décortiquées surgelées</v>
      </c>
      <c r="D158" s="29" t="n">
        <f aca="false">IFERROR(INDEX(Cadencier!$J$5:$J$441,MATCH(B158,Cadencier!$A$5:$A$441,0)),0)</f>
        <v>12</v>
      </c>
    </row>
    <row r="159" customFormat="false" ht="15" hidden="false" customHeight="false" outlineLevel="0" collapsed="false">
      <c r="A159" s="28" t="s">
        <v>1573</v>
      </c>
      <c r="B159" s="28" t="s">
        <v>1405</v>
      </c>
      <c r="C159" s="28" t="str">
        <f aca="false">IFERROR(INDEX(Cadencier!$C$5:$C$441,MATCH(B159,Cadencier!$A$5:$A$441,0)),"code inconnu")</f>
        <v>Croustades feuilletées pur beurre</v>
      </c>
      <c r="D159" s="29" t="n">
        <f aca="false">IFERROR(INDEX(Cadencier!$J$5:$J$441,MATCH(B159,Cadencier!$A$5:$A$441,0)),0)</f>
        <v>18</v>
      </c>
    </row>
    <row r="160" customFormat="false" ht="15" hidden="false" customHeight="false" outlineLevel="0" collapsed="false">
      <c r="A160" s="28" t="s">
        <v>1078</v>
      </c>
      <c r="B160" s="28" t="s">
        <v>1077</v>
      </c>
      <c r="C160" s="28" t="str">
        <f aca="false">IFERROR(INDEX(Cadencier!$C$5:$C$441,MATCH(B160,Cadencier!$A$5:$A$441,0)),"code inconnu")</f>
        <v>Crozets de Savoie</v>
      </c>
      <c r="D160" s="29" t="n">
        <f aca="false">IFERROR(INDEX(Cadencier!$J$5:$J$441,MATCH(B160,Cadencier!$A$5:$A$441,0)),0)</f>
        <v>4.5</v>
      </c>
    </row>
    <row r="161" customFormat="false" ht="15" hidden="false" customHeight="false" outlineLevel="0" collapsed="false">
      <c r="A161" s="28" t="s">
        <v>1574</v>
      </c>
      <c r="B161" s="28" t="s">
        <v>1392</v>
      </c>
      <c r="C161" s="28" t="str">
        <f aca="false">IFERROR(INDEX(Cadencier!$C$5:$C$441,MATCH(B161,Cadencier!$A$5:$A$441,0)),"code inconnu")</f>
        <v>Bouchées feuilletées vides 40 g</v>
      </c>
      <c r="D161" s="29" t="n">
        <f aca="false">IFERROR(INDEX(Cadencier!$J$5:$J$441,MATCH(B161,Cadencier!$A$5:$A$441,0)),0)</f>
        <v>8.75</v>
      </c>
    </row>
    <row r="162" customFormat="false" ht="15" hidden="false" customHeight="false" outlineLevel="0" collapsed="false">
      <c r="A162" s="28" t="s">
        <v>1410</v>
      </c>
      <c r="B162" s="28" t="s">
        <v>1409</v>
      </c>
      <c r="C162" s="28" t="str">
        <f aca="false">IFERROR(INDEX(Cadencier!$C$5:$C$441,MATCH(B162,Cadencier!$A$5:$A$441,0)),"code inconnu")</f>
        <v>Croûtons</v>
      </c>
      <c r="D162" s="29" t="n">
        <f aca="false">IFERROR(INDEX(Cadencier!$J$5:$J$441,MATCH(B162,Cadencier!$A$5:$A$441,0)),0)</f>
        <v>6</v>
      </c>
    </row>
    <row r="163" customFormat="false" ht="15" hidden="false" customHeight="false" outlineLevel="0" collapsed="false">
      <c r="A163" s="28" t="s">
        <v>1575</v>
      </c>
      <c r="B163" s="28" t="s">
        <v>1409</v>
      </c>
      <c r="C163" s="28" t="str">
        <f aca="false">IFERROR(INDEX(Cadencier!$C$5:$C$441,MATCH(B163,Cadencier!$A$5:$A$441,0)),"code inconnu")</f>
        <v>Croûtons</v>
      </c>
      <c r="D163" s="29" t="n">
        <f aca="false">IFERROR(INDEX(Cadencier!$J$5:$J$441,MATCH(B163,Cadencier!$A$5:$A$441,0)),0)</f>
        <v>6</v>
      </c>
    </row>
    <row r="164" customFormat="false" ht="15" hidden="false" customHeight="false" outlineLevel="0" collapsed="false">
      <c r="A164" s="28" t="s">
        <v>1576</v>
      </c>
      <c r="B164" s="28" t="s">
        <v>700</v>
      </c>
      <c r="C164" s="28" t="str">
        <f aca="false">IFERROR(INDEX(Cadencier!$C$5:$C$441,MATCH(B164,Cadencier!$A$5:$A$441,0)),"code inconnu")</f>
        <v>Crème liquide UHT 35 %</v>
      </c>
      <c r="D164" s="29" t="n">
        <f aca="false">IFERROR(INDEX(Cadencier!$J$5:$J$441,MATCH(B164,Cadencier!$A$5:$A$441,0)),0)</f>
        <v>5.5</v>
      </c>
    </row>
    <row r="165" customFormat="false" ht="15" hidden="false" customHeight="false" outlineLevel="0" collapsed="false">
      <c r="A165" s="28" t="s">
        <v>1577</v>
      </c>
      <c r="B165" s="28" t="s">
        <v>700</v>
      </c>
      <c r="C165" s="28" t="str">
        <f aca="false">IFERROR(INDEX(Cadencier!$C$5:$C$441,MATCH(B165,Cadencier!$A$5:$A$441,0)),"code inconnu")</f>
        <v>Crème liquide UHT 35 %</v>
      </c>
      <c r="D165" s="29" t="n">
        <f aca="false">IFERROR(INDEX(Cadencier!$J$5:$J$441,MATCH(B165,Cadencier!$A$5:$A$441,0)),0)</f>
        <v>5.5</v>
      </c>
    </row>
    <row r="166" customFormat="false" ht="15" hidden="false" customHeight="false" outlineLevel="0" collapsed="false">
      <c r="A166" s="28" t="s">
        <v>1578</v>
      </c>
      <c r="B166" s="28" t="s">
        <v>700</v>
      </c>
      <c r="C166" s="28" t="str">
        <f aca="false">IFERROR(INDEX(Cadencier!$C$5:$C$441,MATCH(B166,Cadencier!$A$5:$A$441,0)),"code inconnu")</f>
        <v>Crème liquide UHT 35 %</v>
      </c>
      <c r="D166" s="29" t="n">
        <f aca="false">IFERROR(INDEX(Cadencier!$J$5:$J$441,MATCH(B166,Cadencier!$A$5:$A$441,0)),0)</f>
        <v>5.5</v>
      </c>
    </row>
    <row r="167" customFormat="false" ht="15" hidden="false" customHeight="false" outlineLevel="0" collapsed="false">
      <c r="A167" s="28" t="s">
        <v>1579</v>
      </c>
      <c r="B167" s="28" t="s">
        <v>698</v>
      </c>
      <c r="C167" s="28" t="str">
        <f aca="false">IFERROR(INDEX(Cadencier!$C$5:$C$441,MATCH(B167,Cadencier!$A$5:$A$441,0)),"code inconnu")</f>
        <v>Crème épaisse 30 %</v>
      </c>
      <c r="D167" s="29" t="n">
        <f aca="false">IFERROR(INDEX(Cadencier!$J$5:$J$441,MATCH(B167,Cadencier!$A$5:$A$441,0)),0)</f>
        <v>5</v>
      </c>
    </row>
    <row r="168" customFormat="false" ht="15" hidden="false" customHeight="false" outlineLevel="0" collapsed="false">
      <c r="A168" s="28" t="s">
        <v>1580</v>
      </c>
      <c r="B168" s="28" t="s">
        <v>698</v>
      </c>
      <c r="C168" s="28" t="str">
        <f aca="false">IFERROR(INDEX(Cadencier!$C$5:$C$441,MATCH(B168,Cadencier!$A$5:$A$441,0)),"code inconnu")</f>
        <v>Crème épaisse 30 %</v>
      </c>
      <c r="D168" s="29" t="n">
        <f aca="false">IFERROR(INDEX(Cadencier!$J$5:$J$441,MATCH(B168,Cadencier!$A$5:$A$441,0)),0)</f>
        <v>5</v>
      </c>
    </row>
    <row r="169" customFormat="false" ht="15" hidden="false" customHeight="false" outlineLevel="0" collapsed="false">
      <c r="A169" s="28" t="s">
        <v>1076</v>
      </c>
      <c r="B169" s="28" t="s">
        <v>1075</v>
      </c>
      <c r="C169" s="28" t="str">
        <f aca="false">IFERROR(INDEX(Cadencier!$C$5:$C$441,MATCH(B169,Cadencier!$A$5:$A$441,0)),"code inconnu")</f>
        <v>Crêpes dentelle émiettées</v>
      </c>
      <c r="D169" s="29" t="n">
        <f aca="false">IFERROR(INDEX(Cadencier!$J$5:$J$441,MATCH(B169,Cadencier!$A$5:$A$441,0)),0)</f>
        <v>11</v>
      </c>
    </row>
    <row r="170" customFormat="false" ht="15" hidden="false" customHeight="false" outlineLevel="0" collapsed="false">
      <c r="A170" s="28" t="s">
        <v>1581</v>
      </c>
      <c r="B170" s="28" t="s">
        <v>1399</v>
      </c>
      <c r="C170" s="28" t="str">
        <f aca="false">IFERROR(INDEX(Cadencier!$C$5:$C$441,MATCH(B170,Cadencier!$A$5:$A$441,0)),"code inconnu")</f>
        <v>Crêpes nature Ø 28 cm</v>
      </c>
      <c r="D170" s="29" t="n">
        <f aca="false">IFERROR(INDEX(Cadencier!$J$5:$J$441,MATCH(B170,Cadencier!$A$5:$A$441,0)),0)</f>
        <v>6.67</v>
      </c>
    </row>
    <row r="171" customFormat="false" ht="15" hidden="false" customHeight="false" outlineLevel="0" collapsed="false">
      <c r="A171" s="28" t="s">
        <v>1582</v>
      </c>
      <c r="B171" s="28" t="s">
        <v>1402</v>
      </c>
      <c r="C171" s="28" t="str">
        <f aca="false">IFERROR(INDEX(Cadencier!$C$5:$C$441,MATCH(B171,Cadencier!$A$5:$A$441,0)),"code inconnu")</f>
        <v>Crêpes salées prêtes à l'emploi 50 g</v>
      </c>
      <c r="D171" s="29" t="n">
        <f aca="false">IFERROR(INDEX(Cadencier!$J$5:$J$441,MATCH(B171,Cadencier!$A$5:$A$441,0)),0)</f>
        <v>6</v>
      </c>
    </row>
    <row r="172" customFormat="false" ht="15" hidden="false" customHeight="false" outlineLevel="0" collapsed="false">
      <c r="A172" s="28" t="s">
        <v>1583</v>
      </c>
      <c r="B172" s="28" t="s">
        <v>1402</v>
      </c>
      <c r="C172" s="28" t="str">
        <f aca="false">IFERROR(INDEX(Cadencier!$C$5:$C$441,MATCH(B172,Cadencier!$A$5:$A$441,0)),"code inconnu")</f>
        <v>Crêpes salées prêtes à l'emploi 50 g</v>
      </c>
      <c r="D172" s="29" t="n">
        <f aca="false">IFERROR(INDEX(Cadencier!$J$5:$J$441,MATCH(B172,Cadencier!$A$5:$A$441,0)),0)</f>
        <v>6</v>
      </c>
    </row>
    <row r="173" customFormat="false" ht="15" hidden="false" customHeight="false" outlineLevel="0" collapsed="false">
      <c r="A173" s="28" t="s">
        <v>523</v>
      </c>
      <c r="B173" s="28" t="s">
        <v>522</v>
      </c>
      <c r="C173" s="28" t="str">
        <f aca="false">IFERROR(INDEX(Cadencier!$C$5:$C$441,MATCH(B173,Cadencier!$A$5:$A$441,0)),"code inconnu")</f>
        <v>Cuisses de canard</v>
      </c>
      <c r="D173" s="29" t="n">
        <f aca="false">IFERROR(INDEX(Cadencier!$J$5:$J$441,MATCH(B173,Cadencier!$A$5:$A$441,0)),0)</f>
        <v>7.5</v>
      </c>
    </row>
    <row r="174" customFormat="false" ht="15" hidden="false" customHeight="false" outlineLevel="0" collapsed="false">
      <c r="A174" s="28" t="s">
        <v>1584</v>
      </c>
      <c r="B174" s="28" t="s">
        <v>447</v>
      </c>
      <c r="C174" s="28" t="str">
        <f aca="false">IFERROR(INDEX(Cadencier!$C$5:$C$441,MATCH(B174,Cadencier!$A$5:$A$441,0)),"code inconnu")</f>
        <v>Cuisses de lapin surgelées 180 g</v>
      </c>
      <c r="D174" s="29" t="n">
        <f aca="false">IFERROR(INDEX(Cadencier!$J$5:$J$441,MATCH(B174,Cadencier!$A$5:$A$441,0)),0)</f>
        <v>9.5</v>
      </c>
    </row>
    <row r="175" customFormat="false" ht="15" hidden="false" customHeight="false" outlineLevel="0" collapsed="false">
      <c r="A175" s="28" t="s">
        <v>1585</v>
      </c>
      <c r="B175" s="28" t="s">
        <v>526</v>
      </c>
      <c r="C175" s="28" t="str">
        <f aca="false">IFERROR(INDEX(Cadencier!$C$5:$C$441,MATCH(B175,Cadencier!$A$5:$A$441,0)),"code inconnu")</f>
        <v>Cuisses de pintade 200/220 g</v>
      </c>
      <c r="D175" s="29" t="n">
        <f aca="false">IFERROR(INDEX(Cadencier!$J$5:$J$441,MATCH(B175,Cadencier!$A$5:$A$441,0)),0)</f>
        <v>9</v>
      </c>
    </row>
    <row r="176" customFormat="false" ht="15" hidden="false" customHeight="false" outlineLevel="0" collapsed="false">
      <c r="A176" s="28" t="s">
        <v>1586</v>
      </c>
      <c r="B176" s="28" t="s">
        <v>528</v>
      </c>
      <c r="C176" s="28" t="str">
        <f aca="false">IFERROR(INDEX(Cadencier!$C$5:$C$441,MATCH(B176,Cadencier!$A$5:$A$441,0)),"code inconnu")</f>
        <v>Cuisses de poulet 220/250 g</v>
      </c>
      <c r="D176" s="29" t="n">
        <f aca="false">IFERROR(INDEX(Cadencier!$J$5:$J$441,MATCH(B176,Cadencier!$A$5:$A$441,0)),0)</f>
        <v>4.5</v>
      </c>
    </row>
    <row r="177" customFormat="false" ht="15" hidden="false" customHeight="false" outlineLevel="0" collapsed="false">
      <c r="A177" s="28" t="s">
        <v>1587</v>
      </c>
      <c r="B177" s="28" t="s">
        <v>524</v>
      </c>
      <c r="C177" s="28" t="str">
        <f aca="false">IFERROR(INDEX(Cadencier!$C$5:$C$441,MATCH(B177,Cadencier!$A$5:$A$441,0)),"code inconnu")</f>
        <v>Cuisses de canard confites</v>
      </c>
      <c r="D177" s="29" t="n">
        <f aca="false">IFERROR(INDEX(Cadencier!$J$5:$J$441,MATCH(B177,Cadencier!$A$5:$A$441,0)),0)</f>
        <v>12</v>
      </c>
    </row>
    <row r="178" customFormat="false" ht="15" hidden="false" customHeight="false" outlineLevel="0" collapsed="false">
      <c r="A178" s="28" t="s">
        <v>1265</v>
      </c>
      <c r="B178" s="28" t="s">
        <v>1264</v>
      </c>
      <c r="C178" s="28" t="str">
        <f aca="false">IFERROR(INDEX(Cadencier!$C$5:$C$441,MATCH(B178,Cadencier!$A$5:$A$441,0)),"code inconnu")</f>
        <v>Cumin moulu</v>
      </c>
      <c r="D178" s="29" t="n">
        <f aca="false">IFERROR(INDEX(Cadencier!$J$5:$J$441,MATCH(B178,Cadencier!$A$5:$A$441,0)),0)</f>
        <v>12</v>
      </c>
    </row>
    <row r="179" customFormat="false" ht="15" hidden="false" customHeight="false" outlineLevel="0" collapsed="false">
      <c r="A179" s="28" t="s">
        <v>1588</v>
      </c>
      <c r="B179" s="28" t="s">
        <v>1264</v>
      </c>
      <c r="C179" s="28" t="str">
        <f aca="false">IFERROR(INDEX(Cadencier!$C$5:$C$441,MATCH(B179,Cadencier!$A$5:$A$441,0)),"code inconnu")</f>
        <v>Cumin moulu</v>
      </c>
      <c r="D179" s="29" t="n">
        <f aca="false">IFERROR(INDEX(Cadencier!$J$5:$J$441,MATCH(B179,Cadencier!$A$5:$A$441,0)),0)</f>
        <v>12</v>
      </c>
    </row>
    <row r="180" customFormat="false" ht="15" hidden="false" customHeight="false" outlineLevel="0" collapsed="false">
      <c r="A180" s="28" t="s">
        <v>1589</v>
      </c>
      <c r="B180" s="28" t="s">
        <v>1264</v>
      </c>
      <c r="C180" s="28" t="str">
        <f aca="false">IFERROR(INDEX(Cadencier!$C$5:$C$441,MATCH(B180,Cadencier!$A$5:$A$441,0)),"code inconnu")</f>
        <v>Cumin moulu</v>
      </c>
      <c r="D180" s="29" t="n">
        <f aca="false">IFERROR(INDEX(Cadencier!$J$5:$J$441,MATCH(B180,Cadencier!$A$5:$A$441,0)),0)</f>
        <v>12</v>
      </c>
    </row>
    <row r="181" customFormat="false" ht="15" hidden="false" customHeight="false" outlineLevel="0" collapsed="false">
      <c r="A181" s="28" t="s">
        <v>1590</v>
      </c>
      <c r="B181" s="28" t="s">
        <v>1266</v>
      </c>
      <c r="C181" s="28" t="str">
        <f aca="false">IFERROR(INDEX(Cadencier!$C$5:$C$441,MATCH(B181,Cadencier!$A$5:$A$441,0)),"code inconnu")</f>
        <v>Curcuma moulu</v>
      </c>
      <c r="D181" s="29" t="n">
        <f aca="false">IFERROR(INDEX(Cadencier!$J$5:$J$441,MATCH(B181,Cadencier!$A$5:$A$441,0)),0)</f>
        <v>12</v>
      </c>
    </row>
    <row r="182" customFormat="false" ht="15" hidden="false" customHeight="false" outlineLevel="0" collapsed="false">
      <c r="A182" s="28" t="s">
        <v>1591</v>
      </c>
      <c r="B182" s="28" t="s">
        <v>1268</v>
      </c>
      <c r="C182" s="28" t="str">
        <f aca="false">IFERROR(INDEX(Cadencier!$C$5:$C$441,MATCH(B182,Cadencier!$A$5:$A$441,0)),"code inconnu")</f>
        <v>Curry doux</v>
      </c>
      <c r="D182" s="29" t="n">
        <f aca="false">IFERROR(INDEX(Cadencier!$J$5:$J$441,MATCH(B182,Cadencier!$A$5:$A$441,0)),0)</f>
        <v>13</v>
      </c>
    </row>
    <row r="183" customFormat="false" ht="15" hidden="false" customHeight="false" outlineLevel="0" collapsed="false">
      <c r="A183" s="28" t="s">
        <v>1269</v>
      </c>
      <c r="B183" s="28" t="s">
        <v>1268</v>
      </c>
      <c r="C183" s="28" t="str">
        <f aca="false">IFERROR(INDEX(Cadencier!$C$5:$C$441,MATCH(B183,Cadencier!$A$5:$A$441,0)),"code inconnu")</f>
        <v>Curry doux</v>
      </c>
      <c r="D183" s="29" t="n">
        <f aca="false">IFERROR(INDEX(Cadencier!$J$5:$J$441,MATCH(B183,Cadencier!$A$5:$A$441,0)),0)</f>
        <v>13</v>
      </c>
    </row>
    <row r="184" customFormat="false" ht="15" hidden="false" customHeight="false" outlineLevel="0" collapsed="false">
      <c r="A184" s="28" t="s">
        <v>1592</v>
      </c>
      <c r="B184" s="28" t="s">
        <v>1268</v>
      </c>
      <c r="C184" s="28" t="str">
        <f aca="false">IFERROR(INDEX(Cadencier!$C$5:$C$441,MATCH(B184,Cadencier!$A$5:$A$441,0)),"code inconnu")</f>
        <v>Curry doux</v>
      </c>
      <c r="D184" s="29" t="n">
        <f aca="false">IFERROR(INDEX(Cadencier!$J$5:$J$441,MATCH(B184,Cadencier!$A$5:$A$441,0)),0)</f>
        <v>13</v>
      </c>
    </row>
    <row r="185" customFormat="false" ht="15" hidden="false" customHeight="false" outlineLevel="0" collapsed="false">
      <c r="A185" s="28" t="s">
        <v>1192</v>
      </c>
      <c r="B185" s="28" t="s">
        <v>1191</v>
      </c>
      <c r="C185" s="28" t="str">
        <f aca="false">IFERROR(INDEX(Cadencier!$C$5:$C$441,MATCH(B185,Cadencier!$A$5:$A$441,0)),"code inconnu")</f>
        <v>Câpres</v>
      </c>
      <c r="D185" s="29" t="n">
        <f aca="false">IFERROR(INDEX(Cadencier!$J$5:$J$441,MATCH(B185,Cadencier!$A$5:$A$441,0)),0)</f>
        <v>8</v>
      </c>
    </row>
    <row r="186" customFormat="false" ht="15" hidden="false" customHeight="false" outlineLevel="0" collapsed="false">
      <c r="A186" s="28" t="s">
        <v>1593</v>
      </c>
      <c r="B186" s="28" t="s">
        <v>918</v>
      </c>
      <c r="C186" s="28" t="str">
        <f aca="false">IFERROR(INDEX(Cadencier!$C$5:$C$441,MATCH(B186,Cadencier!$A$5:$A$441,0)),"code inconnu")</f>
        <v>Cèpes surgelés (morceaux / émincés)</v>
      </c>
      <c r="D186" s="29" t="n">
        <f aca="false">IFERROR(INDEX(Cadencier!$J$5:$J$441,MATCH(B186,Cadencier!$A$5:$A$441,0)),0)</f>
        <v>16</v>
      </c>
    </row>
    <row r="187" customFormat="false" ht="15" hidden="false" customHeight="false" outlineLevel="0" collapsed="false">
      <c r="A187" s="28" t="s">
        <v>1594</v>
      </c>
      <c r="B187" s="28" t="s">
        <v>918</v>
      </c>
      <c r="C187" s="28" t="str">
        <f aca="false">IFERROR(INDEX(Cadencier!$C$5:$C$441,MATCH(B187,Cadencier!$A$5:$A$441,0)),"code inconnu")</f>
        <v>Cèpes surgelés (morceaux / émincés)</v>
      </c>
      <c r="D187" s="29" t="n">
        <f aca="false">IFERROR(INDEX(Cadencier!$J$5:$J$441,MATCH(B187,Cadencier!$A$5:$A$441,0)),0)</f>
        <v>16</v>
      </c>
    </row>
    <row r="188" customFormat="false" ht="15" hidden="false" customHeight="false" outlineLevel="0" collapsed="false">
      <c r="A188" s="28" t="s">
        <v>1595</v>
      </c>
      <c r="B188" s="28" t="s">
        <v>781</v>
      </c>
      <c r="C188" s="28" t="str">
        <f aca="false">IFERROR(INDEX(Cadencier!$C$5:$C$441,MATCH(B188,Cadencier!$A$5:$A$441,0)),"code inconnu")</f>
        <v>Céleri-rave (boule)</v>
      </c>
      <c r="D188" s="29" t="n">
        <f aca="false">IFERROR(INDEX(Cadencier!$J$5:$J$441,MATCH(B188,Cadencier!$A$5:$A$441,0)),0)</f>
        <v>1.6</v>
      </c>
    </row>
    <row r="189" customFormat="false" ht="15" hidden="false" customHeight="false" outlineLevel="0" collapsed="false">
      <c r="A189" s="28" t="s">
        <v>785</v>
      </c>
      <c r="B189" s="28" t="s">
        <v>784</v>
      </c>
      <c r="C189" s="28" t="str">
        <f aca="false">IFERROR(INDEX(Cadencier!$C$5:$C$441,MATCH(B189,Cadencier!$A$5:$A$441,0)),"code inconnu")</f>
        <v>Céleri-rave râpé 4ème gamme</v>
      </c>
      <c r="D189" s="29" t="n">
        <f aca="false">IFERROR(INDEX(Cadencier!$J$5:$J$441,MATCH(B189,Cadencier!$A$5:$A$441,0)),0)</f>
        <v>3.5</v>
      </c>
    </row>
    <row r="190" customFormat="false" ht="15" hidden="false" customHeight="false" outlineLevel="0" collapsed="false">
      <c r="A190" s="28" t="s">
        <v>1596</v>
      </c>
      <c r="B190" s="28" t="s">
        <v>936</v>
      </c>
      <c r="C190" s="28" t="str">
        <f aca="false">IFERROR(INDEX(Cadencier!$C$5:$C$441,MATCH(B190,Cadencier!$A$5:$A$441,0)),"code inconnu")</f>
        <v>Côtes de blettes surgelées</v>
      </c>
      <c r="D190" s="29" t="n">
        <f aca="false">IFERROR(INDEX(Cadencier!$J$5:$J$441,MATCH(B190,Cadencier!$A$5:$A$441,0)),0)</f>
        <v>3</v>
      </c>
    </row>
    <row r="191" customFormat="false" ht="15" hidden="false" customHeight="false" outlineLevel="0" collapsed="false">
      <c r="A191" s="28" t="s">
        <v>1597</v>
      </c>
      <c r="B191" s="28" t="s">
        <v>944</v>
      </c>
      <c r="C191" s="28" t="str">
        <f aca="false">IFERROR(INDEX(Cadencier!$C$5:$C$441,MATCH(B191,Cadencier!$A$5:$A$441,0)),"code inconnu")</f>
        <v>Donuts de poulet panés surgelés 50 g</v>
      </c>
      <c r="D191" s="29" t="n">
        <f aca="false">IFERROR(INDEX(Cadencier!$J$5:$J$441,MATCH(B191,Cadencier!$A$5:$A$441,0)),0)</f>
        <v>7</v>
      </c>
    </row>
    <row r="192" customFormat="false" ht="15" hidden="false" customHeight="false" outlineLevel="0" collapsed="false">
      <c r="A192" s="28" t="s">
        <v>1598</v>
      </c>
      <c r="B192" s="28" t="s">
        <v>638</v>
      </c>
      <c r="C192" s="28" t="str">
        <f aca="false">IFERROR(INDEX(Cadencier!$C$5:$C$441,MATCH(B192,Cadencier!$A$5:$A$441,0)),"code inconnu")</f>
        <v>Dos de cabillaud surgelés sans peau 100/120 g</v>
      </c>
      <c r="D192" s="29" t="n">
        <f aca="false">IFERROR(INDEX(Cadencier!$J$5:$J$441,MATCH(B192,Cadencier!$A$5:$A$441,0)),0)</f>
        <v>14</v>
      </c>
    </row>
    <row r="193" customFormat="false" ht="15" hidden="false" customHeight="false" outlineLevel="0" collapsed="false">
      <c r="A193" s="28" t="s">
        <v>1599</v>
      </c>
      <c r="B193" s="28" t="s">
        <v>640</v>
      </c>
      <c r="C193" s="28" t="str">
        <f aca="false">IFERROR(INDEX(Cadencier!$C$5:$C$441,MATCH(B193,Cadencier!$A$5:$A$441,0)),"code inconnu")</f>
        <v>Dos de colin (lieu) surgelés sans peau 120 g</v>
      </c>
      <c r="D193" s="29" t="n">
        <f aca="false">IFERROR(INDEX(Cadencier!$J$5:$J$441,MATCH(B193,Cadencier!$A$5:$A$441,0)),0)</f>
        <v>10.5</v>
      </c>
    </row>
    <row r="194" customFormat="false" ht="15" hidden="false" customHeight="false" outlineLevel="0" collapsed="false">
      <c r="A194" s="28" t="s">
        <v>1600</v>
      </c>
      <c r="B194" s="28" t="s">
        <v>642</v>
      </c>
      <c r="C194" s="28" t="str">
        <f aca="false">IFERROR(INDEX(Cadencier!$C$5:$C$441,MATCH(B194,Cadencier!$A$5:$A$441,0)),"code inconnu")</f>
        <v>Dos de loup surgelés avec peau 120 g</v>
      </c>
      <c r="D194" s="29" t="n">
        <f aca="false">IFERROR(INDEX(Cadencier!$J$5:$J$441,MATCH(B194,Cadencier!$A$5:$A$441,0)),0)</f>
        <v>15</v>
      </c>
    </row>
    <row r="195" customFormat="false" ht="15" hidden="false" customHeight="false" outlineLevel="0" collapsed="false">
      <c r="A195" s="28" t="s">
        <v>1601</v>
      </c>
      <c r="B195" s="28" t="s">
        <v>634</v>
      </c>
      <c r="C195" s="28" t="str">
        <f aca="false">IFERROR(INDEX(Cadencier!$C$5:$C$441,MATCH(B195,Cadencier!$A$5:$A$441,0)),"code inconnu")</f>
        <v>Dés de poisson blanc surgelés</v>
      </c>
      <c r="D195" s="29" t="n">
        <f aca="false">IFERROR(INDEX(Cadencier!$J$5:$J$441,MATCH(B195,Cadencier!$A$5:$A$441,0)),0)</f>
        <v>8.5</v>
      </c>
    </row>
    <row r="196" customFormat="false" ht="15" hidden="false" customHeight="false" outlineLevel="0" collapsed="false">
      <c r="A196" s="28" t="s">
        <v>1602</v>
      </c>
      <c r="B196" s="28" t="s">
        <v>942</v>
      </c>
      <c r="C196" s="28" t="str">
        <f aca="false">IFERROR(INDEX(Cadencier!$C$5:$C$441,MATCH(B196,Cadencier!$A$5:$A$441,0)),"code inconnu")</f>
        <v>Dés de tomates surgelés</v>
      </c>
      <c r="D196" s="29" t="n">
        <f aca="false">IFERROR(INDEX(Cadencier!$J$5:$J$441,MATCH(B196,Cadencier!$A$5:$A$441,0)),0)</f>
        <v>2.5</v>
      </c>
    </row>
    <row r="197" customFormat="false" ht="15" hidden="false" customHeight="false" outlineLevel="0" collapsed="false">
      <c r="A197" s="28" t="s">
        <v>1603</v>
      </c>
      <c r="B197" s="28" t="s">
        <v>636</v>
      </c>
      <c r="C197" s="28" t="str">
        <f aca="false">IFERROR(INDEX(Cadencier!$C$5:$C$441,MATCH(B197,Cadencier!$A$5:$A$441,0)),"code inconnu")</f>
        <v>Dés de saumon surgelés</v>
      </c>
      <c r="D197" s="29" t="n">
        <f aca="false">IFERROR(INDEX(Cadencier!$J$5:$J$441,MATCH(B197,Cadencier!$A$5:$A$441,0)),0)</f>
        <v>13</v>
      </c>
    </row>
    <row r="198" customFormat="false" ht="15" hidden="false" customHeight="false" outlineLevel="0" collapsed="false">
      <c r="A198" s="28" t="s">
        <v>1459</v>
      </c>
      <c r="B198" s="28" t="s">
        <v>1457</v>
      </c>
      <c r="C198" s="28" t="str">
        <f aca="false">IFERROR(INDEX(Cadencier!$C$5:$C$441,MATCH(B198,Cadencier!$A$5:$A$441,0)),"code inconnu")</f>
        <v>Eau</v>
      </c>
      <c r="D198" s="29" t="n">
        <f aca="false">IFERROR(INDEX(Cadencier!$J$5:$J$441,MATCH(B198,Cadencier!$A$5:$A$441,0)),0)</f>
        <v>0</v>
      </c>
    </row>
    <row r="199" customFormat="false" ht="15" hidden="false" customHeight="false" outlineLevel="0" collapsed="false">
      <c r="A199" s="28" t="s">
        <v>1604</v>
      </c>
      <c r="B199" s="28" t="s">
        <v>1457</v>
      </c>
      <c r="C199" s="28" t="str">
        <f aca="false">IFERROR(INDEX(Cadencier!$C$5:$C$441,MATCH(B199,Cadencier!$A$5:$A$441,0)),"code inconnu")</f>
        <v>Eau</v>
      </c>
      <c r="D199" s="29" t="n">
        <f aca="false">IFERROR(INDEX(Cadencier!$J$5:$J$441,MATCH(B199,Cadencier!$A$5:$A$441,0)),0)</f>
        <v>0</v>
      </c>
    </row>
    <row r="200" customFormat="false" ht="15" hidden="false" customHeight="false" outlineLevel="0" collapsed="false">
      <c r="A200" s="28" t="s">
        <v>1605</v>
      </c>
      <c r="B200" s="28" t="s">
        <v>1457</v>
      </c>
      <c r="C200" s="28" t="str">
        <f aca="false">IFERROR(INDEX(Cadencier!$C$5:$C$441,MATCH(B200,Cadencier!$A$5:$A$441,0)),"code inconnu")</f>
        <v>Eau</v>
      </c>
      <c r="D200" s="29" t="n">
        <f aca="false">IFERROR(INDEX(Cadencier!$J$5:$J$441,MATCH(B200,Cadencier!$A$5:$A$441,0)),0)</f>
        <v>0</v>
      </c>
    </row>
    <row r="201" customFormat="false" ht="15" hidden="false" customHeight="false" outlineLevel="0" collapsed="false">
      <c r="A201" s="28" t="s">
        <v>1606</v>
      </c>
      <c r="B201" s="28" t="s">
        <v>1457</v>
      </c>
      <c r="C201" s="28" t="str">
        <f aca="false">IFERROR(INDEX(Cadencier!$C$5:$C$441,MATCH(B201,Cadencier!$A$5:$A$441,0)),"code inconnu")</f>
        <v>Eau</v>
      </c>
      <c r="D201" s="29" t="n">
        <f aca="false">IFERROR(INDEX(Cadencier!$J$5:$J$441,MATCH(B201,Cadencier!$A$5:$A$441,0)),0)</f>
        <v>0</v>
      </c>
    </row>
    <row r="202" customFormat="false" ht="15" hidden="false" customHeight="false" outlineLevel="0" collapsed="false">
      <c r="A202" s="28" t="s">
        <v>704</v>
      </c>
      <c r="B202" s="28" t="s">
        <v>703</v>
      </c>
      <c r="C202" s="28" t="str">
        <f aca="false">IFERROR(INDEX(Cadencier!$C$5:$C$441,MATCH(B202,Cadencier!$A$5:$A$441,0)),"code inconnu")</f>
        <v>Emmental en dés</v>
      </c>
      <c r="D202" s="29" t="n">
        <f aca="false">IFERROR(INDEX(Cadencier!$J$5:$J$441,MATCH(B202,Cadencier!$A$5:$A$441,0)),0)</f>
        <v>8</v>
      </c>
    </row>
    <row r="203" customFormat="false" ht="15" hidden="false" customHeight="false" outlineLevel="0" collapsed="false">
      <c r="A203" s="28" t="s">
        <v>706</v>
      </c>
      <c r="B203" s="28" t="s">
        <v>705</v>
      </c>
      <c r="C203" s="28" t="str">
        <f aca="false">IFERROR(INDEX(Cadencier!$C$5:$C$441,MATCH(B203,Cadencier!$A$5:$A$441,0)),"code inconnu")</f>
        <v>Emmental râpé</v>
      </c>
      <c r="D203" s="29" t="n">
        <f aca="false">IFERROR(INDEX(Cadencier!$J$5:$J$441,MATCH(B203,Cadencier!$A$5:$A$441,0)),0)</f>
        <v>7.5</v>
      </c>
    </row>
    <row r="204" customFormat="false" ht="15" hidden="false" customHeight="false" outlineLevel="0" collapsed="false">
      <c r="A204" s="28" t="s">
        <v>810</v>
      </c>
      <c r="B204" s="28" t="s">
        <v>809</v>
      </c>
      <c r="C204" s="28" t="str">
        <f aca="false">IFERROR(INDEX(Cadencier!$C$5:$C$441,MATCH(B204,Cadencier!$A$5:$A$441,0)),"code inconnu")</f>
        <v>Endives</v>
      </c>
      <c r="D204" s="29" t="n">
        <f aca="false">IFERROR(INDEX(Cadencier!$J$5:$J$441,MATCH(B204,Cadencier!$A$5:$A$441,0)),0)</f>
        <v>2.6</v>
      </c>
    </row>
    <row r="205" customFormat="false" ht="15" hidden="false" customHeight="false" outlineLevel="0" collapsed="false">
      <c r="A205" s="28" t="s">
        <v>1607</v>
      </c>
      <c r="B205" s="28" t="s">
        <v>809</v>
      </c>
      <c r="C205" s="28" t="str">
        <f aca="false">IFERROR(INDEX(Cadencier!$C$5:$C$441,MATCH(B205,Cadencier!$A$5:$A$441,0)),"code inconnu")</f>
        <v>Endives</v>
      </c>
      <c r="D205" s="29" t="n">
        <f aca="false">IFERROR(INDEX(Cadencier!$J$5:$J$441,MATCH(B205,Cadencier!$A$5:$A$441,0)),0)</f>
        <v>2.6</v>
      </c>
    </row>
    <row r="206" customFormat="false" ht="15" hidden="false" customHeight="false" outlineLevel="0" collapsed="false">
      <c r="A206" s="28" t="s">
        <v>1608</v>
      </c>
      <c r="B206" s="28" t="s">
        <v>1270</v>
      </c>
      <c r="C206" s="28" t="str">
        <f aca="false">IFERROR(INDEX(Cadencier!$C$5:$C$441,MATCH(B206,Cadencier!$A$5:$A$441,0)),"code inconnu")</f>
        <v>Épices chili (mélange)</v>
      </c>
      <c r="D206" s="29" t="n">
        <f aca="false">IFERROR(INDEX(Cadencier!$J$5:$J$441,MATCH(B206,Cadencier!$A$5:$A$441,0)),0)</f>
        <v>13</v>
      </c>
    </row>
    <row r="207" customFormat="false" ht="15" hidden="false" customHeight="false" outlineLevel="0" collapsed="false">
      <c r="A207" s="28" t="s">
        <v>531</v>
      </c>
      <c r="B207" s="28" t="s">
        <v>530</v>
      </c>
      <c r="C207" s="28" t="str">
        <f aca="false">IFERROR(INDEX(Cadencier!$C$5:$C$441,MATCH(B207,Cadencier!$A$5:$A$441,0)),"code inconnu")</f>
        <v>Escalopes de dinde 120 g</v>
      </c>
      <c r="D207" s="29" t="n">
        <f aca="false">IFERROR(INDEX(Cadencier!$J$5:$J$441,MATCH(B207,Cadencier!$A$5:$A$441,0)),0)</f>
        <v>9</v>
      </c>
    </row>
    <row r="208" customFormat="false" ht="15" hidden="false" customHeight="false" outlineLevel="0" collapsed="false">
      <c r="A208" s="28" t="s">
        <v>1609</v>
      </c>
      <c r="B208" s="28" t="s">
        <v>451</v>
      </c>
      <c r="C208" s="28" t="str">
        <f aca="false">IFERROR(INDEX(Cadencier!$C$5:$C$441,MATCH(B208,Cadencier!$A$5:$A$441,0)),"code inconnu")</f>
        <v>Escalopes de porc 110 g</v>
      </c>
      <c r="D208" s="29" t="n">
        <f aca="false">IFERROR(INDEX(Cadencier!$J$5:$J$441,MATCH(B208,Cadencier!$A$5:$A$441,0)),0)</f>
        <v>8</v>
      </c>
    </row>
    <row r="209" customFormat="false" ht="15" hidden="false" customHeight="false" outlineLevel="0" collapsed="false">
      <c r="A209" s="28" t="s">
        <v>1610</v>
      </c>
      <c r="B209" s="28" t="s">
        <v>454</v>
      </c>
      <c r="C209" s="28" t="str">
        <f aca="false">IFERROR(INDEX(Cadencier!$C$5:$C$441,MATCH(B209,Cadencier!$A$5:$A$441,0)),"code inconnu")</f>
        <v>Escalopes de veau 110 g</v>
      </c>
      <c r="D209" s="29" t="n">
        <f aca="false">IFERROR(INDEX(Cadencier!$J$5:$J$441,MATCH(B209,Cadencier!$A$5:$A$441,0)),0)</f>
        <v>18</v>
      </c>
    </row>
    <row r="210" customFormat="false" ht="15" hidden="false" customHeight="false" outlineLevel="0" collapsed="false">
      <c r="A210" s="28" t="s">
        <v>1611</v>
      </c>
      <c r="B210" s="28" t="s">
        <v>952</v>
      </c>
      <c r="C210" s="28" t="str">
        <f aca="false">IFERROR(INDEX(Cadencier!$C$5:$C$441,MATCH(B210,Cadencier!$A$5:$A$441,0)),"code inconnu")</f>
        <v>Escalopes viennoises panées surgelées 100 g</v>
      </c>
      <c r="D210" s="29" t="n">
        <f aca="false">IFERROR(INDEX(Cadencier!$J$5:$J$441,MATCH(B210,Cadencier!$A$5:$A$441,0)),0)</f>
        <v>8</v>
      </c>
    </row>
    <row r="211" customFormat="false" ht="15" hidden="false" customHeight="false" outlineLevel="0" collapsed="false">
      <c r="A211" s="28" t="s">
        <v>1612</v>
      </c>
      <c r="B211" s="28" t="s">
        <v>644</v>
      </c>
      <c r="C211" s="28" t="str">
        <f aca="false">IFERROR(INDEX(Cadencier!$C$5:$C$441,MATCH(B211,Cadencier!$A$5:$A$441,0)),"code inconnu")</f>
        <v>Escargots de Bourgogne décoquillés</v>
      </c>
      <c r="D211" s="29" t="n">
        <f aca="false">IFERROR(INDEX(Cadencier!$J$5:$J$441,MATCH(B211,Cadencier!$A$5:$A$441,0)),0)</f>
        <v>40</v>
      </c>
    </row>
    <row r="212" customFormat="false" ht="15" hidden="false" customHeight="false" outlineLevel="0" collapsed="false">
      <c r="A212" s="28" t="s">
        <v>1613</v>
      </c>
      <c r="B212" s="28" t="s">
        <v>954</v>
      </c>
      <c r="C212" s="28" t="str">
        <f aca="false">IFERROR(INDEX(Cadencier!$C$5:$C$441,MATCH(B212,Cadencier!$A$5:$A$441,0)),"code inconnu")</f>
        <v>Estragon ciselé surgelé</v>
      </c>
      <c r="D212" s="29" t="n">
        <f aca="false">IFERROR(INDEX(Cadencier!$J$5:$J$441,MATCH(B212,Cadencier!$A$5:$A$441,0)),0)</f>
        <v>14</v>
      </c>
    </row>
    <row r="213" customFormat="false" ht="15" hidden="false" customHeight="false" outlineLevel="0" collapsed="false">
      <c r="A213" s="28" t="s">
        <v>1614</v>
      </c>
      <c r="B213" s="28" t="s">
        <v>954</v>
      </c>
      <c r="C213" s="28" t="str">
        <f aca="false">IFERROR(INDEX(Cadencier!$C$5:$C$441,MATCH(B213,Cadencier!$A$5:$A$441,0)),"code inconnu")</f>
        <v>Estragon ciselé surgelé</v>
      </c>
      <c r="D213" s="29" t="n">
        <f aca="false">IFERROR(INDEX(Cadencier!$J$5:$J$441,MATCH(B213,Cadencier!$A$5:$A$441,0)),0)</f>
        <v>14</v>
      </c>
    </row>
    <row r="214" customFormat="false" ht="15" hidden="false" customHeight="false" outlineLevel="0" collapsed="false">
      <c r="A214" s="28" t="s">
        <v>1615</v>
      </c>
      <c r="B214" s="28" t="s">
        <v>1274</v>
      </c>
      <c r="C214" s="28" t="str">
        <f aca="false">IFERROR(INDEX(Cadencier!$C$5:$C$441,MATCH(B214,Cadencier!$A$5:$A$441,0)),"code inconnu")</f>
        <v>Extrait de vanille</v>
      </c>
      <c r="D214" s="29" t="n">
        <f aca="false">IFERROR(INDEX(Cadencier!$J$5:$J$441,MATCH(B214,Cadencier!$A$5:$A$441,0)),0)</f>
        <v>28</v>
      </c>
    </row>
    <row r="215" customFormat="false" ht="15" hidden="false" customHeight="false" outlineLevel="0" collapsed="false">
      <c r="A215" s="28" t="s">
        <v>1616</v>
      </c>
      <c r="B215" s="28" t="s">
        <v>1080</v>
      </c>
      <c r="C215" s="28" t="str">
        <f aca="false">IFERROR(INDEX(Cadencier!$C$5:$C$441,MATCH(B215,Cadencier!$A$5:$A$441,0)),"code inconnu")</f>
        <v>Farine T55</v>
      </c>
      <c r="D215" s="29" t="n">
        <f aca="false">IFERROR(INDEX(Cadencier!$J$5:$J$441,MATCH(B215,Cadencier!$A$5:$A$441,0)),0)</f>
        <v>0.85</v>
      </c>
    </row>
    <row r="216" customFormat="false" ht="15" hidden="false" customHeight="false" outlineLevel="0" collapsed="false">
      <c r="A216" s="28" t="s">
        <v>1617</v>
      </c>
      <c r="B216" s="28" t="s">
        <v>1080</v>
      </c>
      <c r="C216" s="28" t="str">
        <f aca="false">IFERROR(INDEX(Cadencier!$C$5:$C$441,MATCH(B216,Cadencier!$A$5:$A$441,0)),"code inconnu")</f>
        <v>Farine T55</v>
      </c>
      <c r="D216" s="29" t="n">
        <f aca="false">IFERROR(INDEX(Cadencier!$J$5:$J$441,MATCH(B216,Cadencier!$A$5:$A$441,0)),0)</f>
        <v>0.85</v>
      </c>
    </row>
    <row r="217" customFormat="false" ht="15" hidden="false" customHeight="false" outlineLevel="0" collapsed="false">
      <c r="A217" s="28" t="s">
        <v>1618</v>
      </c>
      <c r="B217" s="28" t="s">
        <v>1080</v>
      </c>
      <c r="C217" s="28" t="str">
        <f aca="false">IFERROR(INDEX(Cadencier!$C$5:$C$441,MATCH(B217,Cadencier!$A$5:$A$441,0)),"code inconnu")</f>
        <v>Farine T55</v>
      </c>
      <c r="D217" s="29" t="n">
        <f aca="false">IFERROR(INDEX(Cadencier!$J$5:$J$441,MATCH(B217,Cadencier!$A$5:$A$441,0)),0)</f>
        <v>0.85</v>
      </c>
    </row>
    <row r="218" customFormat="false" ht="15" hidden="false" customHeight="false" outlineLevel="0" collapsed="false">
      <c r="A218" s="28" t="s">
        <v>1619</v>
      </c>
      <c r="B218" s="28" t="s">
        <v>1080</v>
      </c>
      <c r="C218" s="28" t="str">
        <f aca="false">IFERROR(INDEX(Cadencier!$C$5:$C$441,MATCH(B218,Cadencier!$A$5:$A$441,0)),"code inconnu")</f>
        <v>Farine T55</v>
      </c>
      <c r="D218" s="29" t="n">
        <f aca="false">IFERROR(INDEX(Cadencier!$J$5:$J$441,MATCH(B218,Cadencier!$A$5:$A$441,0)),0)</f>
        <v>0.85</v>
      </c>
    </row>
    <row r="219" customFormat="false" ht="15" hidden="false" customHeight="false" outlineLevel="0" collapsed="false">
      <c r="A219" s="28" t="s">
        <v>1081</v>
      </c>
      <c r="B219" s="28" t="s">
        <v>1080</v>
      </c>
      <c r="C219" s="28" t="str">
        <f aca="false">IFERROR(INDEX(Cadencier!$C$5:$C$441,MATCH(B219,Cadencier!$A$5:$A$441,0)),"code inconnu")</f>
        <v>Farine T55</v>
      </c>
      <c r="D219" s="29" t="n">
        <f aca="false">IFERROR(INDEX(Cadencier!$J$5:$J$441,MATCH(B219,Cadencier!$A$5:$A$441,0)),0)</f>
        <v>0.85</v>
      </c>
    </row>
    <row r="220" customFormat="false" ht="15" hidden="false" customHeight="false" outlineLevel="0" collapsed="false">
      <c r="A220" s="28" t="s">
        <v>812</v>
      </c>
      <c r="B220" s="28" t="s">
        <v>811</v>
      </c>
      <c r="C220" s="28" t="str">
        <f aca="false">IFERROR(INDEX(Cadencier!$C$5:$C$441,MATCH(B220,Cadencier!$A$5:$A$441,0)),"code inconnu")</f>
        <v>Fenouil</v>
      </c>
      <c r="D220" s="29" t="n">
        <f aca="false">IFERROR(INDEX(Cadencier!$J$5:$J$441,MATCH(B220,Cadencier!$A$5:$A$441,0)),0)</f>
        <v>2.8</v>
      </c>
    </row>
    <row r="221" customFormat="false" ht="15" hidden="false" customHeight="false" outlineLevel="0" collapsed="false">
      <c r="A221" s="28" t="s">
        <v>1620</v>
      </c>
      <c r="B221" s="28" t="s">
        <v>707</v>
      </c>
      <c r="C221" s="28" t="str">
        <f aca="false">IFERROR(INDEX(Cadencier!$C$5:$C$441,MATCH(B221,Cadencier!$A$5:$A$441,0)),"code inconnu")</f>
        <v>Feta en dés</v>
      </c>
      <c r="D221" s="29" t="n">
        <f aca="false">IFERROR(INDEX(Cadencier!$J$5:$J$441,MATCH(B221,Cadencier!$A$5:$A$441,0)),0)</f>
        <v>9</v>
      </c>
    </row>
    <row r="222" customFormat="false" ht="15" hidden="false" customHeight="false" outlineLevel="0" collapsed="false">
      <c r="A222" s="28" t="s">
        <v>1621</v>
      </c>
      <c r="B222" s="28" t="s">
        <v>707</v>
      </c>
      <c r="C222" s="28" t="str">
        <f aca="false">IFERROR(INDEX(Cadencier!$C$5:$C$441,MATCH(B222,Cadencier!$A$5:$A$441,0)),"code inconnu")</f>
        <v>Feta en dés</v>
      </c>
      <c r="D222" s="29" t="n">
        <f aca="false">IFERROR(INDEX(Cadencier!$J$5:$J$441,MATCH(B222,Cadencier!$A$5:$A$441,0)),0)</f>
        <v>9</v>
      </c>
    </row>
    <row r="223" customFormat="false" ht="15" hidden="false" customHeight="false" outlineLevel="0" collapsed="false">
      <c r="A223" s="28" t="s">
        <v>1622</v>
      </c>
      <c r="B223" s="28" t="s">
        <v>707</v>
      </c>
      <c r="C223" s="28" t="str">
        <f aca="false">IFERROR(INDEX(Cadencier!$C$5:$C$441,MATCH(B223,Cadencier!$A$5:$A$441,0)),"code inconnu")</f>
        <v>Feta en dés</v>
      </c>
      <c r="D223" s="29" t="n">
        <f aca="false">IFERROR(INDEX(Cadencier!$J$5:$J$441,MATCH(B223,Cadencier!$A$5:$A$441,0)),0)</f>
        <v>9</v>
      </c>
    </row>
    <row r="224" customFormat="false" ht="15" hidden="false" customHeight="false" outlineLevel="0" collapsed="false">
      <c r="A224" s="28" t="s">
        <v>1623</v>
      </c>
      <c r="B224" s="28" t="s">
        <v>956</v>
      </c>
      <c r="C224" s="28" t="str">
        <f aca="false">IFERROR(INDEX(Cadencier!$C$5:$C$441,MATCH(B224,Cadencier!$A$5:$A$441,0)),"code inconnu")</f>
        <v>Feuilletés jambon fromage surgelés 90 g</v>
      </c>
      <c r="D224" s="29" t="n">
        <f aca="false">IFERROR(INDEX(Cadencier!$J$5:$J$441,MATCH(B224,Cadencier!$A$5:$A$441,0)),0)</f>
        <v>8.33</v>
      </c>
    </row>
    <row r="225" customFormat="false" ht="15" hidden="false" customHeight="false" outlineLevel="0" collapsed="false">
      <c r="A225" s="28" t="s">
        <v>457</v>
      </c>
      <c r="B225" s="28" t="s">
        <v>456</v>
      </c>
      <c r="C225" s="28" t="str">
        <f aca="false">IFERROR(INDEX(Cadencier!$C$5:$C$441,MATCH(B225,Cadencier!$A$5:$A$441,0)),"code inconnu")</f>
        <v>Filet mignon de porc paré</v>
      </c>
      <c r="D225" s="29" t="n">
        <f aca="false">IFERROR(INDEX(Cadencier!$J$5:$J$441,MATCH(B225,Cadencier!$A$5:$A$441,0)),0)</f>
        <v>9.5</v>
      </c>
    </row>
    <row r="226" customFormat="false" ht="15" hidden="false" customHeight="false" outlineLevel="0" collapsed="false">
      <c r="A226" s="28" t="s">
        <v>1624</v>
      </c>
      <c r="B226" s="28" t="s">
        <v>647</v>
      </c>
      <c r="C226" s="28" t="str">
        <f aca="false">IFERROR(INDEX(Cadencier!$C$5:$C$441,MATCH(B226,Cadencier!$A$5:$A$441,0)),"code inconnu")</f>
        <v>Filets de maquereau surgelés</v>
      </c>
      <c r="D226" s="29" t="n">
        <f aca="false">IFERROR(INDEX(Cadencier!$J$5:$J$441,MATCH(B226,Cadencier!$A$5:$A$441,0)),0)</f>
        <v>7.5</v>
      </c>
    </row>
    <row r="227" customFormat="false" ht="15" hidden="false" customHeight="false" outlineLevel="0" collapsed="false">
      <c r="A227" s="28" t="s">
        <v>650</v>
      </c>
      <c r="B227" s="28" t="s">
        <v>649</v>
      </c>
      <c r="C227" s="28" t="str">
        <f aca="false">IFERROR(INDEX(Cadencier!$C$5:$C$441,MATCH(B227,Cadencier!$A$5:$A$441,0)),"code inconnu")</f>
        <v>Filets de poisson blanc surgelés</v>
      </c>
      <c r="D227" s="29" t="n">
        <f aca="false">IFERROR(INDEX(Cadencier!$J$5:$J$441,MATCH(B227,Cadencier!$A$5:$A$441,0)),0)</f>
        <v>9</v>
      </c>
    </row>
    <row r="228" customFormat="false" ht="15" hidden="false" customHeight="false" outlineLevel="0" collapsed="false">
      <c r="A228" s="28" t="s">
        <v>1625</v>
      </c>
      <c r="B228" s="28" t="s">
        <v>649</v>
      </c>
      <c r="C228" s="28" t="str">
        <f aca="false">IFERROR(INDEX(Cadencier!$C$5:$C$441,MATCH(B228,Cadencier!$A$5:$A$441,0)),"code inconnu")</f>
        <v>Filets de poisson blanc surgelés</v>
      </c>
      <c r="D228" s="29" t="n">
        <f aca="false">IFERROR(INDEX(Cadencier!$J$5:$J$441,MATCH(B228,Cadencier!$A$5:$A$441,0)),0)</f>
        <v>9</v>
      </c>
    </row>
    <row r="229" customFormat="false" ht="15" hidden="false" customHeight="false" outlineLevel="0" collapsed="false">
      <c r="A229" s="28" t="s">
        <v>1626</v>
      </c>
      <c r="B229" s="28" t="s">
        <v>552</v>
      </c>
      <c r="C229" s="28" t="str">
        <f aca="false">IFERROR(INDEX(Cadencier!$C$5:$C$441,MATCH(B229,Cadencier!$A$5:$A$441,0)),"code inconnu")</f>
        <v>Suprêmes / filets de volaille 130/150 g</v>
      </c>
      <c r="D229" s="29" t="n">
        <f aca="false">IFERROR(INDEX(Cadencier!$J$5:$J$441,MATCH(B229,Cadencier!$A$5:$A$441,0)),0)</f>
        <v>9</v>
      </c>
    </row>
    <row r="230" customFormat="false" ht="15" hidden="false" customHeight="false" outlineLevel="0" collapsed="false">
      <c r="A230" s="28" t="s">
        <v>652</v>
      </c>
      <c r="B230" s="28" t="s">
        <v>651</v>
      </c>
      <c r="C230" s="28" t="str">
        <f aca="false">IFERROR(INDEX(Cadencier!$C$5:$C$441,MATCH(B230,Cadencier!$A$5:$A$441,0)),"code inconnu")</f>
        <v>Filets de saumon surgelés</v>
      </c>
      <c r="D230" s="29" t="n">
        <f aca="false">IFERROR(INDEX(Cadencier!$J$5:$J$441,MATCH(B230,Cadencier!$A$5:$A$441,0)),0)</f>
        <v>13.5</v>
      </c>
    </row>
    <row r="231" customFormat="false" ht="15" hidden="false" customHeight="false" outlineLevel="0" collapsed="false">
      <c r="A231" s="28" t="s">
        <v>1627</v>
      </c>
      <c r="B231" s="28" t="s">
        <v>1461</v>
      </c>
      <c r="C231" s="28" t="str">
        <f aca="false">IFERROR(INDEX(Cadencier!$C$5:$C$441,MATCH(B231,Cadencier!$A$5:$A$441,0)),"code inconnu")</f>
        <v>Finition J+1 (sans objet)</v>
      </c>
      <c r="D231" s="29" t="n">
        <f aca="false">IFERROR(INDEX(Cadencier!$J$5:$J$441,MATCH(B231,Cadencier!$A$5:$A$441,0)),0)</f>
        <v>0</v>
      </c>
    </row>
    <row r="232" customFormat="false" ht="15" hidden="false" customHeight="false" outlineLevel="0" collapsed="false">
      <c r="A232" s="28" t="s">
        <v>1087</v>
      </c>
      <c r="B232" s="28" t="s">
        <v>1086</v>
      </c>
      <c r="C232" s="28" t="str">
        <f aca="false">IFERROR(INDEX(Cadencier!$C$5:$C$441,MATCH(B232,Cadencier!$A$5:$A$441,0)),"code inconnu")</f>
        <v>Flageolets verts secs</v>
      </c>
      <c r="D232" s="29" t="n">
        <f aca="false">IFERROR(INDEX(Cadencier!$J$5:$J$441,MATCH(B232,Cadencier!$A$5:$A$441,0)),0)</f>
        <v>4.5</v>
      </c>
    </row>
    <row r="233" customFormat="false" ht="15" hidden="false" customHeight="false" outlineLevel="0" collapsed="false">
      <c r="A233" s="28" t="s">
        <v>1628</v>
      </c>
      <c r="B233" s="28" t="s">
        <v>1277</v>
      </c>
      <c r="C233" s="28" t="str">
        <f aca="false">IFERROR(INDEX(Cadencier!$C$5:$C$441,MATCH(B233,Cadencier!$A$5:$A$441,0)),"code inconnu")</f>
        <v>Fleur de sel</v>
      </c>
      <c r="D233" s="29" t="n">
        <f aca="false">IFERROR(INDEX(Cadencier!$J$5:$J$441,MATCH(B233,Cadencier!$A$5:$A$441,0)),0)</f>
        <v>8</v>
      </c>
    </row>
    <row r="234" customFormat="false" ht="15" hidden="false" customHeight="false" outlineLevel="0" collapsed="false">
      <c r="A234" s="28" t="s">
        <v>1629</v>
      </c>
      <c r="B234" s="28" t="s">
        <v>906</v>
      </c>
      <c r="C234" s="28" t="str">
        <f aca="false">IFERROR(INDEX(Cadencier!$C$5:$C$441,MATCH(B234,Cadencier!$A$5:$A$441,0)),"code inconnu")</f>
        <v>Brocolis fleurettes surgelés</v>
      </c>
      <c r="D234" s="29" t="n">
        <f aca="false">IFERROR(INDEX(Cadencier!$J$5:$J$441,MATCH(B234,Cadencier!$A$5:$A$441,0)),0)</f>
        <v>2.3</v>
      </c>
    </row>
    <row r="235" customFormat="false" ht="15" hidden="false" customHeight="false" outlineLevel="0" collapsed="false">
      <c r="A235" s="28" t="s">
        <v>1630</v>
      </c>
      <c r="B235" s="28" t="s">
        <v>924</v>
      </c>
      <c r="C235" s="28" t="str">
        <f aca="false">IFERROR(INDEX(Cadencier!$C$5:$C$441,MATCH(B235,Cadencier!$A$5:$A$441,0)),"code inconnu")</f>
        <v>Chou romanesco fleurettes surgelé</v>
      </c>
      <c r="D235" s="29" t="n">
        <f aca="false">IFERROR(INDEX(Cadencier!$J$5:$J$441,MATCH(B235,Cadencier!$A$5:$A$441,0)),0)</f>
        <v>3</v>
      </c>
    </row>
    <row r="236" customFormat="false" ht="15" hidden="false" customHeight="false" outlineLevel="0" collapsed="false">
      <c r="A236" s="28" t="s">
        <v>1089</v>
      </c>
      <c r="B236" s="28" t="s">
        <v>1088</v>
      </c>
      <c r="C236" s="28" t="str">
        <f aca="false">IFERROR(INDEX(Cadencier!$C$5:$C$441,MATCH(B236,Cadencier!$A$5:$A$441,0)),"code inconnu")</f>
        <v>Flocons de pomme de terre</v>
      </c>
      <c r="D236" s="29" t="n">
        <f aca="false">IFERROR(INDEX(Cadencier!$J$5:$J$441,MATCH(B236,Cadencier!$A$5:$A$441,0)),0)</f>
        <v>3.5</v>
      </c>
    </row>
    <row r="237" customFormat="false" ht="15" hidden="false" customHeight="false" outlineLevel="0" collapsed="false">
      <c r="A237" s="28" t="s">
        <v>1631</v>
      </c>
      <c r="B237" s="28" t="s">
        <v>1097</v>
      </c>
      <c r="C237" s="28" t="str">
        <f aca="false">IFERROR(INDEX(Cadencier!$C$5:$C$441,MATCH(B237,Cadencier!$A$5:$A$441,0)),"code inconnu")</f>
        <v>Fond de veau déshydraté</v>
      </c>
      <c r="D237" s="29" t="n">
        <f aca="false">IFERROR(INDEX(Cadencier!$J$5:$J$441,MATCH(B237,Cadencier!$A$5:$A$441,0)),0)</f>
        <v>12</v>
      </c>
    </row>
    <row r="238" customFormat="false" ht="15" hidden="false" customHeight="false" outlineLevel="0" collapsed="false">
      <c r="A238" s="28" t="s">
        <v>1094</v>
      </c>
      <c r="B238" s="28" t="s">
        <v>1093</v>
      </c>
      <c r="C238" s="28" t="str">
        <f aca="false">IFERROR(INDEX(Cadencier!$C$5:$C$441,MATCH(B238,Cadencier!$A$5:$A$441,0)),"code inconnu")</f>
        <v>Fond brun déshydraté</v>
      </c>
      <c r="D238" s="29" t="n">
        <f aca="false">IFERROR(INDEX(Cadencier!$J$5:$J$441,MATCH(B238,Cadencier!$A$5:$A$441,0)),0)</f>
        <v>11</v>
      </c>
    </row>
    <row r="239" customFormat="false" ht="15" hidden="false" customHeight="false" outlineLevel="0" collapsed="false">
      <c r="A239" s="28" t="s">
        <v>1096</v>
      </c>
      <c r="B239" s="28" t="s">
        <v>1095</v>
      </c>
      <c r="C239" s="28" t="str">
        <f aca="false">IFERROR(INDEX(Cadencier!$C$5:$C$441,MATCH(B239,Cadencier!$A$5:$A$441,0)),"code inconnu")</f>
        <v>Fond d'agneau déshydraté</v>
      </c>
      <c r="D239" s="29" t="n">
        <f aca="false">IFERROR(INDEX(Cadencier!$J$5:$J$441,MATCH(B239,Cadencier!$A$5:$A$441,0)),0)</f>
        <v>15</v>
      </c>
    </row>
    <row r="240" customFormat="false" ht="15" hidden="false" customHeight="false" outlineLevel="0" collapsed="false">
      <c r="A240" s="28" t="s">
        <v>1632</v>
      </c>
      <c r="B240" s="28" t="s">
        <v>1095</v>
      </c>
      <c r="C240" s="28" t="str">
        <f aca="false">IFERROR(INDEX(Cadencier!$C$5:$C$441,MATCH(B240,Cadencier!$A$5:$A$441,0)),"code inconnu")</f>
        <v>Fond d'agneau déshydraté</v>
      </c>
      <c r="D240" s="29" t="n">
        <f aca="false">IFERROR(INDEX(Cadencier!$J$5:$J$441,MATCH(B240,Cadencier!$A$5:$A$441,0)),0)</f>
        <v>15</v>
      </c>
    </row>
    <row r="241" customFormat="false" ht="15" hidden="false" customHeight="false" outlineLevel="0" collapsed="false">
      <c r="A241" s="28" t="s">
        <v>1633</v>
      </c>
      <c r="B241" s="28" t="s">
        <v>1053</v>
      </c>
      <c r="C241" s="28" t="str">
        <f aca="false">IFERROR(INDEX(Cadencier!$C$5:$C$441,MATCH(B241,Cadencier!$A$5:$A$441,0)),"code inconnu")</f>
        <v>Bouillon de bœuf déshydraté</v>
      </c>
      <c r="D241" s="29" t="n">
        <f aca="false">IFERROR(INDEX(Cadencier!$J$5:$J$441,MATCH(B241,Cadencier!$A$5:$A$441,0)),0)</f>
        <v>9</v>
      </c>
    </row>
    <row r="242" customFormat="false" ht="15" hidden="false" customHeight="false" outlineLevel="0" collapsed="false">
      <c r="A242" s="28" t="s">
        <v>1098</v>
      </c>
      <c r="B242" s="28" t="s">
        <v>1097</v>
      </c>
      <c r="C242" s="28" t="str">
        <f aca="false">IFERROR(INDEX(Cadencier!$C$5:$C$441,MATCH(B242,Cadencier!$A$5:$A$441,0)),"code inconnu")</f>
        <v>Fond de veau déshydraté</v>
      </c>
      <c r="D242" s="29" t="n">
        <f aca="false">IFERROR(INDEX(Cadencier!$J$5:$J$441,MATCH(B242,Cadencier!$A$5:$A$441,0)),0)</f>
        <v>12</v>
      </c>
    </row>
    <row r="243" customFormat="false" ht="15" hidden="false" customHeight="false" outlineLevel="0" collapsed="false">
      <c r="A243" s="28" t="s">
        <v>1634</v>
      </c>
      <c r="B243" s="28" t="s">
        <v>1097</v>
      </c>
      <c r="C243" s="28" t="str">
        <f aca="false">IFERROR(INDEX(Cadencier!$C$5:$C$441,MATCH(B243,Cadencier!$A$5:$A$441,0)),"code inconnu")</f>
        <v>Fond de veau déshydraté</v>
      </c>
      <c r="D243" s="29" t="n">
        <f aca="false">IFERROR(INDEX(Cadencier!$J$5:$J$441,MATCH(B243,Cadencier!$A$5:$A$441,0)),0)</f>
        <v>12</v>
      </c>
    </row>
    <row r="244" customFormat="false" ht="15" hidden="false" customHeight="false" outlineLevel="0" collapsed="false">
      <c r="A244" s="28" t="s">
        <v>1100</v>
      </c>
      <c r="B244" s="28" t="s">
        <v>1099</v>
      </c>
      <c r="C244" s="28" t="str">
        <f aca="false">IFERROR(INDEX(Cadencier!$C$5:$C$441,MATCH(B244,Cadencier!$A$5:$A$441,0)),"code inconnu")</f>
        <v>Fond de volaille déshydraté</v>
      </c>
      <c r="D244" s="29" t="n">
        <f aca="false">IFERROR(INDEX(Cadencier!$J$5:$J$441,MATCH(B244,Cadencier!$A$5:$A$441,0)),0)</f>
        <v>10</v>
      </c>
    </row>
    <row r="245" customFormat="false" ht="15" hidden="false" customHeight="false" outlineLevel="0" collapsed="false">
      <c r="A245" s="28" t="s">
        <v>1635</v>
      </c>
      <c r="B245" s="28" t="s">
        <v>1099</v>
      </c>
      <c r="C245" s="28" t="str">
        <f aca="false">IFERROR(INDEX(Cadencier!$C$5:$C$441,MATCH(B245,Cadencier!$A$5:$A$441,0)),"code inconnu")</f>
        <v>Fond de volaille déshydraté</v>
      </c>
      <c r="D245" s="29" t="n">
        <f aca="false">IFERROR(INDEX(Cadencier!$J$5:$J$441,MATCH(B245,Cadencier!$A$5:$A$441,0)),0)</f>
        <v>10</v>
      </c>
    </row>
    <row r="246" customFormat="false" ht="15" hidden="false" customHeight="false" outlineLevel="0" collapsed="false">
      <c r="A246" s="28" t="s">
        <v>1102</v>
      </c>
      <c r="B246" s="28" t="s">
        <v>1101</v>
      </c>
      <c r="C246" s="28" t="str">
        <f aca="false">IFERROR(INDEX(Cadencier!$C$5:$C$441,MATCH(B246,Cadencier!$A$5:$A$441,0)),"code inconnu")</f>
        <v>Fondant pâtissier</v>
      </c>
      <c r="D246" s="29" t="n">
        <f aca="false">IFERROR(INDEX(Cadencier!$J$5:$J$441,MATCH(B246,Cadencier!$A$5:$A$441,0)),0)</f>
        <v>4.5</v>
      </c>
    </row>
    <row r="247" customFormat="false" ht="15" hidden="false" customHeight="false" outlineLevel="0" collapsed="false">
      <c r="A247" s="28" t="s">
        <v>1636</v>
      </c>
      <c r="B247" s="28" t="s">
        <v>960</v>
      </c>
      <c r="C247" s="28" t="str">
        <f aca="false">IFERROR(INDEX(Cadencier!$C$5:$C$441,MATCH(B247,Cadencier!$A$5:$A$441,0)),"code inconnu")</f>
        <v>Fonds d'artichauts surgelés</v>
      </c>
      <c r="D247" s="29" t="n">
        <f aca="false">IFERROR(INDEX(Cadencier!$J$5:$J$441,MATCH(B247,Cadencier!$A$5:$A$441,0)),0)</f>
        <v>8</v>
      </c>
    </row>
    <row r="248" customFormat="false" ht="15" hidden="false" customHeight="false" outlineLevel="0" collapsed="false">
      <c r="A248" s="28" t="s">
        <v>1637</v>
      </c>
      <c r="B248" s="28" t="s">
        <v>962</v>
      </c>
      <c r="C248" s="28" t="str">
        <f aca="false">IFERROR(INDEX(Cadencier!$C$5:$C$441,MATCH(B248,Cadencier!$A$5:$A$441,0)),"code inconnu")</f>
        <v>Framboises IQF surgelées</v>
      </c>
      <c r="D248" s="29" t="n">
        <f aca="false">IFERROR(INDEX(Cadencier!$J$5:$J$441,MATCH(B248,Cadencier!$A$5:$A$441,0)),0)</f>
        <v>9</v>
      </c>
    </row>
    <row r="249" customFormat="false" ht="15" hidden="false" customHeight="false" outlineLevel="0" collapsed="false">
      <c r="A249" s="28" t="s">
        <v>965</v>
      </c>
      <c r="B249" s="28" t="s">
        <v>964</v>
      </c>
      <c r="C249" s="28" t="str">
        <f aca="false">IFERROR(INDEX(Cadencier!$C$5:$C$441,MATCH(B249,Cadencier!$A$5:$A$441,0)),"code inconnu")</f>
        <v>Frites de patate douce surgelées</v>
      </c>
      <c r="D249" s="29" t="n">
        <f aca="false">IFERROR(INDEX(Cadencier!$J$5:$J$441,MATCH(B249,Cadencier!$A$5:$A$441,0)),0)</f>
        <v>3.5</v>
      </c>
    </row>
    <row r="250" customFormat="false" ht="15" hidden="false" customHeight="false" outlineLevel="0" collapsed="false">
      <c r="A250" s="28" t="s">
        <v>1638</v>
      </c>
      <c r="B250" s="28" t="s">
        <v>966</v>
      </c>
      <c r="C250" s="28" t="str">
        <f aca="false">IFERROR(INDEX(Cadencier!$C$5:$C$441,MATCH(B250,Cadencier!$A$5:$A$441,0)),"code inconnu")</f>
        <v>Frites précuites surgelées spécial four</v>
      </c>
      <c r="D250" s="29" t="n">
        <f aca="false">IFERROR(INDEX(Cadencier!$J$5:$J$441,MATCH(B250,Cadencier!$A$5:$A$441,0)),0)</f>
        <v>2</v>
      </c>
    </row>
    <row r="251" customFormat="false" ht="15" hidden="false" customHeight="false" outlineLevel="0" collapsed="false">
      <c r="A251" s="28" t="s">
        <v>1639</v>
      </c>
      <c r="B251" s="28" t="s">
        <v>710</v>
      </c>
      <c r="C251" s="28" t="str">
        <f aca="false">IFERROR(INDEX(Cadencier!$C$5:$C$441,MATCH(B251,Cadencier!$A$5:$A$441,0)),"code inconnu")</f>
        <v>Fromage blanc 20 %</v>
      </c>
      <c r="D251" s="29" t="n">
        <f aca="false">IFERROR(INDEX(Cadencier!$J$5:$J$441,MATCH(B251,Cadencier!$A$5:$A$441,0)),0)</f>
        <v>2.8</v>
      </c>
    </row>
    <row r="252" customFormat="false" ht="15" hidden="false" customHeight="false" outlineLevel="0" collapsed="false">
      <c r="A252" s="28" t="s">
        <v>1640</v>
      </c>
      <c r="B252" s="28" t="s">
        <v>710</v>
      </c>
      <c r="C252" s="28" t="str">
        <f aca="false">IFERROR(INDEX(Cadencier!$C$5:$C$441,MATCH(B252,Cadencier!$A$5:$A$441,0)),"code inconnu")</f>
        <v>Fromage blanc 20 %</v>
      </c>
      <c r="D252" s="29" t="n">
        <f aca="false">IFERROR(INDEX(Cadencier!$J$5:$J$441,MATCH(B252,Cadencier!$A$5:$A$441,0)),0)</f>
        <v>2.8</v>
      </c>
    </row>
    <row r="253" customFormat="false" ht="15" hidden="false" customHeight="false" outlineLevel="0" collapsed="false">
      <c r="A253" s="28" t="s">
        <v>1641</v>
      </c>
      <c r="B253" s="28" t="s">
        <v>710</v>
      </c>
      <c r="C253" s="28" t="str">
        <f aca="false">IFERROR(INDEX(Cadencier!$C$5:$C$441,MATCH(B253,Cadencier!$A$5:$A$441,0)),"code inconnu")</f>
        <v>Fromage blanc 20 %</v>
      </c>
      <c r="D253" s="29" t="n">
        <f aca="false">IFERROR(INDEX(Cadencier!$J$5:$J$441,MATCH(B253,Cadencier!$A$5:$A$441,0)),0)</f>
        <v>2.8</v>
      </c>
    </row>
    <row r="254" customFormat="false" ht="15" hidden="false" customHeight="false" outlineLevel="0" collapsed="false">
      <c r="A254" s="28" t="s">
        <v>1642</v>
      </c>
      <c r="B254" s="28" t="s">
        <v>696</v>
      </c>
      <c r="C254" s="28" t="str">
        <f aca="false">IFERROR(INDEX(Cadencier!$C$5:$C$441,MATCH(B254,Cadencier!$A$5:$A$441,0)),"code inconnu")</f>
        <v>Comté râpé</v>
      </c>
      <c r="D254" s="29" t="n">
        <f aca="false">IFERROR(INDEX(Cadencier!$J$5:$J$441,MATCH(B254,Cadencier!$A$5:$A$441,0)),0)</f>
        <v>13</v>
      </c>
    </row>
    <row r="255" customFormat="false" ht="15" hidden="false" customHeight="false" outlineLevel="0" collapsed="false">
      <c r="A255" s="28" t="s">
        <v>1643</v>
      </c>
      <c r="B255" s="28" t="s">
        <v>712</v>
      </c>
      <c r="C255" s="28" t="str">
        <f aca="false">IFERROR(INDEX(Cadencier!$C$5:$C$441,MATCH(B255,Cadencier!$A$5:$A$441,0)),"code inconnu")</f>
        <v>Fromage frais nature (type St Môret)</v>
      </c>
      <c r="D255" s="29" t="n">
        <f aca="false">IFERROR(INDEX(Cadencier!$J$5:$J$441,MATCH(B255,Cadencier!$A$5:$A$441,0)),0)</f>
        <v>8</v>
      </c>
    </row>
    <row r="256" customFormat="false" ht="15" hidden="false" customHeight="false" outlineLevel="0" collapsed="false">
      <c r="A256" s="28" t="s">
        <v>1644</v>
      </c>
      <c r="B256" s="28" t="s">
        <v>968</v>
      </c>
      <c r="C256" s="28" t="str">
        <f aca="false">IFERROR(INDEX(Cadencier!$C$5:$C$441,MATCH(B256,Cadencier!$A$5:$A$441,0)),"code inconnu")</f>
        <v>Fruits rouges IQF surgelés</v>
      </c>
      <c r="D256" s="29" t="n">
        <f aca="false">IFERROR(INDEX(Cadencier!$J$5:$J$441,MATCH(B256,Cadencier!$A$5:$A$441,0)),0)</f>
        <v>6.5</v>
      </c>
    </row>
    <row r="257" customFormat="false" ht="15" hidden="false" customHeight="false" outlineLevel="0" collapsed="false">
      <c r="A257" s="28" t="s">
        <v>1104</v>
      </c>
      <c r="B257" s="28" t="s">
        <v>1103</v>
      </c>
      <c r="C257" s="28" t="str">
        <f aca="false">IFERROR(INDEX(Cadencier!$C$5:$C$441,MATCH(B257,Cadencier!$A$5:$A$441,0)),"code inconnu")</f>
        <v>Fumet de poisson déshydraté</v>
      </c>
      <c r="D257" s="29" t="n">
        <f aca="false">IFERROR(INDEX(Cadencier!$J$5:$J$441,MATCH(B257,Cadencier!$A$5:$A$441,0)),0)</f>
        <v>12</v>
      </c>
    </row>
    <row r="258" customFormat="false" ht="15" hidden="false" customHeight="false" outlineLevel="0" collapsed="false">
      <c r="A258" s="28" t="s">
        <v>1645</v>
      </c>
      <c r="B258" s="28" t="s">
        <v>1083</v>
      </c>
      <c r="C258" s="28" t="str">
        <f aca="false">IFERROR(INDEX(Cadencier!$C$5:$C$441,MATCH(B258,Cadencier!$A$5:$A$441,0)),"code inconnu")</f>
        <v>Fécule de pomme de terre</v>
      </c>
      <c r="D258" s="29" t="n">
        <f aca="false">IFERROR(INDEX(Cadencier!$J$5:$J$441,MATCH(B258,Cadencier!$A$5:$A$441,0)),0)</f>
        <v>2.2</v>
      </c>
    </row>
    <row r="259" customFormat="false" ht="15" hidden="false" customHeight="false" outlineLevel="0" collapsed="false">
      <c r="A259" s="28" t="s">
        <v>1646</v>
      </c>
      <c r="B259" s="28" t="s">
        <v>1083</v>
      </c>
      <c r="C259" s="28" t="str">
        <f aca="false">IFERROR(INDEX(Cadencier!$C$5:$C$441,MATCH(B259,Cadencier!$A$5:$A$441,0)),"code inconnu")</f>
        <v>Fécule de pomme de terre</v>
      </c>
      <c r="D259" s="29" t="n">
        <f aca="false">IFERROR(INDEX(Cadencier!$J$5:$J$441,MATCH(B259,Cadencier!$A$5:$A$441,0)),0)</f>
        <v>2.2</v>
      </c>
    </row>
    <row r="260" customFormat="false" ht="15" hidden="false" customHeight="false" outlineLevel="0" collapsed="false">
      <c r="A260" s="28" t="s">
        <v>1084</v>
      </c>
      <c r="B260" s="28" t="s">
        <v>1083</v>
      </c>
      <c r="C260" s="28" t="str">
        <f aca="false">IFERROR(INDEX(Cadencier!$C$5:$C$441,MATCH(B260,Cadencier!$A$5:$A$441,0)),"code inconnu")</f>
        <v>Fécule de pomme de terre</v>
      </c>
      <c r="D260" s="29" t="n">
        <f aca="false">IFERROR(INDEX(Cadencier!$J$5:$J$441,MATCH(B260,Cadencier!$A$5:$A$441,0)),0)</f>
        <v>2.2</v>
      </c>
    </row>
    <row r="261" customFormat="false" ht="15" hidden="false" customHeight="false" outlineLevel="0" collapsed="false">
      <c r="A261" s="28" t="s">
        <v>1647</v>
      </c>
      <c r="B261" s="28" t="s">
        <v>1083</v>
      </c>
      <c r="C261" s="28" t="str">
        <f aca="false">IFERROR(INDEX(Cadencier!$C$5:$C$441,MATCH(B261,Cadencier!$A$5:$A$441,0)),"code inconnu")</f>
        <v>Fécule de pomme de terre</v>
      </c>
      <c r="D261" s="29" t="n">
        <f aca="false">IFERROR(INDEX(Cadencier!$J$5:$J$441,MATCH(B261,Cadencier!$A$5:$A$441,0)),0)</f>
        <v>2.2</v>
      </c>
    </row>
    <row r="262" customFormat="false" ht="15" hidden="false" customHeight="false" outlineLevel="0" collapsed="false">
      <c r="A262" s="28" t="s">
        <v>1648</v>
      </c>
      <c r="B262" s="28" t="s">
        <v>459</v>
      </c>
      <c r="C262" s="28" t="str">
        <f aca="false">IFERROR(INDEX(Cadencier!$C$5:$C$441,MATCH(B262,Cadencier!$A$5:$A$441,0)),"code inconnu")</f>
        <v>Gigot d'agneau désossé ficelé</v>
      </c>
      <c r="D262" s="29" t="n">
        <f aca="false">IFERROR(INDEX(Cadencier!$J$5:$J$441,MATCH(B262,Cadencier!$A$5:$A$441,0)),0)</f>
        <v>15.5</v>
      </c>
    </row>
    <row r="263" customFormat="false" ht="15" hidden="false" customHeight="false" outlineLevel="0" collapsed="false">
      <c r="A263" s="28" t="s">
        <v>1649</v>
      </c>
      <c r="B263" s="28" t="s">
        <v>813</v>
      </c>
      <c r="C263" s="28" t="str">
        <f aca="false">IFERROR(INDEX(Cadencier!$C$5:$C$441,MATCH(B263,Cadencier!$A$5:$A$441,0)),"code inconnu")</f>
        <v>Gingembre frais</v>
      </c>
      <c r="D263" s="29" t="n">
        <f aca="false">IFERROR(INDEX(Cadencier!$J$5:$J$441,MATCH(B263,Cadencier!$A$5:$A$441,0)),0)</f>
        <v>6.5</v>
      </c>
    </row>
    <row r="264" customFormat="false" ht="15" hidden="false" customHeight="false" outlineLevel="0" collapsed="false">
      <c r="A264" s="28" t="s">
        <v>1280</v>
      </c>
      <c r="B264" s="28" t="s">
        <v>1279</v>
      </c>
      <c r="C264" s="28" t="str">
        <f aca="false">IFERROR(INDEX(Cadencier!$C$5:$C$441,MATCH(B264,Cadencier!$A$5:$A$441,0)),"code inconnu")</f>
        <v>Gingembre moulu</v>
      </c>
      <c r="D264" s="29" t="n">
        <f aca="false">IFERROR(INDEX(Cadencier!$J$5:$J$441,MATCH(B264,Cadencier!$A$5:$A$441,0)),0)</f>
        <v>14</v>
      </c>
    </row>
    <row r="265" customFormat="false" ht="15" hidden="false" customHeight="false" outlineLevel="0" collapsed="false">
      <c r="A265" s="28" t="s">
        <v>1650</v>
      </c>
      <c r="B265" s="28" t="s">
        <v>1279</v>
      </c>
      <c r="C265" s="28" t="str">
        <f aca="false">IFERROR(INDEX(Cadencier!$C$5:$C$441,MATCH(B265,Cadencier!$A$5:$A$441,0)),"code inconnu")</f>
        <v>Gingembre moulu</v>
      </c>
      <c r="D265" s="29" t="n">
        <f aca="false">IFERROR(INDEX(Cadencier!$J$5:$J$441,MATCH(B265,Cadencier!$A$5:$A$441,0)),0)</f>
        <v>14</v>
      </c>
    </row>
    <row r="266" customFormat="false" ht="15" hidden="false" customHeight="false" outlineLevel="0" collapsed="false">
      <c r="A266" s="28" t="s">
        <v>1419</v>
      </c>
      <c r="B266" s="28" t="s">
        <v>1418</v>
      </c>
      <c r="C266" s="28" t="str">
        <f aca="false">IFERROR(INDEX(Cadencier!$C$5:$C$441,MATCH(B266,Cadencier!$A$5:$A$441,0)),"code inconnu")</f>
        <v>Glaçage chocolat prêt à l'emploi</v>
      </c>
      <c r="D266" s="29" t="n">
        <f aca="false">IFERROR(INDEX(Cadencier!$J$5:$J$441,MATCH(B266,Cadencier!$A$5:$A$441,0)),0)</f>
        <v>8.5</v>
      </c>
    </row>
    <row r="267" customFormat="false" ht="15" hidden="false" customHeight="false" outlineLevel="0" collapsed="false">
      <c r="A267" s="28" t="s">
        <v>1382</v>
      </c>
      <c r="B267" s="28" t="s">
        <v>1381</v>
      </c>
      <c r="C267" s="28" t="str">
        <f aca="false">IFERROR(INDEX(Cadencier!$C$5:$C$441,MATCH(B267,Cadencier!$A$5:$A$441,0)),"code inconnu")</f>
        <v>Gnocchis de pommes de terre frais sous vide</v>
      </c>
      <c r="D267" s="29" t="n">
        <f aca="false">IFERROR(INDEX(Cadencier!$J$5:$J$441,MATCH(B267,Cadencier!$A$5:$A$441,0)),0)</f>
        <v>3.5</v>
      </c>
    </row>
    <row r="268" customFormat="false" ht="15" hidden="false" customHeight="false" outlineLevel="0" collapsed="false">
      <c r="A268" s="28" t="s">
        <v>1651</v>
      </c>
      <c r="B268" s="28" t="s">
        <v>1384</v>
      </c>
      <c r="C268" s="28" t="str">
        <f aca="false">IFERROR(INDEX(Cadencier!$C$5:$C$441,MATCH(B268,Cadencier!$A$5:$A$441,0)),"code inconnu")</f>
        <v>Godiveaux (quenelles de veau) 80 g</v>
      </c>
      <c r="D268" s="29" t="n">
        <f aca="false">IFERROR(INDEX(Cadencier!$J$5:$J$441,MATCH(B268,Cadencier!$A$5:$A$441,0)),0)</f>
        <v>7.5</v>
      </c>
    </row>
    <row r="269" customFormat="false" ht="15" hidden="false" customHeight="false" outlineLevel="0" collapsed="false">
      <c r="A269" s="28" t="s">
        <v>1282</v>
      </c>
      <c r="B269" s="28" t="s">
        <v>1281</v>
      </c>
      <c r="C269" s="28" t="str">
        <f aca="false">IFERROR(INDEX(Cadencier!$C$5:$C$441,MATCH(B269,Cadencier!$A$5:$A$441,0)),"code inconnu")</f>
        <v>Graines de coriandre</v>
      </c>
      <c r="D269" s="29" t="n">
        <f aca="false">IFERROR(INDEX(Cadencier!$J$5:$J$441,MATCH(B269,Cadencier!$A$5:$A$441,0)),0)</f>
        <v>12</v>
      </c>
    </row>
    <row r="270" customFormat="false" ht="15" hidden="false" customHeight="false" outlineLevel="0" collapsed="false">
      <c r="A270" s="28" t="s">
        <v>1652</v>
      </c>
      <c r="B270" s="28" t="s">
        <v>1108</v>
      </c>
      <c r="C270" s="28" t="str">
        <f aca="false">IFERROR(INDEX(Cadencier!$C$5:$C$441,MATCH(B270,Cadencier!$A$5:$A$441,0)),"code inconnu")</f>
        <v>Graines de courge</v>
      </c>
      <c r="D270" s="29" t="n">
        <f aca="false">IFERROR(INDEX(Cadencier!$J$5:$J$441,MATCH(B270,Cadencier!$A$5:$A$441,0)),0)</f>
        <v>8</v>
      </c>
    </row>
    <row r="271" customFormat="false" ht="15" hidden="false" customHeight="false" outlineLevel="0" collapsed="false">
      <c r="A271" s="28" t="s">
        <v>1111</v>
      </c>
      <c r="B271" s="28" t="s">
        <v>1110</v>
      </c>
      <c r="C271" s="28" t="str">
        <f aca="false">IFERROR(INDEX(Cadencier!$C$5:$C$441,MATCH(B271,Cadencier!$A$5:$A$441,0)),"code inconnu")</f>
        <v>Graines de sésame</v>
      </c>
      <c r="D271" s="29" t="n">
        <f aca="false">IFERROR(INDEX(Cadencier!$J$5:$J$441,MATCH(B271,Cadencier!$A$5:$A$441,0)),0)</f>
        <v>6</v>
      </c>
    </row>
    <row r="272" customFormat="false" ht="15" hidden="false" customHeight="false" outlineLevel="0" collapsed="false">
      <c r="A272" s="28" t="s">
        <v>1113</v>
      </c>
      <c r="B272" s="28" t="s">
        <v>1112</v>
      </c>
      <c r="C272" s="28" t="str">
        <f aca="false">IFERROR(INDEX(Cadencier!$C$5:$C$441,MATCH(B272,Cadencier!$A$5:$A$441,0)),"code inconnu")</f>
        <v>Graisse de canard</v>
      </c>
      <c r="D272" s="29" t="n">
        <f aca="false">IFERROR(INDEX(Cadencier!$J$5:$J$441,MATCH(B272,Cadencier!$A$5:$A$441,0)),0)</f>
        <v>6</v>
      </c>
    </row>
    <row r="273" customFormat="false" ht="15" hidden="false" customHeight="false" outlineLevel="0" collapsed="false">
      <c r="A273" s="28" t="s">
        <v>1284</v>
      </c>
      <c r="B273" s="28" t="s">
        <v>1283</v>
      </c>
      <c r="C273" s="28" t="str">
        <f aca="false">IFERROR(INDEX(Cadencier!$C$5:$C$441,MATCH(B273,Cadencier!$A$5:$A$441,0)),"code inconnu")</f>
        <v>Gros sel</v>
      </c>
      <c r="D273" s="29" t="n">
        <f aca="false">IFERROR(INDEX(Cadencier!$J$5:$J$441,MATCH(B273,Cadencier!$A$5:$A$441,0)),0)</f>
        <v>0.8</v>
      </c>
    </row>
    <row r="274" customFormat="false" ht="15" hidden="false" customHeight="false" outlineLevel="0" collapsed="false">
      <c r="A274" s="28" t="s">
        <v>1653</v>
      </c>
      <c r="B274" s="28" t="s">
        <v>705</v>
      </c>
      <c r="C274" s="28" t="str">
        <f aca="false">IFERROR(INDEX(Cadencier!$C$5:$C$441,MATCH(B274,Cadencier!$A$5:$A$441,0)),"code inconnu")</f>
        <v>Emmental râpé</v>
      </c>
      <c r="D274" s="29" t="n">
        <f aca="false">IFERROR(INDEX(Cadencier!$J$5:$J$441,MATCH(B274,Cadencier!$A$5:$A$441,0)),0)</f>
        <v>7.5</v>
      </c>
    </row>
    <row r="275" customFormat="false" ht="15" hidden="false" customHeight="false" outlineLevel="0" collapsed="false">
      <c r="A275" s="28" t="s">
        <v>1654</v>
      </c>
      <c r="B275" s="28" t="s">
        <v>1105</v>
      </c>
      <c r="C275" s="28" t="str">
        <f aca="false">IFERROR(INDEX(Cadencier!$C$5:$C$441,MATCH(B275,Cadencier!$A$5:$A$441,0)),"code inconnu")</f>
        <v>Gélatine en feuilles</v>
      </c>
      <c r="D275" s="29" t="n">
        <f aca="false">IFERROR(INDEX(Cadencier!$J$5:$J$441,MATCH(B275,Cadencier!$A$5:$A$441,0)),0)</f>
        <v>28</v>
      </c>
    </row>
    <row r="276" customFormat="false" ht="15" hidden="false" customHeight="false" outlineLevel="0" collapsed="false">
      <c r="A276" s="28" t="s">
        <v>1655</v>
      </c>
      <c r="B276" s="28" t="s">
        <v>1412</v>
      </c>
      <c r="C276" s="28" t="str">
        <f aca="false">IFERROR(INDEX(Cadencier!$C$5:$C$441,MATCH(B276,Cadencier!$A$5:$A$441,0)),"code inconnu")</f>
        <v>Génoise chocolat prête à l'emploi (plaque)</v>
      </c>
      <c r="D276" s="29" t="n">
        <f aca="false">IFERROR(INDEX(Cadencier!$J$5:$J$441,MATCH(B276,Cadencier!$A$5:$A$441,0)),0)</f>
        <v>6.5</v>
      </c>
    </row>
    <row r="277" customFormat="false" ht="15" hidden="false" customHeight="false" outlineLevel="0" collapsed="false">
      <c r="A277" s="28" t="s">
        <v>1656</v>
      </c>
      <c r="B277" s="28" t="s">
        <v>1415</v>
      </c>
      <c r="C277" s="28" t="str">
        <f aca="false">IFERROR(INDEX(Cadencier!$C$5:$C$441,MATCH(B277,Cadencier!$A$5:$A$441,0)),"code inconnu")</f>
        <v>Génoise nature prête à l'emploi (plaque 40x60)</v>
      </c>
      <c r="D277" s="29" t="n">
        <f aca="false">IFERROR(INDEX(Cadencier!$J$5:$J$441,MATCH(B277,Cadencier!$A$5:$A$441,0)),0)</f>
        <v>6</v>
      </c>
    </row>
    <row r="278" customFormat="false" ht="15" hidden="false" customHeight="false" outlineLevel="0" collapsed="false">
      <c r="A278" s="28" t="s">
        <v>533</v>
      </c>
      <c r="B278" s="28" t="s">
        <v>532</v>
      </c>
      <c r="C278" s="28" t="str">
        <f aca="false">IFERROR(INDEX(Cadencier!$C$5:$C$441,MATCH(B278,Cadencier!$A$5:$A$441,0)),"code inconnu")</f>
        <v>Gésiers de canard crus</v>
      </c>
      <c r="D278" s="29" t="n">
        <f aca="false">IFERROR(INDEX(Cadencier!$J$5:$J$441,MATCH(B278,Cadencier!$A$5:$A$441,0)),0)</f>
        <v>7</v>
      </c>
    </row>
    <row r="279" customFormat="false" ht="15" hidden="false" customHeight="false" outlineLevel="0" collapsed="false">
      <c r="A279" s="28" t="s">
        <v>971</v>
      </c>
      <c r="B279" s="28" t="s">
        <v>970</v>
      </c>
      <c r="C279" s="28" t="str">
        <f aca="false">IFERROR(INDEX(Cadencier!$C$5:$C$441,MATCH(B279,Cadencier!$A$5:$A$441,0)),"code inconnu")</f>
        <v>Haricots beurre surgelés</v>
      </c>
      <c r="D279" s="29" t="n">
        <f aca="false">IFERROR(INDEX(Cadencier!$J$5:$J$441,MATCH(B279,Cadencier!$A$5:$A$441,0)),0)</f>
        <v>2.6</v>
      </c>
    </row>
    <row r="280" customFormat="false" ht="15" hidden="false" customHeight="false" outlineLevel="0" collapsed="false">
      <c r="A280" s="28" t="s">
        <v>332</v>
      </c>
      <c r="B280" s="28" t="s">
        <v>1115</v>
      </c>
      <c r="C280" s="28" t="str">
        <f aca="false">IFERROR(INDEX(Cadencier!$C$5:$C$441,MATCH(B280,Cadencier!$A$5:$A$441,0)),"code inconnu")</f>
        <v>Haricots blancs secs (lingots)</v>
      </c>
      <c r="D280" s="29" t="n">
        <f aca="false">IFERROR(INDEX(Cadencier!$J$5:$J$441,MATCH(B280,Cadencier!$A$5:$A$441,0)),0)</f>
        <v>6</v>
      </c>
    </row>
    <row r="281" customFormat="false" ht="15" hidden="false" customHeight="false" outlineLevel="0" collapsed="false">
      <c r="A281" s="28" t="s">
        <v>1657</v>
      </c>
      <c r="B281" s="28" t="s">
        <v>1115</v>
      </c>
      <c r="C281" s="28" t="str">
        <f aca="false">IFERROR(INDEX(Cadencier!$C$5:$C$441,MATCH(B281,Cadencier!$A$5:$A$441,0)),"code inconnu")</f>
        <v>Haricots blancs secs (lingots)</v>
      </c>
      <c r="D281" s="29" t="n">
        <f aca="false">IFERROR(INDEX(Cadencier!$J$5:$J$441,MATCH(B281,Cadencier!$A$5:$A$441,0)),0)</f>
        <v>6</v>
      </c>
    </row>
    <row r="282" customFormat="false" ht="15" hidden="false" customHeight="false" outlineLevel="0" collapsed="false">
      <c r="A282" s="28" t="s">
        <v>1658</v>
      </c>
      <c r="B282" s="28" t="s">
        <v>1115</v>
      </c>
      <c r="C282" s="28" t="str">
        <f aca="false">IFERROR(INDEX(Cadencier!$C$5:$C$441,MATCH(B282,Cadencier!$A$5:$A$441,0)),"code inconnu")</f>
        <v>Haricots blancs secs (lingots)</v>
      </c>
      <c r="D282" s="29" t="n">
        <f aca="false">IFERROR(INDEX(Cadencier!$J$5:$J$441,MATCH(B282,Cadencier!$A$5:$A$441,0)),0)</f>
        <v>6</v>
      </c>
    </row>
    <row r="283" customFormat="false" ht="15" hidden="false" customHeight="false" outlineLevel="0" collapsed="false">
      <c r="A283" s="28" t="s">
        <v>973</v>
      </c>
      <c r="B283" s="28" t="s">
        <v>972</v>
      </c>
      <c r="C283" s="28" t="str">
        <f aca="false">IFERROR(INDEX(Cadencier!$C$5:$C$441,MATCH(B283,Cadencier!$A$5:$A$441,0)),"code inconnu")</f>
        <v>Haricots plats coupés surgelés</v>
      </c>
      <c r="D283" s="29" t="n">
        <f aca="false">IFERROR(INDEX(Cadencier!$J$5:$J$441,MATCH(B283,Cadencier!$A$5:$A$441,0)),0)</f>
        <v>2.6</v>
      </c>
    </row>
    <row r="284" customFormat="false" ht="15" hidden="false" customHeight="false" outlineLevel="0" collapsed="false">
      <c r="A284" s="28" t="s">
        <v>399</v>
      </c>
      <c r="B284" s="28" t="s">
        <v>1117</v>
      </c>
      <c r="C284" s="28" t="str">
        <f aca="false">IFERROR(INDEX(Cadencier!$C$5:$C$441,MATCH(B284,Cadencier!$A$5:$A$441,0)),"code inconnu")</f>
        <v>Haricots rouges secs</v>
      </c>
      <c r="D284" s="29" t="n">
        <f aca="false">IFERROR(INDEX(Cadencier!$J$5:$J$441,MATCH(B284,Cadencier!$A$5:$A$441,0)),0)</f>
        <v>4</v>
      </c>
    </row>
    <row r="285" customFormat="false" ht="15" hidden="false" customHeight="false" outlineLevel="0" collapsed="false">
      <c r="A285" s="28" t="s">
        <v>1659</v>
      </c>
      <c r="B285" s="28" t="s">
        <v>1209</v>
      </c>
      <c r="C285" s="28" t="str">
        <f aca="false">IFERROR(INDEX(Cadencier!$C$5:$C$441,MATCH(B285,Cadencier!$A$5:$A$441,0)),"code inconnu")</f>
        <v>Haricots rouges cuits (boîte 5/1)</v>
      </c>
      <c r="D285" s="29" t="n">
        <f aca="false">IFERROR(INDEX(Cadencier!$J$5:$J$441,MATCH(B285,Cadencier!$A$5:$A$441,0)),0)</f>
        <v>2</v>
      </c>
    </row>
    <row r="286" customFormat="false" ht="15" hidden="false" customHeight="false" outlineLevel="0" collapsed="false">
      <c r="A286" s="28" t="s">
        <v>1660</v>
      </c>
      <c r="B286" s="28" t="s">
        <v>1117</v>
      </c>
      <c r="C286" s="28" t="str">
        <f aca="false">IFERROR(INDEX(Cadencier!$C$5:$C$441,MATCH(B286,Cadencier!$A$5:$A$441,0)),"code inconnu")</f>
        <v>Haricots rouges secs</v>
      </c>
      <c r="D286" s="29" t="n">
        <f aca="false">IFERROR(INDEX(Cadencier!$J$5:$J$441,MATCH(B286,Cadencier!$A$5:$A$441,0)),0)</f>
        <v>4</v>
      </c>
    </row>
    <row r="287" customFormat="false" ht="15" hidden="false" customHeight="false" outlineLevel="0" collapsed="false">
      <c r="A287" s="28" t="s">
        <v>1118</v>
      </c>
      <c r="B287" s="28" t="s">
        <v>1117</v>
      </c>
      <c r="C287" s="28" t="str">
        <f aca="false">IFERROR(INDEX(Cadencier!$C$5:$C$441,MATCH(B287,Cadencier!$A$5:$A$441,0)),"code inconnu")</f>
        <v>Haricots rouges secs</v>
      </c>
      <c r="D287" s="29" t="n">
        <f aca="false">IFERROR(INDEX(Cadencier!$J$5:$J$441,MATCH(B287,Cadencier!$A$5:$A$441,0)),0)</f>
        <v>4</v>
      </c>
    </row>
    <row r="288" customFormat="false" ht="15" hidden="false" customHeight="false" outlineLevel="0" collapsed="false">
      <c r="A288" s="28" t="s">
        <v>975</v>
      </c>
      <c r="B288" s="28" t="s">
        <v>974</v>
      </c>
      <c r="C288" s="28" t="str">
        <f aca="false">IFERROR(INDEX(Cadencier!$C$5:$C$441,MATCH(B288,Cadencier!$A$5:$A$441,0)),"code inconnu")</f>
        <v>Haricots verts extra-fins surgelés</v>
      </c>
      <c r="D288" s="29" t="n">
        <f aca="false">IFERROR(INDEX(Cadencier!$J$5:$J$441,MATCH(B288,Cadencier!$A$5:$A$441,0)),0)</f>
        <v>2.8</v>
      </c>
    </row>
    <row r="289" customFormat="false" ht="15" hidden="false" customHeight="false" outlineLevel="0" collapsed="false">
      <c r="A289" s="28" t="s">
        <v>977</v>
      </c>
      <c r="B289" s="28" t="s">
        <v>976</v>
      </c>
      <c r="C289" s="28" t="str">
        <f aca="false">IFERROR(INDEX(Cadencier!$C$5:$C$441,MATCH(B289,Cadencier!$A$5:$A$441,0)),"code inconnu")</f>
        <v>Haricots verts surgelés</v>
      </c>
      <c r="D289" s="29" t="n">
        <f aca="false">IFERROR(INDEX(Cadencier!$J$5:$J$441,MATCH(B289,Cadencier!$A$5:$A$441,0)),0)</f>
        <v>2.2</v>
      </c>
    </row>
    <row r="290" customFormat="false" ht="15" hidden="false" customHeight="false" outlineLevel="0" collapsed="false">
      <c r="A290" s="28" t="s">
        <v>1286</v>
      </c>
      <c r="B290" s="28" t="s">
        <v>1285</v>
      </c>
      <c r="C290" s="28" t="str">
        <f aca="false">IFERROR(INDEX(Cadencier!$C$5:$C$441,MATCH(B290,Cadencier!$A$5:$A$441,0)),"code inconnu")</f>
        <v>Harissa</v>
      </c>
      <c r="D290" s="29" t="n">
        <f aca="false">IFERROR(INDEX(Cadencier!$J$5:$J$441,MATCH(B290,Cadencier!$A$5:$A$441,0)),0)</f>
        <v>6</v>
      </c>
    </row>
    <row r="291" customFormat="false" ht="15" hidden="false" customHeight="false" outlineLevel="0" collapsed="false">
      <c r="A291" s="28" t="s">
        <v>1661</v>
      </c>
      <c r="B291" s="28" t="s">
        <v>535</v>
      </c>
      <c r="C291" s="28" t="str">
        <f aca="false">IFERROR(INDEX(Cadencier!$C$5:$C$441,MATCH(B291,Cadencier!$A$5:$A$441,0)),"code inconnu")</f>
        <v>Hauts de cuisse de poulet avec os</v>
      </c>
      <c r="D291" s="29" t="n">
        <f aca="false">IFERROR(INDEX(Cadencier!$J$5:$J$441,MATCH(B291,Cadencier!$A$5:$A$441,0)),0)</f>
        <v>5</v>
      </c>
    </row>
    <row r="292" customFormat="false" ht="15" hidden="false" customHeight="false" outlineLevel="0" collapsed="false">
      <c r="A292" s="28" t="s">
        <v>1662</v>
      </c>
      <c r="B292" s="28" t="s">
        <v>535</v>
      </c>
      <c r="C292" s="28" t="str">
        <f aca="false">IFERROR(INDEX(Cadencier!$C$5:$C$441,MATCH(B292,Cadencier!$A$5:$A$441,0)),"code inconnu")</f>
        <v>Hauts de cuisse de poulet avec os</v>
      </c>
      <c r="D292" s="29" t="n">
        <f aca="false">IFERROR(INDEX(Cadencier!$J$5:$J$441,MATCH(B292,Cadencier!$A$5:$A$441,0)),0)</f>
        <v>5</v>
      </c>
    </row>
    <row r="293" customFormat="false" ht="15" hidden="false" customHeight="false" outlineLevel="0" collapsed="false">
      <c r="A293" s="28" t="s">
        <v>1663</v>
      </c>
      <c r="B293" s="28" t="s">
        <v>537</v>
      </c>
      <c r="C293" s="28" t="str">
        <f aca="false">IFERROR(INDEX(Cadencier!$C$5:$C$441,MATCH(B293,Cadencier!$A$5:$A$441,0)),"code inconnu")</f>
        <v>Hauts de cuisse de poulet désossés (sauté de volaille) 40/60 g</v>
      </c>
      <c r="D293" s="29" t="n">
        <f aca="false">IFERROR(INDEX(Cadencier!$J$5:$J$441,MATCH(B293,Cadencier!$A$5:$A$441,0)),0)</f>
        <v>7.5</v>
      </c>
    </row>
    <row r="294" customFormat="false" ht="15" hidden="false" customHeight="false" outlineLevel="0" collapsed="false">
      <c r="A294" s="28" t="s">
        <v>1664</v>
      </c>
      <c r="B294" s="28" t="s">
        <v>1288</v>
      </c>
      <c r="C294" s="28" t="str">
        <f aca="false">IFERROR(INDEX(Cadencier!$C$5:$C$441,MATCH(B294,Cadencier!$A$5:$A$441,0)),"code inconnu")</f>
        <v>Herbes de Provence</v>
      </c>
      <c r="D294" s="29" t="n">
        <f aca="false">IFERROR(INDEX(Cadencier!$J$5:$J$441,MATCH(B294,Cadencier!$A$5:$A$441,0)),0)</f>
        <v>11</v>
      </c>
    </row>
    <row r="295" customFormat="false" ht="15" hidden="false" customHeight="false" outlineLevel="0" collapsed="false">
      <c r="A295" s="28" t="s">
        <v>1665</v>
      </c>
      <c r="B295" s="28" t="s">
        <v>1288</v>
      </c>
      <c r="C295" s="28" t="str">
        <f aca="false">IFERROR(INDEX(Cadencier!$C$5:$C$441,MATCH(B295,Cadencier!$A$5:$A$441,0)),"code inconnu")</f>
        <v>Herbes de Provence</v>
      </c>
      <c r="D295" s="29" t="n">
        <f aca="false">IFERROR(INDEX(Cadencier!$J$5:$J$441,MATCH(B295,Cadencier!$A$5:$A$441,0)),0)</f>
        <v>11</v>
      </c>
    </row>
    <row r="296" customFormat="false" ht="15" hidden="false" customHeight="false" outlineLevel="0" collapsed="false">
      <c r="A296" s="28" t="s">
        <v>1666</v>
      </c>
      <c r="B296" s="28" t="s">
        <v>1288</v>
      </c>
      <c r="C296" s="28" t="str">
        <f aca="false">IFERROR(INDEX(Cadencier!$C$5:$C$441,MATCH(B296,Cadencier!$A$5:$A$441,0)),"code inconnu")</f>
        <v>Herbes de Provence</v>
      </c>
      <c r="D296" s="29" t="n">
        <f aca="false">IFERROR(INDEX(Cadencier!$J$5:$J$441,MATCH(B296,Cadencier!$A$5:$A$441,0)),0)</f>
        <v>11</v>
      </c>
    </row>
    <row r="297" customFormat="false" ht="15" hidden="false" customHeight="false" outlineLevel="0" collapsed="false">
      <c r="A297" s="28" t="s">
        <v>1667</v>
      </c>
      <c r="B297" s="28" t="s">
        <v>1288</v>
      </c>
      <c r="C297" s="28" t="str">
        <f aca="false">IFERROR(INDEX(Cadencier!$C$5:$C$441,MATCH(B297,Cadencier!$A$5:$A$441,0)),"code inconnu")</f>
        <v>Herbes de Provence</v>
      </c>
      <c r="D297" s="29" t="n">
        <f aca="false">IFERROR(INDEX(Cadencier!$J$5:$J$441,MATCH(B297,Cadencier!$A$5:$A$441,0)),0)</f>
        <v>11</v>
      </c>
    </row>
    <row r="298" customFormat="false" ht="15" hidden="false" customHeight="false" outlineLevel="0" collapsed="false">
      <c r="A298" s="28" t="s">
        <v>1668</v>
      </c>
      <c r="B298" s="28" t="s">
        <v>1288</v>
      </c>
      <c r="C298" s="28" t="str">
        <f aca="false">IFERROR(INDEX(Cadencier!$C$5:$C$441,MATCH(B298,Cadencier!$A$5:$A$441,0)),"code inconnu")</f>
        <v>Herbes de Provence</v>
      </c>
      <c r="D298" s="29" t="n">
        <f aca="false">IFERROR(INDEX(Cadencier!$J$5:$J$441,MATCH(B298,Cadencier!$A$5:$A$441,0)),0)</f>
        <v>11</v>
      </c>
    </row>
    <row r="299" customFormat="false" ht="15" hidden="false" customHeight="false" outlineLevel="0" collapsed="false">
      <c r="A299" s="28" t="s">
        <v>1669</v>
      </c>
      <c r="B299" s="28" t="s">
        <v>1288</v>
      </c>
      <c r="C299" s="28" t="str">
        <f aca="false">IFERROR(INDEX(Cadencier!$C$5:$C$441,MATCH(B299,Cadencier!$A$5:$A$441,0)),"code inconnu")</f>
        <v>Herbes de Provence</v>
      </c>
      <c r="D299" s="29" t="n">
        <f aca="false">IFERROR(INDEX(Cadencier!$J$5:$J$441,MATCH(B299,Cadencier!$A$5:$A$441,0)),0)</f>
        <v>11</v>
      </c>
    </row>
    <row r="300" customFormat="false" ht="15" hidden="false" customHeight="false" outlineLevel="0" collapsed="false">
      <c r="A300" s="28" t="s">
        <v>1670</v>
      </c>
      <c r="B300" s="28" t="s">
        <v>1288</v>
      </c>
      <c r="C300" s="28" t="str">
        <f aca="false">IFERROR(INDEX(Cadencier!$C$5:$C$441,MATCH(B300,Cadencier!$A$5:$A$441,0)),"code inconnu")</f>
        <v>Herbes de Provence</v>
      </c>
      <c r="D300" s="29" t="n">
        <f aca="false">IFERROR(INDEX(Cadencier!$J$5:$J$441,MATCH(B300,Cadencier!$A$5:$A$441,0)),0)</f>
        <v>11</v>
      </c>
    </row>
    <row r="301" customFormat="false" ht="15" hidden="false" customHeight="false" outlineLevel="0" collapsed="false">
      <c r="A301" s="28" t="s">
        <v>1671</v>
      </c>
      <c r="B301" s="28" t="s">
        <v>1288</v>
      </c>
      <c r="C301" s="28" t="str">
        <f aca="false">IFERROR(INDEX(Cadencier!$C$5:$C$441,MATCH(B301,Cadencier!$A$5:$A$441,0)),"code inconnu")</f>
        <v>Herbes de Provence</v>
      </c>
      <c r="D301" s="29" t="n">
        <f aca="false">IFERROR(INDEX(Cadencier!$J$5:$J$441,MATCH(B301,Cadencier!$A$5:$A$441,0)),0)</f>
        <v>11</v>
      </c>
    </row>
    <row r="302" customFormat="false" ht="15" hidden="false" customHeight="false" outlineLevel="0" collapsed="false">
      <c r="A302" s="28" t="s">
        <v>1672</v>
      </c>
      <c r="B302" s="28" t="s">
        <v>1288</v>
      </c>
      <c r="C302" s="28" t="str">
        <f aca="false">IFERROR(INDEX(Cadencier!$C$5:$C$441,MATCH(B302,Cadencier!$A$5:$A$441,0)),"code inconnu")</f>
        <v>Herbes de Provence</v>
      </c>
      <c r="D302" s="29" t="n">
        <f aca="false">IFERROR(INDEX(Cadencier!$J$5:$J$441,MATCH(B302,Cadencier!$A$5:$A$441,0)),0)</f>
        <v>11</v>
      </c>
    </row>
    <row r="303" customFormat="false" ht="15" hidden="false" customHeight="false" outlineLevel="0" collapsed="false">
      <c r="A303" s="28" t="s">
        <v>1673</v>
      </c>
      <c r="B303" s="28" t="s">
        <v>1130</v>
      </c>
      <c r="C303" s="28" t="str">
        <f aca="false">IFERROR(INDEX(Cadencier!$C$5:$C$441,MATCH(B303,Cadencier!$A$5:$A$441,0)),"code inconnu")</f>
        <v>Huile de tournesol</v>
      </c>
      <c r="D303" s="29" t="n">
        <f aca="false">IFERROR(INDEX(Cadencier!$J$5:$J$441,MATCH(B303,Cadencier!$A$5:$A$441,0)),0)</f>
        <v>2.2</v>
      </c>
    </row>
    <row r="304" customFormat="false" ht="15" hidden="false" customHeight="false" outlineLevel="0" collapsed="false">
      <c r="A304" s="28" t="s">
        <v>1674</v>
      </c>
      <c r="B304" s="28" t="s">
        <v>1130</v>
      </c>
      <c r="C304" s="28" t="str">
        <f aca="false">IFERROR(INDEX(Cadencier!$C$5:$C$441,MATCH(B304,Cadencier!$A$5:$A$441,0)),"code inconnu")</f>
        <v>Huile de tournesol</v>
      </c>
      <c r="D304" s="29" t="n">
        <f aca="false">IFERROR(INDEX(Cadencier!$J$5:$J$441,MATCH(B304,Cadencier!$A$5:$A$441,0)),0)</f>
        <v>2.2</v>
      </c>
    </row>
    <row r="305" customFormat="false" ht="15" hidden="false" customHeight="false" outlineLevel="0" collapsed="false">
      <c r="A305" s="28" t="s">
        <v>1675</v>
      </c>
      <c r="B305" s="28" t="s">
        <v>1130</v>
      </c>
      <c r="C305" s="28" t="str">
        <f aca="false">IFERROR(INDEX(Cadencier!$C$5:$C$441,MATCH(B305,Cadencier!$A$5:$A$441,0)),"code inconnu")</f>
        <v>Huile de tournesol</v>
      </c>
      <c r="D305" s="29" t="n">
        <f aca="false">IFERROR(INDEX(Cadencier!$J$5:$J$441,MATCH(B305,Cadencier!$A$5:$A$441,0)),0)</f>
        <v>2.2</v>
      </c>
    </row>
    <row r="306" customFormat="false" ht="15" hidden="false" customHeight="false" outlineLevel="0" collapsed="false">
      <c r="A306" s="28" t="s">
        <v>1120</v>
      </c>
      <c r="B306" s="28" t="s">
        <v>1119</v>
      </c>
      <c r="C306" s="28" t="str">
        <f aca="false">IFERROR(INDEX(Cadencier!$C$5:$C$441,MATCH(B306,Cadencier!$A$5:$A$441,0)),"code inconnu")</f>
        <v>Huile d'olive</v>
      </c>
      <c r="D306" s="29" t="n">
        <f aca="false">IFERROR(INDEX(Cadencier!$J$5:$J$441,MATCH(B306,Cadencier!$A$5:$A$441,0)),0)</f>
        <v>7.5</v>
      </c>
    </row>
    <row r="307" customFormat="false" ht="15" hidden="false" customHeight="false" outlineLevel="0" collapsed="false">
      <c r="A307" s="28" t="s">
        <v>1123</v>
      </c>
      <c r="B307" s="28" t="s">
        <v>1122</v>
      </c>
      <c r="C307" s="28" t="str">
        <f aca="false">IFERROR(INDEX(Cadencier!$C$5:$C$441,MATCH(B307,Cadencier!$A$5:$A$441,0)),"code inconnu")</f>
        <v>Huile de colza</v>
      </c>
      <c r="D307" s="29" t="n">
        <f aca="false">IFERROR(INDEX(Cadencier!$J$5:$J$441,MATCH(B307,Cadencier!$A$5:$A$441,0)),0)</f>
        <v>2.3</v>
      </c>
    </row>
    <row r="308" customFormat="false" ht="15" hidden="false" customHeight="false" outlineLevel="0" collapsed="false">
      <c r="A308" s="28" t="s">
        <v>1125</v>
      </c>
      <c r="B308" s="28" t="s">
        <v>1124</v>
      </c>
      <c r="C308" s="28" t="str">
        <f aca="false">IFERROR(INDEX(Cadencier!$C$5:$C$441,MATCH(B308,Cadencier!$A$5:$A$441,0)),"code inconnu")</f>
        <v>Huile de noix</v>
      </c>
      <c r="D308" s="29" t="n">
        <f aca="false">IFERROR(INDEX(Cadencier!$J$5:$J$441,MATCH(B308,Cadencier!$A$5:$A$441,0)),0)</f>
        <v>12</v>
      </c>
    </row>
    <row r="309" customFormat="false" ht="15" hidden="false" customHeight="false" outlineLevel="0" collapsed="false">
      <c r="A309" s="28" t="s">
        <v>1128</v>
      </c>
      <c r="B309" s="28" t="s">
        <v>1127</v>
      </c>
      <c r="C309" s="28" t="str">
        <f aca="false">IFERROR(INDEX(Cadencier!$C$5:$C$441,MATCH(B309,Cadencier!$A$5:$A$441,0)),"code inconnu")</f>
        <v>Huile de sésame</v>
      </c>
      <c r="D309" s="29" t="n">
        <f aca="false">IFERROR(INDEX(Cadencier!$J$5:$J$441,MATCH(B309,Cadencier!$A$5:$A$441,0)),0)</f>
        <v>11</v>
      </c>
    </row>
    <row r="310" customFormat="false" ht="15" hidden="false" customHeight="false" outlineLevel="0" collapsed="false">
      <c r="A310" s="28" t="s">
        <v>1131</v>
      </c>
      <c r="B310" s="28" t="s">
        <v>1130</v>
      </c>
      <c r="C310" s="28" t="str">
        <f aca="false">IFERROR(INDEX(Cadencier!$C$5:$C$441,MATCH(B310,Cadencier!$A$5:$A$441,0)),"code inconnu")</f>
        <v>Huile de tournesol</v>
      </c>
      <c r="D310" s="29" t="n">
        <f aca="false">IFERROR(INDEX(Cadencier!$J$5:$J$441,MATCH(B310,Cadencier!$A$5:$A$441,0)),0)</f>
        <v>2.2</v>
      </c>
    </row>
    <row r="311" customFormat="false" ht="15" hidden="false" customHeight="false" outlineLevel="0" collapsed="false">
      <c r="A311" s="28" t="s">
        <v>1676</v>
      </c>
      <c r="B311" s="28" t="s">
        <v>575</v>
      </c>
      <c r="C311" s="28" t="str">
        <f aca="false">IFERROR(INDEX(Cadencier!$C$5:$C$441,MATCH(B311,Cadencier!$A$5:$A$441,0)),"code inconnu")</f>
        <v>Jambon blanc en dés</v>
      </c>
      <c r="D311" s="29" t="n">
        <f aca="false">IFERROR(INDEX(Cadencier!$J$5:$J$441,MATCH(B311,Cadencier!$A$5:$A$441,0)),0)</f>
        <v>8.5</v>
      </c>
    </row>
    <row r="312" customFormat="false" ht="15" hidden="false" customHeight="false" outlineLevel="0" collapsed="false">
      <c r="A312" s="28" t="s">
        <v>576</v>
      </c>
      <c r="B312" s="28" t="s">
        <v>575</v>
      </c>
      <c r="C312" s="28" t="str">
        <f aca="false">IFERROR(INDEX(Cadencier!$C$5:$C$441,MATCH(B312,Cadencier!$A$5:$A$441,0)),"code inconnu")</f>
        <v>Jambon blanc en dés</v>
      </c>
      <c r="D312" s="29" t="n">
        <f aca="false">IFERROR(INDEX(Cadencier!$J$5:$J$441,MATCH(B312,Cadencier!$A$5:$A$441,0)),0)</f>
        <v>8.5</v>
      </c>
    </row>
    <row r="313" customFormat="false" ht="15" hidden="false" customHeight="false" outlineLevel="0" collapsed="false">
      <c r="A313" s="28" t="s">
        <v>1677</v>
      </c>
      <c r="B313" s="28" t="s">
        <v>577</v>
      </c>
      <c r="C313" s="28" t="str">
        <f aca="false">IFERROR(INDEX(Cadencier!$C$5:$C$441,MATCH(B313,Cadencier!$A$5:$A$441,0)),"code inconnu")</f>
        <v>Jambon blanc supérieur tranché DD</v>
      </c>
      <c r="D313" s="29" t="n">
        <f aca="false">IFERROR(INDEX(Cadencier!$J$5:$J$441,MATCH(B313,Cadencier!$A$5:$A$441,0)),0)</f>
        <v>9.5</v>
      </c>
    </row>
    <row r="314" customFormat="false" ht="15" hidden="false" customHeight="false" outlineLevel="0" collapsed="false">
      <c r="A314" s="28" t="s">
        <v>1678</v>
      </c>
      <c r="B314" s="28" t="s">
        <v>577</v>
      </c>
      <c r="C314" s="28" t="str">
        <f aca="false">IFERROR(INDEX(Cadencier!$C$5:$C$441,MATCH(B314,Cadencier!$A$5:$A$441,0)),"code inconnu")</f>
        <v>Jambon blanc supérieur tranché DD</v>
      </c>
      <c r="D314" s="29" t="n">
        <f aca="false">IFERROR(INDEX(Cadencier!$J$5:$J$441,MATCH(B314,Cadencier!$A$5:$A$441,0)),0)</f>
        <v>9.5</v>
      </c>
    </row>
    <row r="315" customFormat="false" ht="15" hidden="false" customHeight="false" outlineLevel="0" collapsed="false">
      <c r="A315" s="28" t="s">
        <v>1679</v>
      </c>
      <c r="B315" s="28" t="s">
        <v>577</v>
      </c>
      <c r="C315" s="28" t="str">
        <f aca="false">IFERROR(INDEX(Cadencier!$C$5:$C$441,MATCH(B315,Cadencier!$A$5:$A$441,0)),"code inconnu")</f>
        <v>Jambon blanc supérieur tranché DD</v>
      </c>
      <c r="D315" s="29" t="n">
        <f aca="false">IFERROR(INDEX(Cadencier!$J$5:$J$441,MATCH(B315,Cadencier!$A$5:$A$441,0)),0)</f>
        <v>9.5</v>
      </c>
    </row>
    <row r="316" customFormat="false" ht="15" hidden="false" customHeight="false" outlineLevel="0" collapsed="false">
      <c r="A316" s="28" t="s">
        <v>1680</v>
      </c>
      <c r="B316" s="28" t="s">
        <v>577</v>
      </c>
      <c r="C316" s="28" t="str">
        <f aca="false">IFERROR(INDEX(Cadencier!$C$5:$C$441,MATCH(B316,Cadencier!$A$5:$A$441,0)),"code inconnu")</f>
        <v>Jambon blanc supérieur tranché DD</v>
      </c>
      <c r="D316" s="29" t="n">
        <f aca="false">IFERROR(INDEX(Cadencier!$J$5:$J$441,MATCH(B316,Cadencier!$A$5:$A$441,0)),0)</f>
        <v>9.5</v>
      </c>
    </row>
    <row r="317" customFormat="false" ht="15" hidden="false" customHeight="false" outlineLevel="0" collapsed="false">
      <c r="A317" s="28" t="s">
        <v>1681</v>
      </c>
      <c r="B317" s="28" t="s">
        <v>580</v>
      </c>
      <c r="C317" s="28" t="str">
        <f aca="false">IFERROR(INDEX(Cadencier!$C$5:$C$441,MATCH(B317,Cadencier!$A$5:$A$441,0)),"code inconnu")</f>
        <v>Jambon cru / sec tranché</v>
      </c>
      <c r="D317" s="29" t="n">
        <f aca="false">IFERROR(INDEX(Cadencier!$J$5:$J$441,MATCH(B317,Cadencier!$A$5:$A$441,0)),0)</f>
        <v>22</v>
      </c>
    </row>
    <row r="318" customFormat="false" ht="15" hidden="false" customHeight="false" outlineLevel="0" collapsed="false">
      <c r="A318" s="28" t="s">
        <v>1682</v>
      </c>
      <c r="B318" s="28" t="s">
        <v>580</v>
      </c>
      <c r="C318" s="28" t="str">
        <f aca="false">IFERROR(INDEX(Cadencier!$C$5:$C$441,MATCH(B318,Cadencier!$A$5:$A$441,0)),"code inconnu")</f>
        <v>Jambon cru / sec tranché</v>
      </c>
      <c r="D318" s="29" t="n">
        <f aca="false">IFERROR(INDEX(Cadencier!$J$5:$J$441,MATCH(B318,Cadencier!$A$5:$A$441,0)),0)</f>
        <v>22</v>
      </c>
    </row>
    <row r="319" customFormat="false" ht="15" hidden="false" customHeight="false" outlineLevel="0" collapsed="false">
      <c r="A319" s="28" t="s">
        <v>1683</v>
      </c>
      <c r="B319" s="28" t="s">
        <v>583</v>
      </c>
      <c r="C319" s="28" t="str">
        <f aca="false">IFERROR(INDEX(Cadencier!$C$5:$C$441,MATCH(B319,Cadencier!$A$5:$A$441,0)),"code inconnu")</f>
        <v>Jambon cuit supérieur entier à braiser</v>
      </c>
      <c r="D319" s="29" t="n">
        <f aca="false">IFERROR(INDEX(Cadencier!$J$5:$J$441,MATCH(B319,Cadencier!$A$5:$A$441,0)),0)</f>
        <v>8</v>
      </c>
    </row>
    <row r="320" customFormat="false" ht="15" hidden="false" customHeight="false" outlineLevel="0" collapsed="false">
      <c r="A320" s="28" t="s">
        <v>1684</v>
      </c>
      <c r="B320" s="28" t="s">
        <v>580</v>
      </c>
      <c r="C320" s="28" t="str">
        <f aca="false">IFERROR(INDEX(Cadencier!$C$5:$C$441,MATCH(B320,Cadencier!$A$5:$A$441,0)),"code inconnu")</f>
        <v>Jambon cru / sec tranché</v>
      </c>
      <c r="D320" s="29" t="n">
        <f aca="false">IFERROR(INDEX(Cadencier!$J$5:$J$441,MATCH(B320,Cadencier!$A$5:$A$441,0)),0)</f>
        <v>22</v>
      </c>
    </row>
    <row r="321" customFormat="false" ht="15" hidden="false" customHeight="false" outlineLevel="0" collapsed="false">
      <c r="A321" s="28" t="s">
        <v>1685</v>
      </c>
      <c r="B321" s="28" t="s">
        <v>539</v>
      </c>
      <c r="C321" s="28" t="str">
        <f aca="false">IFERROR(INDEX(Cadencier!$C$5:$C$441,MATCH(B321,Cadencier!$A$5:$A$441,0)),"code inconnu")</f>
        <v>Jambonnettes de volaille farcies 150/180 g</v>
      </c>
      <c r="D321" s="29" t="n">
        <f aca="false">IFERROR(INDEX(Cadencier!$J$5:$J$441,MATCH(B321,Cadencier!$A$5:$A$441,0)),0)</f>
        <v>8.5</v>
      </c>
    </row>
    <row r="322" customFormat="false" ht="15" hidden="false" customHeight="false" outlineLevel="0" collapsed="false">
      <c r="A322" s="28" t="s">
        <v>1686</v>
      </c>
      <c r="B322" s="28" t="s">
        <v>978</v>
      </c>
      <c r="C322" s="28" t="str">
        <f aca="false">IFERROR(INDEX(Cadencier!$C$5:$C$441,MATCH(B322,Cadencier!$A$5:$A$441,0)),"code inconnu")</f>
        <v>Jardinière de légumes surgelée</v>
      </c>
      <c r="D322" s="29" t="n">
        <f aca="false">IFERROR(INDEX(Cadencier!$J$5:$J$441,MATCH(B322,Cadencier!$A$5:$A$441,0)),0)</f>
        <v>2.4</v>
      </c>
    </row>
    <row r="323" customFormat="false" ht="15" hidden="false" customHeight="false" outlineLevel="0" collapsed="false">
      <c r="A323" s="28" t="s">
        <v>1687</v>
      </c>
      <c r="B323" s="28" t="s">
        <v>715</v>
      </c>
      <c r="C323" s="28" t="str">
        <f aca="false">IFERROR(INDEX(Cadencier!$C$5:$C$441,MATCH(B323,Cadencier!$A$5:$A$441,0)),"code inconnu")</f>
        <v>Jaunes d'œufs pasteurisés</v>
      </c>
      <c r="D323" s="29" t="n">
        <f aca="false">IFERROR(INDEX(Cadencier!$J$5:$J$441,MATCH(B323,Cadencier!$A$5:$A$441,0)),0)</f>
        <v>6.5</v>
      </c>
    </row>
    <row r="324" customFormat="false" ht="15" hidden="false" customHeight="false" outlineLevel="0" collapsed="false">
      <c r="A324" s="28" t="s">
        <v>716</v>
      </c>
      <c r="B324" s="28" t="s">
        <v>715</v>
      </c>
      <c r="C324" s="28" t="str">
        <f aca="false">IFERROR(INDEX(Cadencier!$C$5:$C$441,MATCH(B324,Cadencier!$A$5:$A$441,0)),"code inconnu")</f>
        <v>Jaunes d'œufs pasteurisés</v>
      </c>
      <c r="D324" s="29" t="n">
        <f aca="false">IFERROR(INDEX(Cadencier!$J$5:$J$441,MATCH(B324,Cadencier!$A$5:$A$441,0)),0)</f>
        <v>6.5</v>
      </c>
    </row>
    <row r="325" customFormat="false" ht="15" hidden="false" customHeight="false" outlineLevel="0" collapsed="false">
      <c r="A325" s="28" t="s">
        <v>1688</v>
      </c>
      <c r="B325" s="28" t="s">
        <v>715</v>
      </c>
      <c r="C325" s="28" t="str">
        <f aca="false">IFERROR(INDEX(Cadencier!$C$5:$C$441,MATCH(B325,Cadencier!$A$5:$A$441,0)),"code inconnu")</f>
        <v>Jaunes d'œufs pasteurisés</v>
      </c>
      <c r="D325" s="29" t="n">
        <f aca="false">IFERROR(INDEX(Cadencier!$J$5:$J$441,MATCH(B325,Cadencier!$A$5:$A$441,0)),0)</f>
        <v>6.5</v>
      </c>
    </row>
    <row r="326" customFormat="false" ht="15" hidden="false" customHeight="false" outlineLevel="0" collapsed="false">
      <c r="A326" s="28" t="s">
        <v>1689</v>
      </c>
      <c r="B326" s="28" t="s">
        <v>715</v>
      </c>
      <c r="C326" s="28" t="str">
        <f aca="false">IFERROR(INDEX(Cadencier!$C$5:$C$441,MATCH(B326,Cadencier!$A$5:$A$441,0)),"code inconnu")</f>
        <v>Jaunes d'œufs pasteurisés</v>
      </c>
      <c r="D326" s="29" t="n">
        <f aca="false">IFERROR(INDEX(Cadencier!$J$5:$J$441,MATCH(B326,Cadencier!$A$5:$A$441,0)),0)</f>
        <v>6.5</v>
      </c>
    </row>
    <row r="327" customFormat="false" ht="15" hidden="false" customHeight="false" outlineLevel="0" collapsed="false">
      <c r="A327" s="28" t="s">
        <v>1690</v>
      </c>
      <c r="B327" s="28" t="s">
        <v>462</v>
      </c>
      <c r="C327" s="28" t="str">
        <f aca="false">IFERROR(INDEX(Cadencier!$C$5:$C$441,MATCH(B327,Cadencier!$A$5:$A$441,0)),"code inconnu")</f>
        <v>Joue de bœuf parée</v>
      </c>
      <c r="D327" s="29" t="n">
        <f aca="false">IFERROR(INDEX(Cadencier!$J$5:$J$441,MATCH(B327,Cadencier!$A$5:$A$441,0)),0)</f>
        <v>10.5</v>
      </c>
    </row>
    <row r="328" customFormat="false" ht="15" hidden="false" customHeight="false" outlineLevel="0" collapsed="false">
      <c r="A328" s="28" t="s">
        <v>981</v>
      </c>
      <c r="B328" s="28" t="s">
        <v>980</v>
      </c>
      <c r="C328" s="28" t="str">
        <f aca="false">IFERROR(INDEX(Cadencier!$C$5:$C$441,MATCH(B328,Cadencier!$A$5:$A$441,0)),"code inconnu")</f>
        <v>Julienne de légumes asiatiques surgelée</v>
      </c>
      <c r="D328" s="29" t="n">
        <f aca="false">IFERROR(INDEX(Cadencier!$J$5:$J$441,MATCH(B328,Cadencier!$A$5:$A$441,0)),0)</f>
        <v>3.2</v>
      </c>
    </row>
    <row r="329" customFormat="false" ht="15" hidden="false" customHeight="false" outlineLevel="0" collapsed="false">
      <c r="A329" s="28" t="s">
        <v>1362</v>
      </c>
      <c r="B329" s="28" t="s">
        <v>1361</v>
      </c>
      <c r="C329" s="28" t="str">
        <f aca="false">IFERROR(INDEX(Cadencier!$C$5:$C$441,MATCH(B329,Cadencier!$A$5:$A$441,0)),"code inconnu")</f>
        <v>Jus d'orange</v>
      </c>
      <c r="D329" s="29" t="n">
        <f aca="false">IFERROR(INDEX(Cadencier!$J$5:$J$441,MATCH(B329,Cadencier!$A$5:$A$441,0)),0)</f>
        <v>1.5</v>
      </c>
    </row>
    <row r="330" customFormat="false" ht="15" hidden="false" customHeight="false" outlineLevel="0" collapsed="false">
      <c r="A330" s="28" t="s">
        <v>1291</v>
      </c>
      <c r="B330" s="28" t="s">
        <v>1290</v>
      </c>
      <c r="C330" s="28" t="str">
        <f aca="false">IFERROR(INDEX(Cadencier!$C$5:$C$441,MATCH(B330,Cadencier!$A$5:$A$441,0)),"code inconnu")</f>
        <v>Jus de citron</v>
      </c>
      <c r="D330" s="29" t="n">
        <f aca="false">IFERROR(INDEX(Cadencier!$J$5:$J$441,MATCH(B330,Cadencier!$A$5:$A$441,0)),0)</f>
        <v>2.5</v>
      </c>
    </row>
    <row r="331" customFormat="false" ht="15" hidden="false" customHeight="false" outlineLevel="0" collapsed="false">
      <c r="A331" s="28" t="s">
        <v>1294</v>
      </c>
      <c r="B331" s="28" t="s">
        <v>1293</v>
      </c>
      <c r="C331" s="28" t="str">
        <f aca="false">IFERROR(INDEX(Cadencier!$C$5:$C$441,MATCH(B331,Cadencier!$A$5:$A$441,0)),"code inconnu")</f>
        <v>Jus de citron vert</v>
      </c>
      <c r="D331" s="29" t="n">
        <f aca="false">IFERROR(INDEX(Cadencier!$J$5:$J$441,MATCH(B331,Cadencier!$A$5:$A$441,0)),0)</f>
        <v>4.5</v>
      </c>
    </row>
    <row r="332" customFormat="false" ht="15" hidden="false" customHeight="false" outlineLevel="0" collapsed="false">
      <c r="A332" s="28" t="s">
        <v>1213</v>
      </c>
      <c r="B332" s="28" t="s">
        <v>1212</v>
      </c>
      <c r="C332" s="28" t="str">
        <f aca="false">IFERROR(INDEX(Cadencier!$C$5:$C$441,MATCH(B332,Cadencier!$A$5:$A$441,0)),"code inconnu")</f>
        <v>Ketchup</v>
      </c>
      <c r="D332" s="29" t="n">
        <f aca="false">IFERROR(INDEX(Cadencier!$J$5:$J$441,MATCH(B332,Cadencier!$A$5:$A$441,0)),0)</f>
        <v>3</v>
      </c>
    </row>
    <row r="333" customFormat="false" ht="15" hidden="false" customHeight="false" outlineLevel="0" collapsed="false">
      <c r="A333" s="28" t="s">
        <v>1691</v>
      </c>
      <c r="B333" s="28" t="s">
        <v>1212</v>
      </c>
      <c r="C333" s="28" t="str">
        <f aca="false">IFERROR(INDEX(Cadencier!$C$5:$C$441,MATCH(B333,Cadencier!$A$5:$A$441,0)),"code inconnu")</f>
        <v>Ketchup</v>
      </c>
      <c r="D333" s="29" t="n">
        <f aca="false">IFERROR(INDEX(Cadencier!$J$5:$J$441,MATCH(B333,Cadencier!$A$5:$A$441,0)),0)</f>
        <v>3</v>
      </c>
    </row>
    <row r="334" customFormat="false" ht="15" hidden="false" customHeight="false" outlineLevel="0" collapsed="false">
      <c r="A334" s="28" t="s">
        <v>817</v>
      </c>
      <c r="B334" s="28" t="s">
        <v>816</v>
      </c>
      <c r="C334" s="28" t="str">
        <f aca="false">IFERROR(INDEX(Cadencier!$C$5:$C$441,MATCH(B334,Cadencier!$A$5:$A$441,0)),"code inconnu")</f>
        <v>Kiwis</v>
      </c>
      <c r="D334" s="29" t="n">
        <f aca="false">IFERROR(INDEX(Cadencier!$J$5:$J$441,MATCH(B334,Cadencier!$A$5:$A$441,0)),0)</f>
        <v>2.8</v>
      </c>
    </row>
    <row r="335" customFormat="false" ht="15" hidden="false" customHeight="false" outlineLevel="0" collapsed="false">
      <c r="A335" s="28" t="s">
        <v>1692</v>
      </c>
      <c r="B335" s="28" t="s">
        <v>717</v>
      </c>
      <c r="C335" s="28" t="str">
        <f aca="false">IFERROR(INDEX(Cadencier!$C$5:$C$441,MATCH(B335,Cadencier!$A$5:$A$441,0)),"code inconnu")</f>
        <v>Lait demi-écrémé UHT</v>
      </c>
      <c r="D335" s="29" t="n">
        <f aca="false">IFERROR(INDEX(Cadencier!$J$5:$J$441,MATCH(B335,Cadencier!$A$5:$A$441,0)),0)</f>
        <v>2.4</v>
      </c>
    </row>
    <row r="336" customFormat="false" ht="15" hidden="false" customHeight="false" outlineLevel="0" collapsed="false">
      <c r="A336" s="28" t="s">
        <v>1693</v>
      </c>
      <c r="B336" s="28" t="s">
        <v>717</v>
      </c>
      <c r="C336" s="28" t="str">
        <f aca="false">IFERROR(INDEX(Cadencier!$C$5:$C$441,MATCH(B336,Cadencier!$A$5:$A$441,0)),"code inconnu")</f>
        <v>Lait demi-écrémé UHT</v>
      </c>
      <c r="D336" s="29" t="n">
        <f aca="false">IFERROR(INDEX(Cadencier!$J$5:$J$441,MATCH(B336,Cadencier!$A$5:$A$441,0)),0)</f>
        <v>2.4</v>
      </c>
    </row>
    <row r="337" customFormat="false" ht="15" hidden="false" customHeight="false" outlineLevel="0" collapsed="false">
      <c r="A337" s="28" t="s">
        <v>1216</v>
      </c>
      <c r="B337" s="28" t="s">
        <v>1215</v>
      </c>
      <c r="C337" s="28" t="str">
        <f aca="false">IFERROR(INDEX(Cadencier!$C$5:$C$441,MATCH(B337,Cadencier!$A$5:$A$441,0)),"code inconnu")</f>
        <v>Lait de coco</v>
      </c>
      <c r="D337" s="29" t="n">
        <f aca="false">IFERROR(INDEX(Cadencier!$J$5:$J$441,MATCH(B337,Cadencier!$A$5:$A$441,0)),0)</f>
        <v>3.5</v>
      </c>
    </row>
    <row r="338" customFormat="false" ht="15" hidden="false" customHeight="false" outlineLevel="0" collapsed="false">
      <c r="A338" s="28" t="s">
        <v>1694</v>
      </c>
      <c r="B338" s="28" t="s">
        <v>717</v>
      </c>
      <c r="C338" s="28" t="str">
        <f aca="false">IFERROR(INDEX(Cadencier!$C$5:$C$441,MATCH(B338,Cadencier!$A$5:$A$441,0)),"code inconnu")</f>
        <v>Lait demi-écrémé UHT</v>
      </c>
      <c r="D338" s="29" t="n">
        <f aca="false">IFERROR(INDEX(Cadencier!$J$5:$J$441,MATCH(B338,Cadencier!$A$5:$A$441,0)),0)</f>
        <v>2.4</v>
      </c>
    </row>
    <row r="339" customFormat="false" ht="15" hidden="false" customHeight="false" outlineLevel="0" collapsed="false">
      <c r="A339" s="28" t="s">
        <v>1695</v>
      </c>
      <c r="B339" s="28" t="s">
        <v>719</v>
      </c>
      <c r="C339" s="28" t="str">
        <f aca="false">IFERROR(INDEX(Cadencier!$C$5:$C$441,MATCH(B339,Cadencier!$A$5:$A$441,0)),"code inconnu")</f>
        <v>Lait entier UHT</v>
      </c>
      <c r="D339" s="29" t="n">
        <f aca="false">IFERROR(INDEX(Cadencier!$J$5:$J$441,MATCH(B339,Cadencier!$A$5:$A$441,0)),0)</f>
        <v>2.5</v>
      </c>
    </row>
    <row r="340" customFormat="false" ht="15" hidden="false" customHeight="false" outlineLevel="0" collapsed="false">
      <c r="A340" s="28" t="s">
        <v>1696</v>
      </c>
      <c r="B340" s="28" t="s">
        <v>719</v>
      </c>
      <c r="C340" s="28" t="str">
        <f aca="false">IFERROR(INDEX(Cadencier!$C$5:$C$441,MATCH(B340,Cadencier!$A$5:$A$441,0)),"code inconnu")</f>
        <v>Lait entier UHT</v>
      </c>
      <c r="D340" s="29" t="n">
        <f aca="false">IFERROR(INDEX(Cadencier!$J$5:$J$441,MATCH(B340,Cadencier!$A$5:$A$441,0)),0)</f>
        <v>2.5</v>
      </c>
    </row>
    <row r="341" customFormat="false" ht="15" hidden="false" customHeight="false" outlineLevel="0" collapsed="false">
      <c r="A341" s="28" t="s">
        <v>1697</v>
      </c>
      <c r="B341" s="28" t="s">
        <v>719</v>
      </c>
      <c r="C341" s="28" t="str">
        <f aca="false">IFERROR(INDEX(Cadencier!$C$5:$C$441,MATCH(B341,Cadencier!$A$5:$A$441,0)),"code inconnu")</f>
        <v>Lait entier UHT</v>
      </c>
      <c r="D341" s="29" t="n">
        <f aca="false">IFERROR(INDEX(Cadencier!$J$5:$J$441,MATCH(B341,Cadencier!$A$5:$A$441,0)),0)</f>
        <v>2.5</v>
      </c>
    </row>
    <row r="342" customFormat="false" ht="15" hidden="false" customHeight="false" outlineLevel="0" collapsed="false">
      <c r="A342" s="28" t="s">
        <v>1698</v>
      </c>
      <c r="B342" s="28" t="s">
        <v>717</v>
      </c>
      <c r="C342" s="28" t="str">
        <f aca="false">IFERROR(INDEX(Cadencier!$C$5:$C$441,MATCH(B342,Cadencier!$A$5:$A$441,0)),"code inconnu")</f>
        <v>Lait demi-écrémé UHT</v>
      </c>
      <c r="D342" s="29" t="n">
        <f aca="false">IFERROR(INDEX(Cadencier!$J$5:$J$441,MATCH(B342,Cadencier!$A$5:$A$441,0)),0)</f>
        <v>2.4</v>
      </c>
    </row>
    <row r="343" customFormat="false" ht="15" hidden="false" customHeight="false" outlineLevel="0" collapsed="false">
      <c r="A343" s="28" t="s">
        <v>1699</v>
      </c>
      <c r="B343" s="28" t="s">
        <v>465</v>
      </c>
      <c r="C343" s="28" t="str">
        <f aca="false">IFERROR(INDEX(Cadencier!$C$5:$C$441,MATCH(B343,Cadencier!$A$5:$A$441,0)),"code inconnu")</f>
        <v>Langues de bœuf surgelées</v>
      </c>
      <c r="D343" s="29" t="n">
        <f aca="false">IFERROR(INDEX(Cadencier!$J$5:$J$441,MATCH(B343,Cadencier!$A$5:$A$441,0)),0)</f>
        <v>7.5</v>
      </c>
    </row>
    <row r="344" customFormat="false" ht="15" hidden="false" customHeight="false" outlineLevel="0" collapsed="false">
      <c r="A344" s="28" t="s">
        <v>1700</v>
      </c>
      <c r="B344" s="28" t="s">
        <v>586</v>
      </c>
      <c r="C344" s="28" t="str">
        <f aca="false">IFERROR(INDEX(Cadencier!$C$5:$C$441,MATCH(B344,Cadencier!$A$5:$A$441,0)),"code inconnu")</f>
        <v>Lardons fumés</v>
      </c>
      <c r="D344" s="29" t="n">
        <f aca="false">IFERROR(INDEX(Cadencier!$J$5:$J$441,MATCH(B344,Cadencier!$A$5:$A$441,0)),0)</f>
        <v>8</v>
      </c>
    </row>
    <row r="345" customFormat="false" ht="15" hidden="false" customHeight="false" outlineLevel="0" collapsed="false">
      <c r="A345" s="28" t="s">
        <v>587</v>
      </c>
      <c r="B345" s="28" t="s">
        <v>586</v>
      </c>
      <c r="C345" s="28" t="str">
        <f aca="false">IFERROR(INDEX(Cadencier!$C$5:$C$441,MATCH(B345,Cadencier!$A$5:$A$441,0)),"code inconnu")</f>
        <v>Lardons fumés</v>
      </c>
      <c r="D345" s="29" t="n">
        <f aca="false">IFERROR(INDEX(Cadencier!$J$5:$J$441,MATCH(B345,Cadencier!$A$5:$A$441,0)),0)</f>
        <v>8</v>
      </c>
    </row>
    <row r="346" customFormat="false" ht="15" hidden="false" customHeight="false" outlineLevel="0" collapsed="false">
      <c r="A346" s="28" t="s">
        <v>1701</v>
      </c>
      <c r="B346" s="28" t="s">
        <v>586</v>
      </c>
      <c r="C346" s="28" t="str">
        <f aca="false">IFERROR(INDEX(Cadencier!$C$5:$C$441,MATCH(B346,Cadencier!$A$5:$A$441,0)),"code inconnu")</f>
        <v>Lardons fumés</v>
      </c>
      <c r="D346" s="29" t="n">
        <f aca="false">IFERROR(INDEX(Cadencier!$J$5:$J$441,MATCH(B346,Cadencier!$A$5:$A$441,0)),0)</f>
        <v>8</v>
      </c>
    </row>
    <row r="347" customFormat="false" ht="15" hidden="false" customHeight="false" outlineLevel="0" collapsed="false">
      <c r="A347" s="28" t="s">
        <v>1702</v>
      </c>
      <c r="B347" s="28" t="s">
        <v>1333</v>
      </c>
      <c r="C347" s="28" t="str">
        <f aca="false">IFERROR(INDEX(Cadencier!$C$5:$C$441,MATCH(B347,Cadencier!$A$5:$A$441,0)),"code inconnu")</f>
        <v>Thym / laurier (bouquet garni)</v>
      </c>
      <c r="D347" s="29" t="n">
        <f aca="false">IFERROR(INDEX(Cadencier!$J$5:$J$441,MATCH(B347,Cadencier!$A$5:$A$441,0)),0)</f>
        <v>16</v>
      </c>
    </row>
    <row r="348" customFormat="false" ht="15" hidden="false" customHeight="false" outlineLevel="0" collapsed="false">
      <c r="A348" s="28" t="s">
        <v>1703</v>
      </c>
      <c r="B348" s="28" t="s">
        <v>1333</v>
      </c>
      <c r="C348" s="28" t="str">
        <f aca="false">IFERROR(INDEX(Cadencier!$C$5:$C$441,MATCH(B348,Cadencier!$A$5:$A$441,0)),"code inconnu")</f>
        <v>Thym / laurier (bouquet garni)</v>
      </c>
      <c r="D348" s="29" t="n">
        <f aca="false">IFERROR(INDEX(Cadencier!$J$5:$J$441,MATCH(B348,Cadencier!$A$5:$A$441,0)),0)</f>
        <v>16</v>
      </c>
    </row>
    <row r="349" customFormat="false" ht="15" hidden="false" customHeight="false" outlineLevel="0" collapsed="false">
      <c r="A349" s="28" t="s">
        <v>1704</v>
      </c>
      <c r="B349" s="28" t="s">
        <v>1333</v>
      </c>
      <c r="C349" s="28" t="str">
        <f aca="false">IFERROR(INDEX(Cadencier!$C$5:$C$441,MATCH(B349,Cadencier!$A$5:$A$441,0)),"code inconnu")</f>
        <v>Thym / laurier (bouquet garni)</v>
      </c>
      <c r="D349" s="29" t="n">
        <f aca="false">IFERROR(INDEX(Cadencier!$J$5:$J$441,MATCH(B349,Cadencier!$A$5:$A$441,0)),0)</f>
        <v>16</v>
      </c>
    </row>
    <row r="350" customFormat="false" ht="15" hidden="false" customHeight="false" outlineLevel="0" collapsed="false">
      <c r="A350" s="28" t="s">
        <v>330</v>
      </c>
      <c r="B350" s="28" t="s">
        <v>1132</v>
      </c>
      <c r="C350" s="28" t="str">
        <f aca="false">IFERROR(INDEX(Cadencier!$C$5:$C$441,MATCH(B350,Cadencier!$A$5:$A$441,0)),"code inconnu")</f>
        <v>Lentilles vertes sèches</v>
      </c>
      <c r="D350" s="29" t="n">
        <f aca="false">IFERROR(INDEX(Cadencier!$J$5:$J$441,MATCH(B350,Cadencier!$A$5:$A$441,0)),0)</f>
        <v>3.2</v>
      </c>
    </row>
    <row r="351" customFormat="false" ht="15" hidden="false" customHeight="false" outlineLevel="0" collapsed="false">
      <c r="A351" s="28" t="s">
        <v>1705</v>
      </c>
      <c r="B351" s="28" t="s">
        <v>1132</v>
      </c>
      <c r="C351" s="28" t="str">
        <f aca="false">IFERROR(INDEX(Cadencier!$C$5:$C$441,MATCH(B351,Cadencier!$A$5:$A$441,0)),"code inconnu")</f>
        <v>Lentilles vertes sèches</v>
      </c>
      <c r="D351" s="29" t="n">
        <f aca="false">IFERROR(INDEX(Cadencier!$J$5:$J$441,MATCH(B351,Cadencier!$A$5:$A$441,0)),0)</f>
        <v>3.2</v>
      </c>
    </row>
    <row r="352" customFormat="false" ht="15" hidden="false" customHeight="false" outlineLevel="0" collapsed="false">
      <c r="A352" s="28" t="s">
        <v>1706</v>
      </c>
      <c r="B352" s="28" t="s">
        <v>982</v>
      </c>
      <c r="C352" s="28" t="str">
        <f aca="false">IFERROR(INDEX(Cadencier!$C$5:$C$441,MATCH(B352,Cadencier!$A$5:$A$441,0)),"code inconnu")</f>
        <v>Légumes pour couscous surgelés</v>
      </c>
      <c r="D352" s="29" t="n">
        <f aca="false">IFERROR(INDEX(Cadencier!$J$5:$J$441,MATCH(B352,Cadencier!$A$5:$A$441,0)),0)</f>
        <v>2.6</v>
      </c>
    </row>
    <row r="353" customFormat="false" ht="15" hidden="false" customHeight="false" outlineLevel="0" collapsed="false">
      <c r="A353" s="28" t="s">
        <v>1707</v>
      </c>
      <c r="B353" s="28" t="s">
        <v>1218</v>
      </c>
      <c r="C353" s="28" t="str">
        <f aca="false">IFERROR(INDEX(Cadencier!$C$5:$C$441,MATCH(B353,Cadencier!$A$5:$A$441,0)),"code inconnu")</f>
        <v>Macédoine de légumes (boîte 5/1)</v>
      </c>
      <c r="D353" s="29" t="n">
        <f aca="false">IFERROR(INDEX(Cadencier!$J$5:$J$441,MATCH(B353,Cadencier!$A$5:$A$441,0)),0)</f>
        <v>2</v>
      </c>
    </row>
    <row r="354" customFormat="false" ht="15" hidden="false" customHeight="false" outlineLevel="0" collapsed="false">
      <c r="A354" s="28" t="s">
        <v>985</v>
      </c>
      <c r="B354" s="28" t="s">
        <v>984</v>
      </c>
      <c r="C354" s="28" t="str">
        <f aca="false">IFERROR(INDEX(Cadencier!$C$5:$C$441,MATCH(B354,Cadencier!$A$5:$A$441,0)),"code inconnu")</f>
        <v>Macédoine de légumes surgelée</v>
      </c>
      <c r="D354" s="29" t="n">
        <f aca="false">IFERROR(INDEX(Cadencier!$J$5:$J$441,MATCH(B354,Cadencier!$A$5:$A$441,0)),0)</f>
        <v>2.2</v>
      </c>
    </row>
    <row r="355" customFormat="false" ht="15" hidden="false" customHeight="false" outlineLevel="0" collapsed="false">
      <c r="A355" s="28" t="s">
        <v>1708</v>
      </c>
      <c r="B355" s="28" t="s">
        <v>1364</v>
      </c>
      <c r="C355" s="28" t="str">
        <f aca="false">IFERROR(INDEX(Cadencier!$C$5:$C$441,MATCH(B355,Cadencier!$A$5:$A$441,0)),"code inconnu")</f>
        <v>Madère</v>
      </c>
      <c r="D355" s="29" t="n">
        <f aca="false">IFERROR(INDEX(Cadencier!$J$5:$J$441,MATCH(B355,Cadencier!$A$5:$A$441,0)),0)</f>
        <v>8</v>
      </c>
    </row>
    <row r="356" customFormat="false" ht="15" hidden="false" customHeight="false" outlineLevel="0" collapsed="false">
      <c r="A356" s="28" t="s">
        <v>542</v>
      </c>
      <c r="B356" s="28" t="s">
        <v>541</v>
      </c>
      <c r="C356" s="28" t="str">
        <f aca="false">IFERROR(INDEX(Cadencier!$C$5:$C$441,MATCH(B356,Cadencier!$A$5:$A$441,0)),"code inconnu")</f>
        <v>Magret de canard 350/400 g</v>
      </c>
      <c r="D356" s="29" t="n">
        <f aca="false">IFERROR(INDEX(Cadencier!$J$5:$J$441,MATCH(B356,Cadencier!$A$5:$A$441,0)),0)</f>
        <v>17</v>
      </c>
    </row>
    <row r="357" customFormat="false" ht="15" hidden="false" customHeight="false" outlineLevel="0" collapsed="false">
      <c r="A357" s="28" t="s">
        <v>589</v>
      </c>
      <c r="B357" s="28" t="s">
        <v>588</v>
      </c>
      <c r="C357" s="28" t="str">
        <f aca="false">IFERROR(INDEX(Cadencier!$C$5:$C$441,MATCH(B357,Cadencier!$A$5:$A$441,0)),"code inconnu")</f>
        <v>Magret de canard fumé tranché</v>
      </c>
      <c r="D357" s="29" t="n">
        <f aca="false">IFERROR(INDEX(Cadencier!$J$5:$J$441,MATCH(B357,Cadencier!$A$5:$A$441,0)),0)</f>
        <v>28</v>
      </c>
    </row>
    <row r="358" customFormat="false" ht="15" hidden="false" customHeight="false" outlineLevel="0" collapsed="false">
      <c r="A358" s="28" t="s">
        <v>987</v>
      </c>
      <c r="B358" s="28" t="s">
        <v>986</v>
      </c>
      <c r="C358" s="28" t="str">
        <f aca="false">IFERROR(INDEX(Cadencier!$C$5:$C$441,MATCH(B358,Cadencier!$A$5:$A$441,0)),"code inconnu")</f>
        <v>Mangue cubes surgelés</v>
      </c>
      <c r="D358" s="29" t="n">
        <f aca="false">IFERROR(INDEX(Cadencier!$J$5:$J$441,MATCH(B358,Cadencier!$A$5:$A$441,0)),0)</f>
        <v>5</v>
      </c>
    </row>
    <row r="359" customFormat="false" ht="15" hidden="false" customHeight="false" outlineLevel="0" collapsed="false">
      <c r="A359" s="28" t="s">
        <v>1709</v>
      </c>
      <c r="B359" s="28" t="s">
        <v>1222</v>
      </c>
      <c r="C359" s="28" t="str">
        <f aca="false">IFERROR(INDEX(Cadencier!$C$5:$C$441,MATCH(B359,Cadencier!$A$5:$A$441,0)),"code inconnu")</f>
        <v>Mayonnaise ovoproduit pasteurisée</v>
      </c>
      <c r="D359" s="29" t="n">
        <f aca="false">IFERROR(INDEX(Cadencier!$J$5:$J$441,MATCH(B359,Cadencier!$A$5:$A$441,0)),0)</f>
        <v>4.5</v>
      </c>
    </row>
    <row r="360" customFormat="false" ht="15" hidden="false" customHeight="false" outlineLevel="0" collapsed="false">
      <c r="A360" s="28" t="s">
        <v>1710</v>
      </c>
      <c r="B360" s="28" t="s">
        <v>1222</v>
      </c>
      <c r="C360" s="28" t="str">
        <f aca="false">IFERROR(INDEX(Cadencier!$C$5:$C$441,MATCH(B360,Cadencier!$A$5:$A$441,0)),"code inconnu")</f>
        <v>Mayonnaise ovoproduit pasteurisée</v>
      </c>
      <c r="D360" s="29" t="n">
        <f aca="false">IFERROR(INDEX(Cadencier!$J$5:$J$441,MATCH(B360,Cadencier!$A$5:$A$441,0)),0)</f>
        <v>4.5</v>
      </c>
    </row>
    <row r="361" customFormat="false" ht="15" hidden="false" customHeight="false" outlineLevel="0" collapsed="false">
      <c r="A361" s="28" t="s">
        <v>1223</v>
      </c>
      <c r="B361" s="28" t="s">
        <v>1222</v>
      </c>
      <c r="C361" s="28" t="str">
        <f aca="false">IFERROR(INDEX(Cadencier!$C$5:$C$441,MATCH(B361,Cadencier!$A$5:$A$441,0)),"code inconnu")</f>
        <v>Mayonnaise ovoproduit pasteurisée</v>
      </c>
      <c r="D361" s="29" t="n">
        <f aca="false">IFERROR(INDEX(Cadencier!$J$5:$J$441,MATCH(B361,Cadencier!$A$5:$A$441,0)),0)</f>
        <v>4.5</v>
      </c>
    </row>
    <row r="362" customFormat="false" ht="15" hidden="false" customHeight="false" outlineLevel="0" collapsed="false">
      <c r="A362" s="28" t="s">
        <v>1711</v>
      </c>
      <c r="B362" s="28" t="s">
        <v>1222</v>
      </c>
      <c r="C362" s="28" t="str">
        <f aca="false">IFERROR(INDEX(Cadencier!$C$5:$C$441,MATCH(B362,Cadencier!$A$5:$A$441,0)),"code inconnu")</f>
        <v>Mayonnaise ovoproduit pasteurisée</v>
      </c>
      <c r="D362" s="29" t="n">
        <f aca="false">IFERROR(INDEX(Cadencier!$J$5:$J$441,MATCH(B362,Cadencier!$A$5:$A$441,0)),0)</f>
        <v>4.5</v>
      </c>
    </row>
    <row r="363" customFormat="false" ht="15" hidden="false" customHeight="false" outlineLevel="0" collapsed="false">
      <c r="A363" s="28" t="s">
        <v>1712</v>
      </c>
      <c r="B363" s="28" t="s">
        <v>1220</v>
      </c>
      <c r="C363" s="28" t="str">
        <f aca="false">IFERROR(INDEX(Cadencier!$C$5:$C$441,MATCH(B363,Cadencier!$A$5:$A$441,0)),"code inconnu")</f>
        <v>Maïs doux (boîte 5/1)</v>
      </c>
      <c r="D363" s="29" t="n">
        <f aca="false">IFERROR(INDEX(Cadencier!$J$5:$J$441,MATCH(B363,Cadencier!$A$5:$A$441,0)),0)</f>
        <v>2.2</v>
      </c>
    </row>
    <row r="364" customFormat="false" ht="15" hidden="false" customHeight="false" outlineLevel="0" collapsed="false">
      <c r="A364" s="28" t="s">
        <v>1713</v>
      </c>
      <c r="B364" s="28" t="s">
        <v>1220</v>
      </c>
      <c r="C364" s="28" t="str">
        <f aca="false">IFERROR(INDEX(Cadencier!$C$5:$C$441,MATCH(B364,Cadencier!$A$5:$A$441,0)),"code inconnu")</f>
        <v>Maïs doux (boîte 5/1)</v>
      </c>
      <c r="D364" s="29" t="n">
        <f aca="false">IFERROR(INDEX(Cadencier!$J$5:$J$441,MATCH(B364,Cadencier!$A$5:$A$441,0)),0)</f>
        <v>2.2</v>
      </c>
    </row>
    <row r="365" customFormat="false" ht="15" hidden="false" customHeight="false" outlineLevel="0" collapsed="false">
      <c r="A365" s="28" t="s">
        <v>1714</v>
      </c>
      <c r="B365" s="28" t="s">
        <v>1220</v>
      </c>
      <c r="C365" s="28" t="str">
        <f aca="false">IFERROR(INDEX(Cadencier!$C$5:$C$441,MATCH(B365,Cadencier!$A$5:$A$441,0)),"code inconnu")</f>
        <v>Maïs doux (boîte 5/1)</v>
      </c>
      <c r="D365" s="29" t="n">
        <f aca="false">IFERROR(INDEX(Cadencier!$J$5:$J$441,MATCH(B365,Cadencier!$A$5:$A$441,0)),0)</f>
        <v>2.2</v>
      </c>
    </row>
    <row r="366" customFormat="false" ht="15" hidden="false" customHeight="false" outlineLevel="0" collapsed="false">
      <c r="A366" s="28" t="s">
        <v>1715</v>
      </c>
      <c r="B366" s="28" t="s">
        <v>822</v>
      </c>
      <c r="C366" s="28" t="str">
        <f aca="false">IFERROR(INDEX(Cadencier!$C$5:$C$441,MATCH(B366,Cadencier!$A$5:$A$441,0)),"code inconnu")</f>
        <v>Melon charentais</v>
      </c>
      <c r="D366" s="29" t="n">
        <f aca="false">IFERROR(INDEX(Cadencier!$J$5:$J$441,MATCH(B366,Cadencier!$A$5:$A$441,0)),0)</f>
        <v>1.8</v>
      </c>
    </row>
    <row r="367" customFormat="false" ht="15" hidden="false" customHeight="false" outlineLevel="0" collapsed="false">
      <c r="A367" s="28" t="s">
        <v>1716</v>
      </c>
      <c r="B367" s="28" t="s">
        <v>826</v>
      </c>
      <c r="C367" s="28" t="str">
        <f aca="false">IFERROR(INDEX(Cadencier!$C$5:$C$441,MATCH(B367,Cadencier!$A$5:$A$441,0)),"code inconnu")</f>
        <v>Menthe fraîche (botte)</v>
      </c>
      <c r="D367" s="29" t="n">
        <f aca="false">IFERROR(INDEX(Cadencier!$J$5:$J$441,MATCH(B367,Cadencier!$A$5:$A$441,0)),0)</f>
        <v>30</v>
      </c>
    </row>
    <row r="368" customFormat="false" ht="15" hidden="false" customHeight="false" outlineLevel="0" collapsed="false">
      <c r="A368" s="28" t="s">
        <v>1717</v>
      </c>
      <c r="B368" s="28" t="s">
        <v>826</v>
      </c>
      <c r="C368" s="28" t="str">
        <f aca="false">IFERROR(INDEX(Cadencier!$C$5:$C$441,MATCH(B368,Cadencier!$A$5:$A$441,0)),"code inconnu")</f>
        <v>Menthe fraîche (botte)</v>
      </c>
      <c r="D368" s="29" t="n">
        <f aca="false">IFERROR(INDEX(Cadencier!$J$5:$J$441,MATCH(B368,Cadencier!$A$5:$A$441,0)),0)</f>
        <v>30</v>
      </c>
    </row>
    <row r="369" customFormat="false" ht="15" hidden="false" customHeight="false" outlineLevel="0" collapsed="false">
      <c r="A369" s="28" t="s">
        <v>1718</v>
      </c>
      <c r="B369" s="28" t="s">
        <v>990</v>
      </c>
      <c r="C369" s="28" t="str">
        <f aca="false">IFERROR(INDEX(Cadencier!$C$5:$C$441,MATCH(B369,Cadencier!$A$5:$A$441,0)),"code inconnu")</f>
        <v>Menthe ciselée surgelée</v>
      </c>
      <c r="D369" s="29" t="n">
        <f aca="false">IFERROR(INDEX(Cadencier!$J$5:$J$441,MATCH(B369,Cadencier!$A$5:$A$441,0)),0)</f>
        <v>13</v>
      </c>
    </row>
    <row r="370" customFormat="false" ht="15" hidden="false" customHeight="false" outlineLevel="0" collapsed="false">
      <c r="A370" s="28" t="s">
        <v>1719</v>
      </c>
      <c r="B370" s="28" t="s">
        <v>990</v>
      </c>
      <c r="C370" s="28" t="str">
        <f aca="false">IFERROR(INDEX(Cadencier!$C$5:$C$441,MATCH(B370,Cadencier!$A$5:$A$441,0)),"code inconnu")</f>
        <v>Menthe ciselée surgelée</v>
      </c>
      <c r="D370" s="29" t="n">
        <f aca="false">IFERROR(INDEX(Cadencier!$J$5:$J$441,MATCH(B370,Cadencier!$A$5:$A$441,0)),0)</f>
        <v>13</v>
      </c>
    </row>
    <row r="371" customFormat="false" ht="15" hidden="false" customHeight="false" outlineLevel="0" collapsed="false">
      <c r="A371" s="28" t="s">
        <v>1720</v>
      </c>
      <c r="B371" s="28" t="s">
        <v>990</v>
      </c>
      <c r="C371" s="28" t="str">
        <f aca="false">IFERROR(INDEX(Cadencier!$C$5:$C$441,MATCH(B371,Cadencier!$A$5:$A$441,0)),"code inconnu")</f>
        <v>Menthe ciselée surgelée</v>
      </c>
      <c r="D371" s="29" t="n">
        <f aca="false">IFERROR(INDEX(Cadencier!$J$5:$J$441,MATCH(B371,Cadencier!$A$5:$A$441,0)),0)</f>
        <v>13</v>
      </c>
    </row>
    <row r="372" customFormat="false" ht="15" hidden="false" customHeight="false" outlineLevel="0" collapsed="false">
      <c r="A372" s="28" t="s">
        <v>1721</v>
      </c>
      <c r="B372" s="28" t="s">
        <v>590</v>
      </c>
      <c r="C372" s="28" t="str">
        <f aca="false">IFERROR(INDEX(Cadencier!$C$5:$C$441,MATCH(B372,Cadencier!$A$5:$A$441,0)),"code inconnu")</f>
        <v>Merguez 50 g</v>
      </c>
      <c r="D372" s="29" t="n">
        <f aca="false">IFERROR(INDEX(Cadencier!$J$5:$J$441,MATCH(B372,Cadencier!$A$5:$A$441,0)),0)</f>
        <v>8</v>
      </c>
    </row>
    <row r="373" customFormat="false" ht="15" hidden="false" customHeight="false" outlineLevel="0" collapsed="false">
      <c r="A373" s="28" t="s">
        <v>1722</v>
      </c>
      <c r="B373" s="28" t="s">
        <v>590</v>
      </c>
      <c r="C373" s="28" t="str">
        <f aca="false">IFERROR(INDEX(Cadencier!$C$5:$C$441,MATCH(B373,Cadencier!$A$5:$A$441,0)),"code inconnu")</f>
        <v>Merguez 50 g</v>
      </c>
      <c r="D373" s="29" t="n">
        <f aca="false">IFERROR(INDEX(Cadencier!$J$5:$J$441,MATCH(B373,Cadencier!$A$5:$A$441,0)),0)</f>
        <v>8</v>
      </c>
    </row>
    <row r="374" customFormat="false" ht="15" hidden="false" customHeight="false" outlineLevel="0" collapsed="false">
      <c r="A374" s="28" t="s">
        <v>1723</v>
      </c>
      <c r="B374" s="28" t="s">
        <v>828</v>
      </c>
      <c r="C374" s="28" t="str">
        <f aca="false">IFERROR(INDEX(Cadencier!$C$5:$C$441,MATCH(B374,Cadencier!$A$5:$A$441,0)),"code inconnu")</f>
        <v>Mesclun / salade mélangée 4ème gamme</v>
      </c>
      <c r="D374" s="29" t="n">
        <f aca="false">IFERROR(INDEX(Cadencier!$J$5:$J$441,MATCH(B374,Cadencier!$A$5:$A$441,0)),0)</f>
        <v>7</v>
      </c>
    </row>
    <row r="375" customFormat="false" ht="15" hidden="false" customHeight="false" outlineLevel="0" collapsed="false">
      <c r="A375" s="28" t="s">
        <v>1137</v>
      </c>
      <c r="B375" s="28" t="s">
        <v>1136</v>
      </c>
      <c r="C375" s="28" t="str">
        <f aca="false">IFERROR(INDEX(Cadencier!$C$5:$C$441,MATCH(B375,Cadencier!$A$5:$A$441,0)),"code inconnu")</f>
        <v>Miel</v>
      </c>
      <c r="D375" s="29" t="n">
        <f aca="false">IFERROR(INDEX(Cadencier!$J$5:$J$441,MATCH(B375,Cadencier!$A$5:$A$441,0)),0)</f>
        <v>7.5</v>
      </c>
    </row>
    <row r="376" customFormat="false" ht="15" hidden="false" customHeight="false" outlineLevel="0" collapsed="false">
      <c r="A376" s="28" t="s">
        <v>1139</v>
      </c>
      <c r="B376" s="28" t="s">
        <v>1138</v>
      </c>
      <c r="C376" s="28" t="str">
        <f aca="false">IFERROR(INDEX(Cadencier!$C$5:$C$441,MATCH(B376,Cadencier!$A$5:$A$441,0)),"code inconnu")</f>
        <v>Morilles séchées</v>
      </c>
      <c r="D376" s="29" t="n">
        <f aca="false">IFERROR(INDEX(Cadencier!$J$5:$J$441,MATCH(B376,Cadencier!$A$5:$A$441,0)),0)</f>
        <v>180</v>
      </c>
    </row>
    <row r="377" customFormat="false" ht="15" hidden="false" customHeight="false" outlineLevel="0" collapsed="false">
      <c r="A377" s="28" t="s">
        <v>593</v>
      </c>
      <c r="B377" s="28" t="s">
        <v>592</v>
      </c>
      <c r="C377" s="28" t="str">
        <f aca="false">IFERROR(INDEX(Cadencier!$C$5:$C$441,MATCH(B377,Cadencier!$A$5:$A$441,0)),"code inconnu")</f>
        <v>Mortadelle (barre)</v>
      </c>
      <c r="D377" s="29" t="n">
        <f aca="false">IFERROR(INDEX(Cadencier!$J$5:$J$441,MATCH(B377,Cadencier!$A$5:$A$441,0)),0)</f>
        <v>7.5</v>
      </c>
    </row>
    <row r="378" customFormat="false" ht="15" hidden="false" customHeight="false" outlineLevel="0" collapsed="false">
      <c r="A378" s="28" t="s">
        <v>654</v>
      </c>
      <c r="B378" s="28" t="s">
        <v>653</v>
      </c>
      <c r="C378" s="28" t="str">
        <f aca="false">IFERROR(INDEX(Cadencier!$C$5:$C$441,MATCH(B378,Cadencier!$A$5:$A$441,0)),"code inconnu")</f>
        <v>Morue dessalée surgelée (filets sans peau)</v>
      </c>
      <c r="D378" s="29" t="n">
        <f aca="false">IFERROR(INDEX(Cadencier!$J$5:$J$441,MATCH(B378,Cadencier!$A$5:$A$441,0)),0)</f>
        <v>12</v>
      </c>
    </row>
    <row r="379" customFormat="false" ht="15" hidden="false" customHeight="false" outlineLevel="0" collapsed="false">
      <c r="A379" s="28" t="s">
        <v>656</v>
      </c>
      <c r="B379" s="28" t="s">
        <v>655</v>
      </c>
      <c r="C379" s="28" t="str">
        <f aca="false">IFERROR(INDEX(Cadencier!$C$5:$C$441,MATCH(B379,Cadencier!$A$5:$A$441,0)),"code inconnu")</f>
        <v>Moules de bouchot fraîches</v>
      </c>
      <c r="D379" s="29" t="n">
        <f aca="false">IFERROR(INDEX(Cadencier!$J$5:$J$441,MATCH(B379,Cadencier!$A$5:$A$441,0)),0)</f>
        <v>4</v>
      </c>
    </row>
    <row r="380" customFormat="false" ht="15" hidden="false" customHeight="false" outlineLevel="0" collapsed="false">
      <c r="A380" s="28" t="s">
        <v>659</v>
      </c>
      <c r="B380" s="28" t="s">
        <v>658</v>
      </c>
      <c r="C380" s="28" t="str">
        <f aca="false">IFERROR(INDEX(Cadencier!$C$5:$C$441,MATCH(B380,Cadencier!$A$5:$A$441,0)),"code inconnu")</f>
        <v>Moules décoquillées surgelées</v>
      </c>
      <c r="D380" s="29" t="n">
        <f aca="false">IFERROR(INDEX(Cadencier!$J$5:$J$441,MATCH(B380,Cadencier!$A$5:$A$441,0)),0)</f>
        <v>7</v>
      </c>
    </row>
    <row r="381" customFormat="false" ht="15" hidden="false" customHeight="false" outlineLevel="0" collapsed="false">
      <c r="A381" s="28" t="s">
        <v>1724</v>
      </c>
      <c r="B381" s="28" t="s">
        <v>595</v>
      </c>
      <c r="C381" s="28" t="str">
        <f aca="false">IFERROR(INDEX(Cadencier!$C$5:$C$441,MATCH(B381,Cadencier!$A$5:$A$441,0)),"code inconnu")</f>
        <v>Mousse de canard (barre)</v>
      </c>
      <c r="D381" s="29" t="n">
        <f aca="false">IFERROR(INDEX(Cadencier!$J$5:$J$441,MATCH(B381,Cadencier!$A$5:$A$441,0)),0)</f>
        <v>9</v>
      </c>
    </row>
    <row r="382" customFormat="false" ht="15" hidden="false" customHeight="false" outlineLevel="0" collapsed="false">
      <c r="A382" s="28" t="s">
        <v>1725</v>
      </c>
      <c r="B382" s="28" t="s">
        <v>1297</v>
      </c>
      <c r="C382" s="28" t="str">
        <f aca="false">IFERROR(INDEX(Cadencier!$C$5:$C$441,MATCH(B382,Cadencier!$A$5:$A$441,0)),"code inconnu")</f>
        <v>Moutarde de Dijon</v>
      </c>
      <c r="D382" s="29" t="n">
        <f aca="false">IFERROR(INDEX(Cadencier!$J$5:$J$441,MATCH(B382,Cadencier!$A$5:$A$441,0)),0)</f>
        <v>9</v>
      </c>
    </row>
    <row r="383" customFormat="false" ht="15" hidden="false" customHeight="false" outlineLevel="0" collapsed="false">
      <c r="A383" s="28" t="s">
        <v>1726</v>
      </c>
      <c r="B383" s="28" t="s">
        <v>1299</v>
      </c>
      <c r="C383" s="28" t="str">
        <f aca="false">IFERROR(INDEX(Cadencier!$C$5:$C$441,MATCH(B383,Cadencier!$A$5:$A$441,0)),"code inconnu")</f>
        <v>Moutarde en portions</v>
      </c>
      <c r="D383" s="29" t="n">
        <f aca="false">IFERROR(INDEX(Cadencier!$J$5:$J$441,MATCH(B383,Cadencier!$A$5:$A$441,0)),0)</f>
        <v>12</v>
      </c>
    </row>
    <row r="384" customFormat="false" ht="15" hidden="false" customHeight="false" outlineLevel="0" collapsed="false">
      <c r="A384" s="28" t="s">
        <v>1727</v>
      </c>
      <c r="B384" s="28" t="s">
        <v>1297</v>
      </c>
      <c r="C384" s="28" t="str">
        <f aca="false">IFERROR(INDEX(Cadencier!$C$5:$C$441,MATCH(B384,Cadencier!$A$5:$A$441,0)),"code inconnu")</f>
        <v>Moutarde de Dijon</v>
      </c>
      <c r="D384" s="29" t="n">
        <f aca="false">IFERROR(INDEX(Cadencier!$J$5:$J$441,MATCH(B384,Cadencier!$A$5:$A$441,0)),0)</f>
        <v>9</v>
      </c>
    </row>
    <row r="385" customFormat="false" ht="15" hidden="false" customHeight="false" outlineLevel="0" collapsed="false">
      <c r="A385" s="28" t="s">
        <v>1298</v>
      </c>
      <c r="B385" s="28" t="s">
        <v>1297</v>
      </c>
      <c r="C385" s="28" t="str">
        <f aca="false">IFERROR(INDEX(Cadencier!$C$5:$C$441,MATCH(B385,Cadencier!$A$5:$A$441,0)),"code inconnu")</f>
        <v>Moutarde de Dijon</v>
      </c>
      <c r="D385" s="29" t="n">
        <f aca="false">IFERROR(INDEX(Cadencier!$J$5:$J$441,MATCH(B385,Cadencier!$A$5:$A$441,0)),0)</f>
        <v>9</v>
      </c>
    </row>
    <row r="386" customFormat="false" ht="15" hidden="false" customHeight="false" outlineLevel="0" collapsed="false">
      <c r="A386" s="28" t="s">
        <v>1728</v>
      </c>
      <c r="B386" s="28" t="s">
        <v>1297</v>
      </c>
      <c r="C386" s="28" t="str">
        <f aca="false">IFERROR(INDEX(Cadencier!$C$5:$C$441,MATCH(B386,Cadencier!$A$5:$A$441,0)),"code inconnu")</f>
        <v>Moutarde de Dijon</v>
      </c>
      <c r="D386" s="29" t="n">
        <f aca="false">IFERROR(INDEX(Cadencier!$J$5:$J$441,MATCH(B386,Cadencier!$A$5:$A$441,0)),0)</f>
        <v>9</v>
      </c>
    </row>
    <row r="387" customFormat="false" ht="15" hidden="false" customHeight="false" outlineLevel="0" collapsed="false">
      <c r="A387" s="28" t="s">
        <v>1296</v>
      </c>
      <c r="B387" s="28" t="s">
        <v>1295</v>
      </c>
      <c r="C387" s="28" t="str">
        <f aca="false">IFERROR(INDEX(Cadencier!$C$5:$C$441,MATCH(B387,Cadencier!$A$5:$A$441,0)),"code inconnu")</f>
        <v>Moutarde à l'ancienne</v>
      </c>
      <c r="D387" s="29" t="n">
        <f aca="false">IFERROR(INDEX(Cadencier!$J$5:$J$441,MATCH(B387,Cadencier!$A$5:$A$441,0)),0)</f>
        <v>9.5</v>
      </c>
    </row>
    <row r="388" customFormat="false" ht="15" hidden="false" customHeight="false" outlineLevel="0" collapsed="false">
      <c r="A388" s="28" t="s">
        <v>1729</v>
      </c>
      <c r="B388" s="28" t="s">
        <v>721</v>
      </c>
      <c r="C388" s="28" t="str">
        <f aca="false">IFERROR(INDEX(Cadencier!$C$5:$C$441,MATCH(B388,Cadencier!$A$5:$A$441,0)),"code inconnu")</f>
        <v>Mozzarella (pain)</v>
      </c>
      <c r="D388" s="29" t="n">
        <f aca="false">IFERROR(INDEX(Cadencier!$J$5:$J$441,MATCH(B388,Cadencier!$A$5:$A$441,0)),0)</f>
        <v>7.5</v>
      </c>
    </row>
    <row r="389" customFormat="false" ht="15" hidden="false" customHeight="false" outlineLevel="0" collapsed="false">
      <c r="A389" s="28" t="s">
        <v>724</v>
      </c>
      <c r="B389" s="28" t="s">
        <v>723</v>
      </c>
      <c r="C389" s="28" t="str">
        <f aca="false">IFERROR(INDEX(Cadencier!$C$5:$C$441,MATCH(B389,Cadencier!$A$5:$A$441,0)),"code inconnu")</f>
        <v>Mozzarella billes</v>
      </c>
      <c r="D389" s="29" t="n">
        <f aca="false">IFERROR(INDEX(Cadencier!$J$5:$J$441,MATCH(B389,Cadencier!$A$5:$A$441,0)),0)</f>
        <v>9</v>
      </c>
    </row>
    <row r="390" customFormat="false" ht="15" hidden="false" customHeight="false" outlineLevel="0" collapsed="false">
      <c r="A390" s="28" t="s">
        <v>726</v>
      </c>
      <c r="B390" s="28" t="s">
        <v>725</v>
      </c>
      <c r="C390" s="28" t="str">
        <f aca="false">IFERROR(INDEX(Cadencier!$C$5:$C$441,MATCH(B390,Cadencier!$A$5:$A$441,0)),"code inconnu")</f>
        <v>Mozzarella râpée</v>
      </c>
      <c r="D390" s="29" t="n">
        <f aca="false">IFERROR(INDEX(Cadencier!$J$5:$J$441,MATCH(B390,Cadencier!$A$5:$A$441,0)),0)</f>
        <v>7.5</v>
      </c>
    </row>
    <row r="391" customFormat="false" ht="15" hidden="false" customHeight="false" outlineLevel="0" collapsed="false">
      <c r="A391" s="28" t="s">
        <v>1730</v>
      </c>
      <c r="B391" s="28" t="s">
        <v>1303</v>
      </c>
      <c r="C391" s="28" t="str">
        <f aca="false">IFERROR(INDEX(Cadencier!$C$5:$C$441,MATCH(B391,Cadencier!$A$5:$A$441,0)),"code inconnu")</f>
        <v>Muscade moulue</v>
      </c>
      <c r="D391" s="29" t="n">
        <f aca="false">IFERROR(INDEX(Cadencier!$J$5:$J$441,MATCH(B391,Cadencier!$A$5:$A$441,0)),0)</f>
        <v>30</v>
      </c>
    </row>
    <row r="392" customFormat="false" ht="15" hidden="false" customHeight="false" outlineLevel="0" collapsed="false">
      <c r="A392" s="28" t="s">
        <v>1731</v>
      </c>
      <c r="B392" s="28" t="s">
        <v>1303</v>
      </c>
      <c r="C392" s="28" t="str">
        <f aca="false">IFERROR(INDEX(Cadencier!$C$5:$C$441,MATCH(B392,Cadencier!$A$5:$A$441,0)),"code inconnu")</f>
        <v>Muscade moulue</v>
      </c>
      <c r="D392" s="29" t="n">
        <f aca="false">IFERROR(INDEX(Cadencier!$J$5:$J$441,MATCH(B392,Cadencier!$A$5:$A$441,0)),0)</f>
        <v>30</v>
      </c>
    </row>
    <row r="393" customFormat="false" ht="15" hidden="false" customHeight="false" outlineLevel="0" collapsed="false">
      <c r="A393" s="28" t="s">
        <v>1732</v>
      </c>
      <c r="B393" s="28" t="s">
        <v>1303</v>
      </c>
      <c r="C393" s="28" t="str">
        <f aca="false">IFERROR(INDEX(Cadencier!$C$5:$C$441,MATCH(B393,Cadencier!$A$5:$A$441,0)),"code inconnu")</f>
        <v>Muscade moulue</v>
      </c>
      <c r="D393" s="29" t="n">
        <f aca="false">IFERROR(INDEX(Cadencier!$J$5:$J$441,MATCH(B393,Cadencier!$A$5:$A$441,0)),0)</f>
        <v>30</v>
      </c>
    </row>
    <row r="394" customFormat="false" ht="15" hidden="false" customHeight="false" outlineLevel="0" collapsed="false">
      <c r="A394" s="28" t="s">
        <v>1733</v>
      </c>
      <c r="B394" s="28" t="s">
        <v>1303</v>
      </c>
      <c r="C394" s="28" t="str">
        <f aca="false">IFERROR(INDEX(Cadencier!$C$5:$C$441,MATCH(B394,Cadencier!$A$5:$A$441,0)),"code inconnu")</f>
        <v>Muscade moulue</v>
      </c>
      <c r="D394" s="29" t="n">
        <f aca="false">IFERROR(INDEX(Cadencier!$J$5:$J$441,MATCH(B394,Cadencier!$A$5:$A$441,0)),0)</f>
        <v>30</v>
      </c>
    </row>
    <row r="395" customFormat="false" ht="15" hidden="false" customHeight="false" outlineLevel="0" collapsed="false">
      <c r="A395" s="28" t="s">
        <v>1734</v>
      </c>
      <c r="B395" s="28" t="s">
        <v>1303</v>
      </c>
      <c r="C395" s="28" t="str">
        <f aca="false">IFERROR(INDEX(Cadencier!$C$5:$C$441,MATCH(B395,Cadencier!$A$5:$A$441,0)),"code inconnu")</f>
        <v>Muscade moulue</v>
      </c>
      <c r="D395" s="29" t="n">
        <f aca="false">IFERROR(INDEX(Cadencier!$J$5:$J$441,MATCH(B395,Cadencier!$A$5:$A$441,0)),0)</f>
        <v>30</v>
      </c>
    </row>
    <row r="396" customFormat="false" ht="15" hidden="false" customHeight="false" outlineLevel="0" collapsed="false">
      <c r="A396" s="28" t="s">
        <v>1735</v>
      </c>
      <c r="B396" s="28" t="s">
        <v>1303</v>
      </c>
      <c r="C396" s="28" t="str">
        <f aca="false">IFERROR(INDEX(Cadencier!$C$5:$C$441,MATCH(B396,Cadencier!$A$5:$A$441,0)),"code inconnu")</f>
        <v>Muscade moulue</v>
      </c>
      <c r="D396" s="29" t="n">
        <f aca="false">IFERROR(INDEX(Cadencier!$J$5:$J$441,MATCH(B396,Cadencier!$A$5:$A$441,0)),0)</f>
        <v>30</v>
      </c>
    </row>
    <row r="397" customFormat="false" ht="15" hidden="false" customHeight="false" outlineLevel="0" collapsed="false">
      <c r="A397" s="28" t="s">
        <v>1736</v>
      </c>
      <c r="B397" s="28" t="s">
        <v>1303</v>
      </c>
      <c r="C397" s="28" t="str">
        <f aca="false">IFERROR(INDEX(Cadencier!$C$5:$C$441,MATCH(B397,Cadencier!$A$5:$A$441,0)),"code inconnu")</f>
        <v>Muscade moulue</v>
      </c>
      <c r="D397" s="29" t="n">
        <f aca="false">IFERROR(INDEX(Cadencier!$J$5:$J$441,MATCH(B397,Cadencier!$A$5:$A$441,0)),0)</f>
        <v>30</v>
      </c>
    </row>
    <row r="398" customFormat="false" ht="15" hidden="false" customHeight="false" outlineLevel="0" collapsed="false">
      <c r="A398" s="28" t="s">
        <v>1737</v>
      </c>
      <c r="B398" s="28" t="s">
        <v>819</v>
      </c>
      <c r="C398" s="28" t="str">
        <f aca="false">IFERROR(INDEX(Cadencier!$C$5:$C$441,MATCH(B398,Cadencier!$A$5:$A$441,0)),"code inconnu")</f>
        <v>Mâche 4ème gamme</v>
      </c>
      <c r="D398" s="29" t="n">
        <f aca="false">IFERROR(INDEX(Cadencier!$J$5:$J$441,MATCH(B398,Cadencier!$A$5:$A$441,0)),0)</f>
        <v>9.5</v>
      </c>
    </row>
    <row r="399" customFormat="false" ht="15" hidden="false" customHeight="false" outlineLevel="0" collapsed="false">
      <c r="A399" s="28" t="s">
        <v>1738</v>
      </c>
      <c r="B399" s="28" t="s">
        <v>819</v>
      </c>
      <c r="C399" s="28" t="str">
        <f aca="false">IFERROR(INDEX(Cadencier!$C$5:$C$441,MATCH(B399,Cadencier!$A$5:$A$441,0)),"code inconnu")</f>
        <v>Mâche 4ème gamme</v>
      </c>
      <c r="D399" s="29" t="n">
        <f aca="false">IFERROR(INDEX(Cadencier!$J$5:$J$441,MATCH(B399,Cadencier!$A$5:$A$441,0)),0)</f>
        <v>9.5</v>
      </c>
    </row>
    <row r="400" customFormat="false" ht="15" hidden="false" customHeight="false" outlineLevel="0" collapsed="false">
      <c r="A400" s="28" t="s">
        <v>1135</v>
      </c>
      <c r="B400" s="28" t="s">
        <v>1134</v>
      </c>
      <c r="C400" s="28" t="str">
        <f aca="false">IFERROR(INDEX(Cadencier!$C$5:$C$441,MATCH(B400,Cadencier!$A$5:$A$441,0)),"code inconnu")</f>
        <v>Mélange de céréales (quinoa, boulgour, lentilles corail)</v>
      </c>
      <c r="D400" s="29" t="n">
        <f aca="false">IFERROR(INDEX(Cadencier!$J$5:$J$441,MATCH(B400,Cadencier!$A$5:$A$441,0)),0)</f>
        <v>4.5</v>
      </c>
    </row>
    <row r="401" customFormat="false" ht="15" hidden="false" customHeight="false" outlineLevel="0" collapsed="false">
      <c r="A401" s="28" t="s">
        <v>989</v>
      </c>
      <c r="B401" s="28" t="s">
        <v>988</v>
      </c>
      <c r="C401" s="28" t="str">
        <f aca="false">IFERROR(INDEX(Cadencier!$C$5:$C$441,MATCH(B401,Cadencier!$A$5:$A$441,0)),"code inconnu")</f>
        <v>Mélange forestier surgelé</v>
      </c>
      <c r="D401" s="29" t="n">
        <f aca="false">IFERROR(INDEX(Cadencier!$J$5:$J$441,MATCH(B401,Cadencier!$A$5:$A$441,0)),0)</f>
        <v>7.5</v>
      </c>
    </row>
    <row r="402" customFormat="false" ht="15" hidden="false" customHeight="false" outlineLevel="0" collapsed="false">
      <c r="A402" s="28" t="s">
        <v>1421</v>
      </c>
      <c r="B402" s="28" t="s">
        <v>1420</v>
      </c>
      <c r="C402" s="28" t="str">
        <f aca="false">IFERROR(INDEX(Cadencier!$C$5:$C$441,MATCH(B402,Cadencier!$A$5:$A$441,0)),"code inconnu")</f>
        <v>Nappage neutre</v>
      </c>
      <c r="D402" s="29" t="n">
        <f aca="false">IFERROR(INDEX(Cadencier!$J$5:$J$441,MATCH(B402,Cadencier!$A$5:$A$441,0)),0)</f>
        <v>5</v>
      </c>
    </row>
    <row r="403" customFormat="false" ht="15" hidden="false" customHeight="false" outlineLevel="0" collapsed="false">
      <c r="A403" s="28" t="s">
        <v>1739</v>
      </c>
      <c r="B403" s="28" t="s">
        <v>1423</v>
      </c>
      <c r="C403" s="28" t="str">
        <f aca="false">IFERROR(INDEX(Cadencier!$C$5:$C$441,MATCH(B403,Cadencier!$A$5:$A$441,0)),"code inconnu")</f>
        <v>Nappage rouge</v>
      </c>
      <c r="D403" s="29" t="n">
        <f aca="false">IFERROR(INDEX(Cadencier!$J$5:$J$441,MATCH(B403,Cadencier!$A$5:$A$441,0)),0)</f>
        <v>5</v>
      </c>
    </row>
    <row r="404" customFormat="false" ht="15" hidden="false" customHeight="false" outlineLevel="0" collapsed="false">
      <c r="A404" s="28" t="s">
        <v>993</v>
      </c>
      <c r="B404" s="28" t="s">
        <v>992</v>
      </c>
      <c r="C404" s="28" t="str">
        <f aca="false">IFERROR(INDEX(Cadencier!$C$5:$C$441,MATCH(B404,Cadencier!$A$5:$A$441,0)),"code inconnu")</f>
        <v>Navets cubes surgelés</v>
      </c>
      <c r="D404" s="29" t="n">
        <f aca="false">IFERROR(INDEX(Cadencier!$J$5:$J$441,MATCH(B404,Cadencier!$A$5:$A$441,0)),0)</f>
        <v>2.2</v>
      </c>
    </row>
    <row r="405" customFormat="false" ht="15" hidden="false" customHeight="false" outlineLevel="0" collapsed="false">
      <c r="A405" s="28" t="s">
        <v>1740</v>
      </c>
      <c r="B405" s="28" t="s">
        <v>994</v>
      </c>
      <c r="C405" s="28" t="str">
        <f aca="false">IFERROR(INDEX(Cadencier!$C$5:$C$441,MATCH(B405,Cadencier!$A$5:$A$441,0)),"code inconnu")</f>
        <v>Nems au poulet surgelés 50 g</v>
      </c>
      <c r="D405" s="29" t="n">
        <f aca="false">IFERROR(INDEX(Cadencier!$J$5:$J$441,MATCH(B405,Cadencier!$A$5:$A$441,0)),0)</f>
        <v>8</v>
      </c>
    </row>
    <row r="406" customFormat="false" ht="15" hidden="false" customHeight="false" outlineLevel="0" collapsed="false">
      <c r="A406" s="28" t="s">
        <v>661</v>
      </c>
      <c r="B406" s="28" t="s">
        <v>660</v>
      </c>
      <c r="C406" s="28" t="str">
        <f aca="false">IFERROR(INDEX(Cadencier!$C$5:$C$441,MATCH(B406,Cadencier!$A$5:$A$441,0)),"code inconnu")</f>
        <v>Noix de Saint-Jacques surgelées 30/40</v>
      </c>
      <c r="D406" s="29" t="n">
        <f aca="false">IFERROR(INDEX(Cadencier!$J$5:$J$441,MATCH(B406,Cadencier!$A$5:$A$441,0)),0)</f>
        <v>24</v>
      </c>
    </row>
    <row r="407" customFormat="false" ht="15" hidden="false" customHeight="false" outlineLevel="0" collapsed="false">
      <c r="A407" s="28" t="s">
        <v>1141</v>
      </c>
      <c r="B407" s="28" t="s">
        <v>1140</v>
      </c>
      <c r="C407" s="28" t="str">
        <f aca="false">IFERROR(INDEX(Cadencier!$C$5:$C$441,MATCH(B407,Cadencier!$A$5:$A$441,0)),"code inconnu")</f>
        <v>Nouilles chinoises aux œufs</v>
      </c>
      <c r="D407" s="29" t="n">
        <f aca="false">IFERROR(INDEX(Cadencier!$J$5:$J$441,MATCH(B407,Cadencier!$A$5:$A$441,0)),0)</f>
        <v>3.5</v>
      </c>
    </row>
    <row r="408" customFormat="false" ht="15" hidden="false" customHeight="false" outlineLevel="0" collapsed="false">
      <c r="A408" s="28" t="s">
        <v>1741</v>
      </c>
      <c r="B408" s="28" t="s">
        <v>996</v>
      </c>
      <c r="C408" s="28" t="str">
        <f aca="false">IFERROR(INDEX(Cadencier!$C$5:$C$441,MATCH(B408,Cadencier!$A$5:$A$441,0)),"code inconnu")</f>
        <v>Nuggets de poulet surgelés 20 g</v>
      </c>
      <c r="D408" s="29" t="n">
        <f aca="false">IFERROR(INDEX(Cadencier!$J$5:$J$441,MATCH(B408,Cadencier!$A$5:$A$441,0)),0)</f>
        <v>6.5</v>
      </c>
    </row>
    <row r="409" customFormat="false" ht="15" hidden="false" customHeight="false" outlineLevel="0" collapsed="false">
      <c r="A409" s="28" t="s">
        <v>1742</v>
      </c>
      <c r="B409" s="28" t="s">
        <v>1243</v>
      </c>
      <c r="C409" s="28" t="str">
        <f aca="false">IFERROR(INDEX(Cadencier!$C$5:$C$441,MATCH(B409,Cadencier!$A$5:$A$441,0)),"code inconnu")</f>
        <v>Sauce nuoc-mâm</v>
      </c>
      <c r="D409" s="29" t="n">
        <f aca="false">IFERROR(INDEX(Cadencier!$J$5:$J$441,MATCH(B409,Cadencier!$A$5:$A$441,0)),0)</f>
        <v>5</v>
      </c>
    </row>
    <row r="410" customFormat="false" ht="15" hidden="false" customHeight="false" outlineLevel="0" collapsed="false">
      <c r="A410" s="28" t="s">
        <v>1743</v>
      </c>
      <c r="B410" s="28" t="s">
        <v>832</v>
      </c>
      <c r="C410" s="28" t="str">
        <f aca="false">IFERROR(INDEX(Cadencier!$C$5:$C$441,MATCH(B410,Cadencier!$A$5:$A$441,0)),"code inconnu")</f>
        <v>Oignons jaunes frais</v>
      </c>
      <c r="D410" s="29" t="n">
        <f aca="false">IFERROR(INDEX(Cadencier!$J$5:$J$441,MATCH(B410,Cadencier!$A$5:$A$441,0)),0)</f>
        <v>1</v>
      </c>
    </row>
    <row r="411" customFormat="false" ht="15" hidden="false" customHeight="false" outlineLevel="0" collapsed="false">
      <c r="A411" s="28" t="s">
        <v>1744</v>
      </c>
      <c r="B411" s="28" t="s">
        <v>830</v>
      </c>
      <c r="C411" s="28" t="str">
        <f aca="false">IFERROR(INDEX(Cadencier!$C$5:$C$441,MATCH(B411,Cadencier!$A$5:$A$441,0)),"code inconnu")</f>
        <v>Oignons épluchés 4ème gamme</v>
      </c>
      <c r="D411" s="29" t="n">
        <f aca="false">IFERROR(INDEX(Cadencier!$J$5:$J$441,MATCH(B411,Cadencier!$A$5:$A$441,0)),0)</f>
        <v>2.5</v>
      </c>
    </row>
    <row r="412" customFormat="false" ht="15" hidden="false" customHeight="false" outlineLevel="0" collapsed="false">
      <c r="A412" s="28" t="s">
        <v>1745</v>
      </c>
      <c r="B412" s="28" t="s">
        <v>998</v>
      </c>
      <c r="C412" s="28" t="str">
        <f aca="false">IFERROR(INDEX(Cadencier!$C$5:$C$441,MATCH(B412,Cadencier!$A$5:$A$441,0)),"code inconnu")</f>
        <v>Oignons ciselés surgelés</v>
      </c>
      <c r="D412" s="29" t="n">
        <f aca="false">IFERROR(INDEX(Cadencier!$J$5:$J$441,MATCH(B412,Cadencier!$A$5:$A$441,0)),0)</f>
        <v>1.9</v>
      </c>
    </row>
    <row r="413" customFormat="false" ht="15" hidden="false" customHeight="false" outlineLevel="0" collapsed="false">
      <c r="A413" s="28" t="s">
        <v>999</v>
      </c>
      <c r="B413" s="28" t="s">
        <v>998</v>
      </c>
      <c r="C413" s="28" t="str">
        <f aca="false">IFERROR(INDEX(Cadencier!$C$5:$C$441,MATCH(B413,Cadencier!$A$5:$A$441,0)),"code inconnu")</f>
        <v>Oignons ciselés surgelés</v>
      </c>
      <c r="D413" s="29" t="n">
        <f aca="false">IFERROR(INDEX(Cadencier!$J$5:$J$441,MATCH(B413,Cadencier!$A$5:$A$441,0)),0)</f>
        <v>1.9</v>
      </c>
    </row>
    <row r="414" customFormat="false" ht="15" hidden="false" customHeight="false" outlineLevel="0" collapsed="false">
      <c r="A414" s="28" t="s">
        <v>1746</v>
      </c>
      <c r="B414" s="28" t="s">
        <v>1000</v>
      </c>
      <c r="C414" s="28" t="str">
        <f aca="false">IFERROR(INDEX(Cadencier!$C$5:$C$441,MATCH(B414,Cadencier!$A$5:$A$441,0)),"code inconnu")</f>
        <v>Oignons cubes surgelés</v>
      </c>
      <c r="D414" s="29" t="n">
        <f aca="false">IFERROR(INDEX(Cadencier!$J$5:$J$441,MATCH(B414,Cadencier!$A$5:$A$441,0)),0)</f>
        <v>1.8</v>
      </c>
    </row>
    <row r="415" customFormat="false" ht="15" hidden="false" customHeight="false" outlineLevel="0" collapsed="false">
      <c r="A415" s="28" t="s">
        <v>1001</v>
      </c>
      <c r="B415" s="28" t="s">
        <v>1000</v>
      </c>
      <c r="C415" s="28" t="str">
        <f aca="false">IFERROR(INDEX(Cadencier!$C$5:$C$441,MATCH(B415,Cadencier!$A$5:$A$441,0)),"code inconnu")</f>
        <v>Oignons cubes surgelés</v>
      </c>
      <c r="D415" s="29" t="n">
        <f aca="false">IFERROR(INDEX(Cadencier!$J$5:$J$441,MATCH(B415,Cadencier!$A$5:$A$441,0)),0)</f>
        <v>1.8</v>
      </c>
    </row>
    <row r="416" customFormat="false" ht="15" hidden="false" customHeight="false" outlineLevel="0" collapsed="false">
      <c r="A416" s="28" t="s">
        <v>1225</v>
      </c>
      <c r="B416" s="28" t="s">
        <v>1224</v>
      </c>
      <c r="C416" s="28" t="str">
        <f aca="false">IFERROR(INDEX(Cadencier!$C$5:$C$441,MATCH(B416,Cadencier!$A$5:$A$441,0)),"code inconnu")</f>
        <v>Oignons grelots au vinaigre</v>
      </c>
      <c r="D416" s="29" t="n">
        <f aca="false">IFERROR(INDEX(Cadencier!$J$5:$J$441,MATCH(B416,Cadencier!$A$5:$A$441,0)),0)</f>
        <v>6</v>
      </c>
    </row>
    <row r="417" customFormat="false" ht="15" hidden="false" customHeight="false" outlineLevel="0" collapsed="false">
      <c r="A417" s="28" t="s">
        <v>835</v>
      </c>
      <c r="B417" s="28" t="s">
        <v>834</v>
      </c>
      <c r="C417" s="28" t="str">
        <f aca="false">IFERROR(INDEX(Cadencier!$C$5:$C$441,MATCH(B417,Cadencier!$A$5:$A$441,0)),"code inconnu")</f>
        <v>Oignons rouges</v>
      </c>
      <c r="D417" s="29" t="n">
        <f aca="false">IFERROR(INDEX(Cadencier!$J$5:$J$441,MATCH(B417,Cadencier!$A$5:$A$441,0)),0)</f>
        <v>1.8</v>
      </c>
    </row>
    <row r="418" customFormat="false" ht="15" hidden="false" customHeight="false" outlineLevel="0" collapsed="false">
      <c r="A418" s="28" t="s">
        <v>1747</v>
      </c>
      <c r="B418" s="28" t="s">
        <v>834</v>
      </c>
      <c r="C418" s="28" t="str">
        <f aca="false">IFERROR(INDEX(Cadencier!$C$5:$C$441,MATCH(B418,Cadencier!$A$5:$A$441,0)),"code inconnu")</f>
        <v>Oignons rouges</v>
      </c>
      <c r="D418" s="29" t="n">
        <f aca="false">IFERROR(INDEX(Cadencier!$J$5:$J$441,MATCH(B418,Cadencier!$A$5:$A$441,0)),0)</f>
        <v>1.8</v>
      </c>
    </row>
    <row r="419" customFormat="false" ht="15" hidden="false" customHeight="false" outlineLevel="0" collapsed="false">
      <c r="A419" s="28" t="s">
        <v>1003</v>
      </c>
      <c r="B419" s="28" t="s">
        <v>1002</v>
      </c>
      <c r="C419" s="28" t="str">
        <f aca="false">IFERROR(INDEX(Cadencier!$C$5:$C$441,MATCH(B419,Cadencier!$A$5:$A$441,0)),"code inconnu")</f>
        <v>Oignons émincés surgelés</v>
      </c>
      <c r="D419" s="29" t="n">
        <f aca="false">IFERROR(INDEX(Cadencier!$J$5:$J$441,MATCH(B419,Cadencier!$A$5:$A$441,0)),0)</f>
        <v>1.9</v>
      </c>
    </row>
    <row r="420" customFormat="false" ht="15" hidden="false" customHeight="false" outlineLevel="0" collapsed="false">
      <c r="A420" s="28" t="s">
        <v>1227</v>
      </c>
      <c r="B420" s="28" t="s">
        <v>1226</v>
      </c>
      <c r="C420" s="28" t="str">
        <f aca="false">IFERROR(INDEX(Cadencier!$C$5:$C$441,MATCH(B420,Cadencier!$A$5:$A$441,0)),"code inconnu")</f>
        <v>Olives noires dénoyautées</v>
      </c>
      <c r="D420" s="29" t="n">
        <f aca="false">IFERROR(INDEX(Cadencier!$J$5:$J$441,MATCH(B420,Cadencier!$A$5:$A$441,0)),0)</f>
        <v>5.5</v>
      </c>
    </row>
    <row r="421" customFormat="false" ht="15" hidden="false" customHeight="false" outlineLevel="0" collapsed="false">
      <c r="A421" s="28" t="s">
        <v>837</v>
      </c>
      <c r="B421" s="28" t="s">
        <v>836</v>
      </c>
      <c r="C421" s="28" t="str">
        <f aca="false">IFERROR(INDEX(Cadencier!$C$5:$C$441,MATCH(B421,Cadencier!$A$5:$A$441,0)),"code inconnu")</f>
        <v>Oranges</v>
      </c>
      <c r="D421" s="29" t="n">
        <f aca="false">IFERROR(INDEX(Cadencier!$J$5:$J$441,MATCH(B421,Cadencier!$A$5:$A$441,0)),0)</f>
        <v>1.6</v>
      </c>
    </row>
    <row r="422" customFormat="false" ht="15" hidden="false" customHeight="false" outlineLevel="0" collapsed="false">
      <c r="A422" s="28" t="s">
        <v>1748</v>
      </c>
      <c r="B422" s="28" t="s">
        <v>1305</v>
      </c>
      <c r="C422" s="28" t="str">
        <f aca="false">IFERROR(INDEX(Cadencier!$C$5:$C$441,MATCH(B422,Cadencier!$A$5:$A$441,0)),"code inconnu")</f>
        <v>Origan séché</v>
      </c>
      <c r="D422" s="29" t="n">
        <f aca="false">IFERROR(INDEX(Cadencier!$J$5:$J$441,MATCH(B422,Cadencier!$A$5:$A$441,0)),0)</f>
        <v>14</v>
      </c>
    </row>
    <row r="423" customFormat="false" ht="15" hidden="false" customHeight="false" outlineLevel="0" collapsed="false">
      <c r="A423" s="28" t="s">
        <v>1306</v>
      </c>
      <c r="B423" s="28" t="s">
        <v>1305</v>
      </c>
      <c r="C423" s="28" t="str">
        <f aca="false">IFERROR(INDEX(Cadencier!$C$5:$C$441,MATCH(B423,Cadencier!$A$5:$A$441,0)),"code inconnu")</f>
        <v>Origan séché</v>
      </c>
      <c r="D423" s="29" t="n">
        <f aca="false">IFERROR(INDEX(Cadencier!$J$5:$J$441,MATCH(B423,Cadencier!$A$5:$A$441,0)),0)</f>
        <v>14</v>
      </c>
    </row>
    <row r="424" customFormat="false" ht="15" hidden="false" customHeight="false" outlineLevel="0" collapsed="false">
      <c r="A424" s="28" t="s">
        <v>1749</v>
      </c>
      <c r="B424" s="28" t="s">
        <v>1305</v>
      </c>
      <c r="C424" s="28" t="str">
        <f aca="false">IFERROR(INDEX(Cadencier!$C$5:$C$441,MATCH(B424,Cadencier!$A$5:$A$441,0)),"code inconnu")</f>
        <v>Origan séché</v>
      </c>
      <c r="D424" s="29" t="n">
        <f aca="false">IFERROR(INDEX(Cadencier!$J$5:$J$441,MATCH(B424,Cadencier!$A$5:$A$441,0)),0)</f>
        <v>14</v>
      </c>
    </row>
    <row r="425" customFormat="false" ht="15" hidden="false" customHeight="false" outlineLevel="0" collapsed="false">
      <c r="A425" s="28" t="s">
        <v>1750</v>
      </c>
      <c r="B425" s="28" t="s">
        <v>1305</v>
      </c>
      <c r="C425" s="28" t="str">
        <f aca="false">IFERROR(INDEX(Cadencier!$C$5:$C$441,MATCH(B425,Cadencier!$A$5:$A$441,0)),"code inconnu")</f>
        <v>Origan séché</v>
      </c>
      <c r="D425" s="29" t="n">
        <f aca="false">IFERROR(INDEX(Cadencier!$J$5:$J$441,MATCH(B425,Cadencier!$A$5:$A$441,0)),0)</f>
        <v>14</v>
      </c>
    </row>
    <row r="426" customFormat="false" ht="15" hidden="false" customHeight="false" outlineLevel="0" collapsed="false">
      <c r="A426" s="28" t="s">
        <v>1426</v>
      </c>
      <c r="B426" s="28" t="s">
        <v>1425</v>
      </c>
      <c r="C426" s="28" t="str">
        <f aca="false">IFERROR(INDEX(Cadencier!$C$5:$C$441,MATCH(B426,Cadencier!$A$5:$A$441,0)),"code inconnu")</f>
        <v>Pain d'épices</v>
      </c>
      <c r="D426" s="29" t="n">
        <f aca="false">IFERROR(INDEX(Cadencier!$J$5:$J$441,MATCH(B426,Cadencier!$A$5:$A$441,0)),0)</f>
        <v>7</v>
      </c>
    </row>
    <row r="427" customFormat="false" ht="15" hidden="false" customHeight="false" outlineLevel="0" collapsed="false">
      <c r="A427" s="28" t="s">
        <v>1751</v>
      </c>
      <c r="B427" s="28" t="s">
        <v>1427</v>
      </c>
      <c r="C427" s="28" t="str">
        <f aca="false">IFERROR(INDEX(Cadencier!$C$5:$C$441,MATCH(B427,Cadencier!$A$5:$A$441,0)),"code inconnu")</f>
        <v>Pain de campagne tranché</v>
      </c>
      <c r="D427" s="29" t="n">
        <f aca="false">IFERROR(INDEX(Cadencier!$J$5:$J$441,MATCH(B427,Cadencier!$A$5:$A$441,0)),0)</f>
        <v>3</v>
      </c>
    </row>
    <row r="428" customFormat="false" ht="15" hidden="false" customHeight="false" outlineLevel="0" collapsed="false">
      <c r="A428" s="28" t="s">
        <v>1752</v>
      </c>
      <c r="B428" s="28" t="s">
        <v>1427</v>
      </c>
      <c r="C428" s="28" t="str">
        <f aca="false">IFERROR(INDEX(Cadencier!$C$5:$C$441,MATCH(B428,Cadencier!$A$5:$A$441,0)),"code inconnu")</f>
        <v>Pain de campagne tranché</v>
      </c>
      <c r="D428" s="29" t="n">
        <f aca="false">IFERROR(INDEX(Cadencier!$J$5:$J$441,MATCH(B428,Cadencier!$A$5:$A$441,0)),0)</f>
        <v>3</v>
      </c>
    </row>
    <row r="429" customFormat="false" ht="15" hidden="false" customHeight="false" outlineLevel="0" collapsed="false">
      <c r="A429" s="28" t="s">
        <v>1753</v>
      </c>
      <c r="B429" s="28" t="s">
        <v>1430</v>
      </c>
      <c r="C429" s="28" t="str">
        <f aca="false">IFERROR(INDEX(Cadencier!$C$5:$C$441,MATCH(B429,Cadencier!$A$5:$A$441,0)),"code inconnu")</f>
        <v>Pain de mie tranché</v>
      </c>
      <c r="D429" s="29" t="n">
        <f aca="false">IFERROR(INDEX(Cadencier!$J$5:$J$441,MATCH(B429,Cadencier!$A$5:$A$441,0)),0)</f>
        <v>2.8</v>
      </c>
    </row>
    <row r="430" customFormat="false" ht="15" hidden="false" customHeight="false" outlineLevel="0" collapsed="false">
      <c r="A430" s="28" t="s">
        <v>1754</v>
      </c>
      <c r="B430" s="28" t="s">
        <v>1430</v>
      </c>
      <c r="C430" s="28" t="str">
        <f aca="false">IFERROR(INDEX(Cadencier!$C$5:$C$441,MATCH(B430,Cadencier!$A$5:$A$441,0)),"code inconnu")</f>
        <v>Pain de mie tranché</v>
      </c>
      <c r="D430" s="29" t="n">
        <f aca="false">IFERROR(INDEX(Cadencier!$J$5:$J$441,MATCH(B430,Cadencier!$A$5:$A$441,0)),0)</f>
        <v>2.8</v>
      </c>
    </row>
    <row r="431" customFormat="false" ht="15" hidden="false" customHeight="false" outlineLevel="0" collapsed="false">
      <c r="A431" s="28" t="s">
        <v>1755</v>
      </c>
      <c r="B431" s="28" t="s">
        <v>1430</v>
      </c>
      <c r="C431" s="28" t="str">
        <f aca="false">IFERROR(INDEX(Cadencier!$C$5:$C$441,MATCH(B431,Cadencier!$A$5:$A$441,0)),"code inconnu")</f>
        <v>Pain de mie tranché</v>
      </c>
      <c r="D431" s="29" t="n">
        <f aca="false">IFERROR(INDEX(Cadencier!$J$5:$J$441,MATCH(B431,Cadencier!$A$5:$A$441,0)),0)</f>
        <v>2.8</v>
      </c>
    </row>
    <row r="432" customFormat="false" ht="15" hidden="false" customHeight="false" outlineLevel="0" collapsed="false">
      <c r="A432" s="28" t="s">
        <v>1756</v>
      </c>
      <c r="B432" s="28" t="s">
        <v>1430</v>
      </c>
      <c r="C432" s="28" t="str">
        <f aca="false">IFERROR(INDEX(Cadencier!$C$5:$C$441,MATCH(B432,Cadencier!$A$5:$A$441,0)),"code inconnu")</f>
        <v>Pain de mie tranché</v>
      </c>
      <c r="D432" s="29" t="n">
        <f aca="false">IFERROR(INDEX(Cadencier!$J$5:$J$441,MATCH(B432,Cadencier!$A$5:$A$441,0)),0)</f>
        <v>2.8</v>
      </c>
    </row>
    <row r="433" customFormat="false" ht="15" hidden="false" customHeight="false" outlineLevel="0" collapsed="false">
      <c r="A433" s="28" t="s">
        <v>1757</v>
      </c>
      <c r="B433" s="28" t="s">
        <v>1430</v>
      </c>
      <c r="C433" s="28" t="str">
        <f aca="false">IFERROR(INDEX(Cadencier!$C$5:$C$441,MATCH(B433,Cadencier!$A$5:$A$441,0)),"code inconnu")</f>
        <v>Pain de mie tranché</v>
      </c>
      <c r="D433" s="29" t="n">
        <f aca="false">IFERROR(INDEX(Cadencier!$J$5:$J$441,MATCH(B433,Cadencier!$A$5:$A$441,0)),0)</f>
        <v>2.8</v>
      </c>
    </row>
    <row r="434" customFormat="false" ht="15" hidden="false" customHeight="false" outlineLevel="0" collapsed="false">
      <c r="A434" s="28" t="s">
        <v>1758</v>
      </c>
      <c r="B434" s="28" t="s">
        <v>1433</v>
      </c>
      <c r="C434" s="28" t="str">
        <f aca="false">IFERROR(INDEX(Cadencier!$C$5:$C$441,MATCH(B434,Cadencier!$A$5:$A$441,0)),"code inconnu")</f>
        <v>Pains hamburger 55 g</v>
      </c>
      <c r="D434" s="29" t="n">
        <f aca="false">IFERROR(INDEX(Cadencier!$J$5:$J$441,MATCH(B434,Cadencier!$A$5:$A$441,0)),0)</f>
        <v>4.55</v>
      </c>
    </row>
    <row r="435" customFormat="false" ht="15" hidden="false" customHeight="false" outlineLevel="0" collapsed="false">
      <c r="A435" s="28" t="s">
        <v>1759</v>
      </c>
      <c r="B435" s="28" t="s">
        <v>1437</v>
      </c>
      <c r="C435" s="28" t="str">
        <f aca="false">IFERROR(INDEX(Cadencier!$C$5:$C$441,MATCH(B435,Cadencier!$A$5:$A$441,0)),"code inconnu")</f>
        <v>Pains pita 70 g</v>
      </c>
      <c r="D435" s="29" t="n">
        <f aca="false">IFERROR(INDEX(Cadencier!$J$5:$J$441,MATCH(B435,Cadencier!$A$5:$A$441,0)),0)</f>
        <v>4.29</v>
      </c>
    </row>
    <row r="436" customFormat="false" ht="15" hidden="false" customHeight="false" outlineLevel="0" collapsed="false">
      <c r="A436" s="28" t="s">
        <v>471</v>
      </c>
      <c r="B436" s="28" t="s">
        <v>470</v>
      </c>
      <c r="C436" s="28" t="str">
        <f aca="false">IFERROR(INDEX(Cadencier!$C$5:$C$441,MATCH(B436,Cadencier!$A$5:$A$441,0)),"code inconnu")</f>
        <v>Palette de porc demi-sel désossée</v>
      </c>
      <c r="D436" s="29" t="n">
        <f aca="false">IFERROR(INDEX(Cadencier!$J$5:$J$441,MATCH(B436,Cadencier!$A$5:$A$441,0)),0)</f>
        <v>7</v>
      </c>
    </row>
    <row r="437" customFormat="false" ht="15" hidden="false" customHeight="false" outlineLevel="0" collapsed="false">
      <c r="A437" s="28" t="s">
        <v>1760</v>
      </c>
      <c r="B437" s="28" t="s">
        <v>838</v>
      </c>
      <c r="C437" s="28" t="str">
        <f aca="false">IFERROR(INDEX(Cadencier!$C$5:$C$441,MATCH(B437,Cadencier!$A$5:$A$441,0)),"code inconnu")</f>
        <v>Pamplemousse rose</v>
      </c>
      <c r="D437" s="29" t="n">
        <f aca="false">IFERROR(INDEX(Cadencier!$J$5:$J$441,MATCH(B437,Cadencier!$A$5:$A$441,0)),0)</f>
        <v>2.25</v>
      </c>
    </row>
    <row r="438" customFormat="false" ht="15" hidden="false" customHeight="false" outlineLevel="0" collapsed="false">
      <c r="A438" s="28" t="s">
        <v>1761</v>
      </c>
      <c r="B438" s="28" t="s">
        <v>841</v>
      </c>
      <c r="C438" s="28" t="str">
        <f aca="false">IFERROR(INDEX(Cadencier!$C$5:$C$441,MATCH(B438,Cadencier!$A$5:$A$441,0)),"code inconnu")</f>
        <v>Panais</v>
      </c>
      <c r="D438" s="29" t="n">
        <f aca="false">IFERROR(INDEX(Cadencier!$J$5:$J$441,MATCH(B438,Cadencier!$A$5:$A$441,0)),0)</f>
        <v>2.5</v>
      </c>
    </row>
    <row r="439" customFormat="false" ht="15" hidden="false" customHeight="false" outlineLevel="0" collapsed="false">
      <c r="A439" s="28" t="s">
        <v>1762</v>
      </c>
      <c r="B439" s="28" t="s">
        <v>1307</v>
      </c>
      <c r="C439" s="28" t="str">
        <f aca="false">IFERROR(INDEX(Cadencier!$C$5:$C$441,MATCH(B439,Cadencier!$A$5:$A$441,0)),"code inconnu")</f>
        <v>Paprika doux</v>
      </c>
      <c r="D439" s="29" t="n">
        <f aca="false">IFERROR(INDEX(Cadencier!$J$5:$J$441,MATCH(B439,Cadencier!$A$5:$A$441,0)),0)</f>
        <v>11</v>
      </c>
    </row>
    <row r="440" customFormat="false" ht="15" hidden="false" customHeight="false" outlineLevel="0" collapsed="false">
      <c r="A440" s="28" t="s">
        <v>1310</v>
      </c>
      <c r="B440" s="28" t="s">
        <v>1309</v>
      </c>
      <c r="C440" s="28" t="str">
        <f aca="false">IFERROR(INDEX(Cadencier!$C$5:$C$441,MATCH(B440,Cadencier!$A$5:$A$441,0)),"code inconnu")</f>
        <v>Paprika fumé</v>
      </c>
      <c r="D440" s="29" t="n">
        <f aca="false">IFERROR(INDEX(Cadencier!$J$5:$J$441,MATCH(B440,Cadencier!$A$5:$A$441,0)),0)</f>
        <v>14</v>
      </c>
    </row>
    <row r="441" customFormat="false" ht="15" hidden="false" customHeight="false" outlineLevel="0" collapsed="false">
      <c r="A441" s="28" t="s">
        <v>1763</v>
      </c>
      <c r="B441" s="28" t="s">
        <v>1307</v>
      </c>
      <c r="C441" s="28" t="str">
        <f aca="false">IFERROR(INDEX(Cadencier!$C$5:$C$441,MATCH(B441,Cadencier!$A$5:$A$441,0)),"code inconnu")</f>
        <v>Paprika doux</v>
      </c>
      <c r="D441" s="29" t="n">
        <f aca="false">IFERROR(INDEX(Cadencier!$J$5:$J$441,MATCH(B441,Cadencier!$A$5:$A$441,0)),0)</f>
        <v>11</v>
      </c>
    </row>
    <row r="442" customFormat="false" ht="15" hidden="false" customHeight="false" outlineLevel="0" collapsed="false">
      <c r="A442" s="28" t="s">
        <v>1764</v>
      </c>
      <c r="B442" s="28" t="s">
        <v>1307</v>
      </c>
      <c r="C442" s="28" t="str">
        <f aca="false">IFERROR(INDEX(Cadencier!$C$5:$C$441,MATCH(B442,Cadencier!$A$5:$A$441,0)),"code inconnu")</f>
        <v>Paprika doux</v>
      </c>
      <c r="D442" s="29" t="n">
        <f aca="false">IFERROR(INDEX(Cadencier!$J$5:$J$441,MATCH(B442,Cadencier!$A$5:$A$441,0)),0)</f>
        <v>11</v>
      </c>
    </row>
    <row r="443" customFormat="false" ht="15" hidden="false" customHeight="false" outlineLevel="0" collapsed="false">
      <c r="A443" s="28" t="s">
        <v>1765</v>
      </c>
      <c r="B443" s="28" t="s">
        <v>727</v>
      </c>
      <c r="C443" s="28" t="str">
        <f aca="false">IFERROR(INDEX(Cadencier!$C$5:$C$441,MATCH(B443,Cadencier!$A$5:$A$441,0)),"code inconnu")</f>
        <v>Parmesan râpé</v>
      </c>
      <c r="D443" s="29" t="n">
        <f aca="false">IFERROR(INDEX(Cadencier!$J$5:$J$441,MATCH(B443,Cadencier!$A$5:$A$441,0)),0)</f>
        <v>16</v>
      </c>
    </row>
    <row r="444" customFormat="false" ht="15" hidden="false" customHeight="false" outlineLevel="0" collapsed="false">
      <c r="A444" s="28" t="s">
        <v>728</v>
      </c>
      <c r="B444" s="28" t="s">
        <v>727</v>
      </c>
      <c r="C444" s="28" t="str">
        <f aca="false">IFERROR(INDEX(Cadencier!$C$5:$C$441,MATCH(B444,Cadencier!$A$5:$A$441,0)),"code inconnu")</f>
        <v>Parmesan râpé</v>
      </c>
      <c r="D444" s="29" t="n">
        <f aca="false">IFERROR(INDEX(Cadencier!$J$5:$J$441,MATCH(B444,Cadencier!$A$5:$A$441,0)),0)</f>
        <v>16</v>
      </c>
    </row>
    <row r="445" customFormat="false" ht="15" hidden="false" customHeight="false" outlineLevel="0" collapsed="false">
      <c r="A445" s="28" t="s">
        <v>1766</v>
      </c>
      <c r="B445" s="28" t="s">
        <v>727</v>
      </c>
      <c r="C445" s="28" t="str">
        <f aca="false">IFERROR(INDEX(Cadencier!$C$5:$C$441,MATCH(B445,Cadencier!$A$5:$A$441,0)),"code inconnu")</f>
        <v>Parmesan râpé</v>
      </c>
      <c r="D445" s="29" t="n">
        <f aca="false">IFERROR(INDEX(Cadencier!$J$5:$J$441,MATCH(B445,Cadencier!$A$5:$A$441,0)),0)</f>
        <v>16</v>
      </c>
    </row>
    <row r="446" customFormat="false" ht="15" hidden="false" customHeight="false" outlineLevel="0" collapsed="false">
      <c r="A446" s="28" t="s">
        <v>30</v>
      </c>
      <c r="B446" s="28" t="s">
        <v>843</v>
      </c>
      <c r="C446" s="28" t="str">
        <f aca="false">IFERROR(INDEX(Cadencier!$C$5:$C$441,MATCH(B446,Cadencier!$A$5:$A$441,0)),"code inconnu")</f>
        <v>Pastèque</v>
      </c>
      <c r="D446" s="29" t="n">
        <f aca="false">IFERROR(INDEX(Cadencier!$J$5:$J$441,MATCH(B446,Cadencier!$A$5:$A$441,0)),0)</f>
        <v>1.1</v>
      </c>
    </row>
    <row r="447" customFormat="false" ht="15" hidden="false" customHeight="false" outlineLevel="0" collapsed="false">
      <c r="A447" s="28" t="s">
        <v>1767</v>
      </c>
      <c r="B447" s="28" t="s">
        <v>1004</v>
      </c>
      <c r="C447" s="28" t="str">
        <f aca="false">IFERROR(INDEX(Cadencier!$C$5:$C$441,MATCH(B447,Cadencier!$A$5:$A$441,0)),"code inconnu")</f>
        <v>Patate douce cubes surgelés</v>
      </c>
      <c r="D447" s="29" t="n">
        <f aca="false">IFERROR(INDEX(Cadencier!$J$5:$J$441,MATCH(B447,Cadencier!$A$5:$A$441,0)),0)</f>
        <v>3.2</v>
      </c>
    </row>
    <row r="448" customFormat="false" ht="15" hidden="false" customHeight="false" outlineLevel="0" collapsed="false">
      <c r="A448" s="28" t="s">
        <v>1768</v>
      </c>
      <c r="B448" s="28" t="s">
        <v>473</v>
      </c>
      <c r="C448" s="28" t="str">
        <f aca="false">IFERROR(INDEX(Cadencier!$C$5:$C$441,MATCH(B448,Cadencier!$A$5:$A$441,0)),"code inconnu")</f>
        <v>Paupiettes de veau 120 g</v>
      </c>
      <c r="D448" s="29" t="n">
        <f aca="false">IFERROR(INDEX(Cadencier!$J$5:$J$441,MATCH(B448,Cadencier!$A$5:$A$441,0)),0)</f>
        <v>11</v>
      </c>
    </row>
    <row r="449" customFormat="false" ht="15" hidden="false" customHeight="false" outlineLevel="0" collapsed="false">
      <c r="A449" s="28" t="s">
        <v>1769</v>
      </c>
      <c r="B449" s="28" t="s">
        <v>544</v>
      </c>
      <c r="C449" s="28" t="str">
        <f aca="false">IFERROR(INDEX(Cadencier!$C$5:$C$441,MATCH(B449,Cadencier!$A$5:$A$441,0)),"code inconnu")</f>
        <v>Paupiettes de volaille 120 g</v>
      </c>
      <c r="D449" s="29" t="n">
        <f aca="false">IFERROR(INDEX(Cadencier!$J$5:$J$441,MATCH(B449,Cadencier!$A$5:$A$441,0)),0)</f>
        <v>8.5</v>
      </c>
    </row>
    <row r="450" customFormat="false" ht="15" hidden="false" customHeight="false" outlineLevel="0" collapsed="false">
      <c r="A450" s="28" t="s">
        <v>1770</v>
      </c>
      <c r="B450" s="28" t="s">
        <v>662</v>
      </c>
      <c r="C450" s="28" t="str">
        <f aca="false">IFERROR(INDEX(Cadencier!$C$5:$C$441,MATCH(B450,Cadencier!$A$5:$A$441,0)),"code inconnu")</f>
        <v>Pavés de poisson blanc surgelés 100 g</v>
      </c>
      <c r="D450" s="29" t="n">
        <f aca="false">IFERROR(INDEX(Cadencier!$J$5:$J$441,MATCH(B450,Cadencier!$A$5:$A$441,0)),0)</f>
        <v>9.5</v>
      </c>
    </row>
    <row r="451" customFormat="false" ht="15" hidden="false" customHeight="false" outlineLevel="0" collapsed="false">
      <c r="A451" s="28" t="s">
        <v>1771</v>
      </c>
      <c r="B451" s="28" t="s">
        <v>664</v>
      </c>
      <c r="C451" s="28" t="str">
        <f aca="false">IFERROR(INDEX(Cadencier!$C$5:$C$441,MATCH(B451,Cadencier!$A$5:$A$441,0)),"code inconnu")</f>
        <v>Pavés de saumon cuits sous vide surgelés</v>
      </c>
      <c r="D451" s="29" t="n">
        <f aca="false">IFERROR(INDEX(Cadencier!$J$5:$J$441,MATCH(B451,Cadencier!$A$5:$A$441,0)),0)</f>
        <v>15</v>
      </c>
    </row>
    <row r="452" customFormat="false" ht="15" hidden="false" customHeight="false" outlineLevel="0" collapsed="false">
      <c r="A452" s="28" t="s">
        <v>1772</v>
      </c>
      <c r="B452" s="28" t="s">
        <v>666</v>
      </c>
      <c r="C452" s="28" t="str">
        <f aca="false">IFERROR(INDEX(Cadencier!$C$5:$C$441,MATCH(B452,Cadencier!$A$5:$A$441,0)),"code inconnu")</f>
        <v>Pavés de saumon surgelés 100 g</v>
      </c>
      <c r="D452" s="29" t="n">
        <f aca="false">IFERROR(INDEX(Cadencier!$J$5:$J$441,MATCH(B452,Cadencier!$A$5:$A$441,0)),0)</f>
        <v>14</v>
      </c>
    </row>
    <row r="453" customFormat="false" ht="15" hidden="false" customHeight="false" outlineLevel="0" collapsed="false">
      <c r="A453" s="28" t="s">
        <v>1773</v>
      </c>
      <c r="B453" s="28" t="s">
        <v>860</v>
      </c>
      <c r="C453" s="28" t="str">
        <f aca="false">IFERROR(INDEX(Cadencier!$C$5:$C$441,MATCH(B453,Cadencier!$A$5:$A$441,0)),"code inconnu")</f>
        <v>Pommes de terre entières épluchées 4ème gamme sous vide</v>
      </c>
      <c r="D453" s="29" t="n">
        <f aca="false">IFERROR(INDEX(Cadencier!$J$5:$J$441,MATCH(B453,Cadencier!$A$5:$A$441,0)),0)</f>
        <v>2</v>
      </c>
    </row>
    <row r="454" customFormat="false" ht="15" hidden="false" customHeight="false" outlineLevel="0" collapsed="false">
      <c r="A454" s="28" t="s">
        <v>1151</v>
      </c>
      <c r="B454" s="28" t="s">
        <v>1150</v>
      </c>
      <c r="C454" s="28" t="str">
        <f aca="false">IFERROR(INDEX(Cadencier!$C$5:$C$441,MATCH(B454,Cadencier!$A$5:$A$441,0)),"code inconnu")</f>
        <v>Perles de pâtes</v>
      </c>
      <c r="D454" s="29" t="n">
        <f aca="false">IFERROR(INDEX(Cadencier!$J$5:$J$441,MATCH(B454,Cadencier!$A$5:$A$441,0)),0)</f>
        <v>2.5</v>
      </c>
    </row>
    <row r="455" customFormat="false" ht="15" hidden="false" customHeight="false" outlineLevel="0" collapsed="false">
      <c r="A455" s="28" t="s">
        <v>1774</v>
      </c>
      <c r="B455" s="28" t="s">
        <v>1006</v>
      </c>
      <c r="C455" s="28" t="str">
        <f aca="false">IFERROR(INDEX(Cadencier!$C$5:$C$441,MATCH(B455,Cadencier!$A$5:$A$441,0)),"code inconnu")</f>
        <v>Persil haché surgelé</v>
      </c>
      <c r="D455" s="29" t="n">
        <f aca="false">IFERROR(INDEX(Cadencier!$J$5:$J$441,MATCH(B455,Cadencier!$A$5:$A$441,0)),0)</f>
        <v>8</v>
      </c>
    </row>
    <row r="456" customFormat="false" ht="15" hidden="false" customHeight="false" outlineLevel="0" collapsed="false">
      <c r="A456" s="28" t="s">
        <v>1775</v>
      </c>
      <c r="B456" s="28" t="s">
        <v>1006</v>
      </c>
      <c r="C456" s="28" t="str">
        <f aca="false">IFERROR(INDEX(Cadencier!$C$5:$C$441,MATCH(B456,Cadencier!$A$5:$A$441,0)),"code inconnu")</f>
        <v>Persil haché surgelé</v>
      </c>
      <c r="D456" s="29" t="n">
        <f aca="false">IFERROR(INDEX(Cadencier!$J$5:$J$441,MATCH(B456,Cadencier!$A$5:$A$441,0)),0)</f>
        <v>8</v>
      </c>
    </row>
    <row r="457" customFormat="false" ht="15" hidden="false" customHeight="false" outlineLevel="0" collapsed="false">
      <c r="A457" s="28" t="s">
        <v>1776</v>
      </c>
      <c r="B457" s="28" t="s">
        <v>1006</v>
      </c>
      <c r="C457" s="28" t="str">
        <f aca="false">IFERROR(INDEX(Cadencier!$C$5:$C$441,MATCH(B457,Cadencier!$A$5:$A$441,0)),"code inconnu")</f>
        <v>Persil haché surgelé</v>
      </c>
      <c r="D457" s="29" t="n">
        <f aca="false">IFERROR(INDEX(Cadencier!$J$5:$J$441,MATCH(B457,Cadencier!$A$5:$A$441,0)),0)</f>
        <v>8</v>
      </c>
    </row>
    <row r="458" customFormat="false" ht="15" hidden="false" customHeight="false" outlineLevel="0" collapsed="false">
      <c r="A458" s="28" t="s">
        <v>1007</v>
      </c>
      <c r="B458" s="28" t="s">
        <v>1006</v>
      </c>
      <c r="C458" s="28" t="str">
        <f aca="false">IFERROR(INDEX(Cadencier!$C$5:$C$441,MATCH(B458,Cadencier!$A$5:$A$441,0)),"code inconnu")</f>
        <v>Persil haché surgelé</v>
      </c>
      <c r="D458" s="29" t="n">
        <f aca="false">IFERROR(INDEX(Cadencier!$J$5:$J$441,MATCH(B458,Cadencier!$A$5:$A$441,0)),0)</f>
        <v>8</v>
      </c>
    </row>
    <row r="459" customFormat="false" ht="15" hidden="false" customHeight="false" outlineLevel="0" collapsed="false">
      <c r="A459" s="28" t="s">
        <v>1777</v>
      </c>
      <c r="B459" s="28" t="s">
        <v>1006</v>
      </c>
      <c r="C459" s="28" t="str">
        <f aca="false">IFERROR(INDEX(Cadencier!$C$5:$C$441,MATCH(B459,Cadencier!$A$5:$A$441,0)),"code inconnu")</f>
        <v>Persil haché surgelé</v>
      </c>
      <c r="D459" s="29" t="n">
        <f aca="false">IFERROR(INDEX(Cadencier!$J$5:$J$441,MATCH(B459,Cadencier!$A$5:$A$441,0)),0)</f>
        <v>8</v>
      </c>
    </row>
    <row r="460" customFormat="false" ht="15" hidden="false" customHeight="false" outlineLevel="0" collapsed="false">
      <c r="A460" s="28" t="s">
        <v>1778</v>
      </c>
      <c r="B460" s="28" t="s">
        <v>1006</v>
      </c>
      <c r="C460" s="28" t="str">
        <f aca="false">IFERROR(INDEX(Cadencier!$C$5:$C$441,MATCH(B460,Cadencier!$A$5:$A$441,0)),"code inconnu")</f>
        <v>Persil haché surgelé</v>
      </c>
      <c r="D460" s="29" t="n">
        <f aca="false">IFERROR(INDEX(Cadencier!$J$5:$J$441,MATCH(B460,Cadencier!$A$5:$A$441,0)),0)</f>
        <v>8</v>
      </c>
    </row>
    <row r="461" customFormat="false" ht="15" hidden="false" customHeight="false" outlineLevel="0" collapsed="false">
      <c r="A461" s="28" t="s">
        <v>1779</v>
      </c>
      <c r="B461" s="28" t="s">
        <v>1006</v>
      </c>
      <c r="C461" s="28" t="str">
        <f aca="false">IFERROR(INDEX(Cadencier!$C$5:$C$441,MATCH(B461,Cadencier!$A$5:$A$441,0)),"code inconnu")</f>
        <v>Persil haché surgelé</v>
      </c>
      <c r="D461" s="29" t="n">
        <f aca="false">IFERROR(INDEX(Cadencier!$J$5:$J$441,MATCH(B461,Cadencier!$A$5:$A$441,0)),0)</f>
        <v>8</v>
      </c>
    </row>
    <row r="462" customFormat="false" ht="15" hidden="false" customHeight="false" outlineLevel="0" collapsed="false">
      <c r="A462" s="28" t="s">
        <v>1780</v>
      </c>
      <c r="B462" s="28" t="s">
        <v>1006</v>
      </c>
      <c r="C462" s="28" t="str">
        <f aca="false">IFERROR(INDEX(Cadencier!$C$5:$C$441,MATCH(B462,Cadencier!$A$5:$A$441,0)),"code inconnu")</f>
        <v>Persil haché surgelé</v>
      </c>
      <c r="D462" s="29" t="n">
        <f aca="false">IFERROR(INDEX(Cadencier!$J$5:$J$441,MATCH(B462,Cadencier!$A$5:$A$441,0)),0)</f>
        <v>8</v>
      </c>
    </row>
    <row r="463" customFormat="false" ht="15" hidden="false" customHeight="false" outlineLevel="0" collapsed="false">
      <c r="A463" s="28" t="s">
        <v>1781</v>
      </c>
      <c r="B463" s="28" t="s">
        <v>1006</v>
      </c>
      <c r="C463" s="28" t="str">
        <f aca="false">IFERROR(INDEX(Cadencier!$C$5:$C$441,MATCH(B463,Cadencier!$A$5:$A$441,0)),"code inconnu")</f>
        <v>Persil haché surgelé</v>
      </c>
      <c r="D463" s="29" t="n">
        <f aca="false">IFERROR(INDEX(Cadencier!$J$5:$J$441,MATCH(B463,Cadencier!$A$5:$A$441,0)),0)</f>
        <v>8</v>
      </c>
    </row>
    <row r="464" customFormat="false" ht="15" hidden="false" customHeight="false" outlineLevel="0" collapsed="false">
      <c r="A464" s="28" t="s">
        <v>1782</v>
      </c>
      <c r="B464" s="28" t="s">
        <v>1006</v>
      </c>
      <c r="C464" s="28" t="str">
        <f aca="false">IFERROR(INDEX(Cadencier!$C$5:$C$441,MATCH(B464,Cadencier!$A$5:$A$441,0)),"code inconnu")</f>
        <v>Persil haché surgelé</v>
      </c>
      <c r="D464" s="29" t="n">
        <f aca="false">IFERROR(INDEX(Cadencier!$J$5:$J$441,MATCH(B464,Cadencier!$A$5:$A$441,0)),0)</f>
        <v>8</v>
      </c>
    </row>
    <row r="465" customFormat="false" ht="15" hidden="false" customHeight="false" outlineLevel="0" collapsed="false">
      <c r="A465" s="28" t="s">
        <v>1229</v>
      </c>
      <c r="B465" s="28" t="s">
        <v>1228</v>
      </c>
      <c r="C465" s="28" t="str">
        <f aca="false">IFERROR(INDEX(Cadencier!$C$5:$C$441,MATCH(B465,Cadencier!$A$5:$A$441,0)),"code inconnu")</f>
        <v>Pesto au basilic</v>
      </c>
      <c r="D465" s="29" t="n">
        <f aca="false">IFERROR(INDEX(Cadencier!$J$5:$J$441,MATCH(B465,Cadencier!$A$5:$A$441,0)),0)</f>
        <v>9</v>
      </c>
    </row>
    <row r="466" customFormat="false" ht="15" hidden="false" customHeight="false" outlineLevel="0" collapsed="false">
      <c r="A466" s="28" t="s">
        <v>1783</v>
      </c>
      <c r="B466" s="28" t="s">
        <v>1228</v>
      </c>
      <c r="C466" s="28" t="str">
        <f aca="false">IFERROR(INDEX(Cadencier!$C$5:$C$441,MATCH(B466,Cadencier!$A$5:$A$441,0)),"code inconnu")</f>
        <v>Pesto au basilic</v>
      </c>
      <c r="D466" s="29" t="n">
        <f aca="false">IFERROR(INDEX(Cadencier!$J$5:$J$441,MATCH(B466,Cadencier!$A$5:$A$441,0)),0)</f>
        <v>9</v>
      </c>
    </row>
    <row r="467" customFormat="false" ht="15" hidden="false" customHeight="false" outlineLevel="0" collapsed="false">
      <c r="A467" s="28" t="s">
        <v>1784</v>
      </c>
      <c r="B467" s="28" t="s">
        <v>476</v>
      </c>
      <c r="C467" s="28" t="str">
        <f aca="false">IFERROR(INDEX(Cadencier!$C$5:$C$441,MATCH(B467,Cadencier!$A$5:$A$441,0)),"code inconnu")</f>
        <v>Petit salé demi-sel (palette et poitrine)</v>
      </c>
      <c r="D467" s="29" t="n">
        <f aca="false">IFERROR(INDEX(Cadencier!$J$5:$J$441,MATCH(B467,Cadencier!$A$5:$A$441,0)),0)</f>
        <v>7</v>
      </c>
    </row>
    <row r="468" customFormat="false" ht="15" hidden="false" customHeight="false" outlineLevel="0" collapsed="false">
      <c r="A468" s="28" t="s">
        <v>1009</v>
      </c>
      <c r="B468" s="28" t="s">
        <v>1008</v>
      </c>
      <c r="C468" s="28" t="str">
        <f aca="false">IFERROR(INDEX(Cadencier!$C$5:$C$441,MATCH(B468,Cadencier!$A$5:$A$441,0)),"code inconnu")</f>
        <v>Petits pois surgelés</v>
      </c>
      <c r="D468" s="29" t="n">
        <f aca="false">IFERROR(INDEX(Cadencier!$J$5:$J$441,MATCH(B468,Cadencier!$A$5:$A$441,0)),0)</f>
        <v>2.3</v>
      </c>
    </row>
    <row r="469" customFormat="false" ht="15" hidden="false" customHeight="false" outlineLevel="0" collapsed="false">
      <c r="A469" s="28" t="s">
        <v>479</v>
      </c>
      <c r="B469" s="28" t="s">
        <v>478</v>
      </c>
      <c r="C469" s="28" t="str">
        <f aca="false">IFERROR(INDEX(Cadencier!$C$5:$C$441,MATCH(B469,Cadencier!$A$5:$A$441,0)),"code inconnu")</f>
        <v>Pieds de veau fendus</v>
      </c>
      <c r="D469" s="29" t="n">
        <f aca="false">IFERROR(INDEX(Cadencier!$J$5:$J$441,MATCH(B469,Cadencier!$A$5:$A$441,0)),0)</f>
        <v>4.5</v>
      </c>
    </row>
    <row r="470" customFormat="false" ht="15" hidden="false" customHeight="false" outlineLevel="0" collapsed="false">
      <c r="A470" s="28" t="s">
        <v>1153</v>
      </c>
      <c r="B470" s="28" t="s">
        <v>1152</v>
      </c>
      <c r="C470" s="28" t="str">
        <f aca="false">IFERROR(INDEX(Cadencier!$C$5:$C$441,MATCH(B470,Cadencier!$A$5:$A$441,0)),"code inconnu")</f>
        <v>Pignons de pin</v>
      </c>
      <c r="D470" s="29" t="n">
        <f aca="false">IFERROR(INDEX(Cadencier!$J$5:$J$441,MATCH(B470,Cadencier!$A$5:$A$441,0)),0)</f>
        <v>38</v>
      </c>
    </row>
    <row r="471" customFormat="false" ht="15" hidden="false" customHeight="false" outlineLevel="0" collapsed="false">
      <c r="A471" s="28" t="s">
        <v>1785</v>
      </c>
      <c r="B471" s="28" t="s">
        <v>1311</v>
      </c>
      <c r="C471" s="28" t="str">
        <f aca="false">IFERROR(INDEX(Cadencier!$C$5:$C$441,MATCH(B471,Cadencier!$A$5:$A$441,0)),"code inconnu")</f>
        <v>Piment d'Espelette</v>
      </c>
      <c r="D471" s="29" t="n">
        <f aca="false">IFERROR(INDEX(Cadencier!$J$5:$J$441,MATCH(B471,Cadencier!$A$5:$A$441,0)),0)</f>
        <v>60</v>
      </c>
    </row>
    <row r="472" customFormat="false" ht="15" hidden="false" customHeight="false" outlineLevel="0" collapsed="false">
      <c r="A472" s="28" t="s">
        <v>1312</v>
      </c>
      <c r="B472" s="28" t="s">
        <v>1311</v>
      </c>
      <c r="C472" s="28" t="str">
        <f aca="false">IFERROR(INDEX(Cadencier!$C$5:$C$441,MATCH(B472,Cadencier!$A$5:$A$441,0)),"code inconnu")</f>
        <v>Piment d'Espelette</v>
      </c>
      <c r="D472" s="29" t="n">
        <f aca="false">IFERROR(INDEX(Cadencier!$J$5:$J$441,MATCH(B472,Cadencier!$A$5:$A$441,0)),0)</f>
        <v>60</v>
      </c>
    </row>
    <row r="473" customFormat="false" ht="15" hidden="false" customHeight="false" outlineLevel="0" collapsed="false">
      <c r="A473" s="28" t="s">
        <v>1786</v>
      </c>
      <c r="B473" s="28" t="s">
        <v>1311</v>
      </c>
      <c r="C473" s="28" t="str">
        <f aca="false">IFERROR(INDEX(Cadencier!$C$5:$C$441,MATCH(B473,Cadencier!$A$5:$A$441,0)),"code inconnu")</f>
        <v>Piment d'Espelette</v>
      </c>
      <c r="D473" s="29" t="n">
        <f aca="false">IFERROR(INDEX(Cadencier!$J$5:$J$441,MATCH(B473,Cadencier!$A$5:$A$441,0)),0)</f>
        <v>60</v>
      </c>
    </row>
    <row r="474" customFormat="false" ht="15" hidden="false" customHeight="false" outlineLevel="0" collapsed="false">
      <c r="A474" s="28" t="s">
        <v>1787</v>
      </c>
      <c r="B474" s="28" t="s">
        <v>1313</v>
      </c>
      <c r="C474" s="28" t="str">
        <f aca="false">IFERROR(INDEX(Cadencier!$C$5:$C$441,MATCH(B474,Cadencier!$A$5:$A$441,0)),"code inconnu")</f>
        <v>Piment doux moulu</v>
      </c>
      <c r="D474" s="29" t="n">
        <f aca="false">IFERROR(INDEX(Cadencier!$J$5:$J$441,MATCH(B474,Cadencier!$A$5:$A$441,0)),0)</f>
        <v>12</v>
      </c>
    </row>
    <row r="475" customFormat="false" ht="15" hidden="false" customHeight="false" outlineLevel="0" collapsed="false">
      <c r="A475" s="28" t="s">
        <v>1788</v>
      </c>
      <c r="B475" s="28" t="s">
        <v>1010</v>
      </c>
      <c r="C475" s="28" t="str">
        <f aca="false">IFERROR(INDEX(Cadencier!$C$5:$C$441,MATCH(B475,Cadencier!$A$5:$A$441,0)),"code inconnu")</f>
        <v>Pizzas surgelées 400 g</v>
      </c>
      <c r="D475" s="29" t="n">
        <f aca="false">IFERROR(INDEX(Cadencier!$J$5:$J$441,MATCH(B475,Cadencier!$A$5:$A$441,0)),0)</f>
        <v>6.5</v>
      </c>
    </row>
    <row r="476" customFormat="false" ht="15" hidden="false" customHeight="false" outlineLevel="0" collapsed="false">
      <c r="A476" s="28" t="s">
        <v>1789</v>
      </c>
      <c r="B476" s="28" t="s">
        <v>468</v>
      </c>
      <c r="C476" s="28" t="str">
        <f aca="false">IFERROR(INDEX(Cadencier!$C$5:$C$441,MATCH(B476,Cadencier!$A$5:$A$441,0)),"code inconnu")</f>
        <v>Paleron / macreuse de bœuf en morceaux 80 g</v>
      </c>
      <c r="D476" s="29" t="n">
        <f aca="false">IFERROR(INDEX(Cadencier!$J$5:$J$441,MATCH(B476,Cadencier!$A$5:$A$441,0)),0)</f>
        <v>11</v>
      </c>
    </row>
    <row r="477" customFormat="false" ht="15" hidden="false" customHeight="false" outlineLevel="0" collapsed="false">
      <c r="A477" s="28" t="s">
        <v>1155</v>
      </c>
      <c r="B477" s="28" t="s">
        <v>1154</v>
      </c>
      <c r="C477" s="28" t="str">
        <f aca="false">IFERROR(INDEX(Cadencier!$C$5:$C$441,MATCH(B477,Cadencier!$A$5:$A$441,0)),"code inconnu")</f>
        <v>Plaques de lasagnes sans précuisson</v>
      </c>
      <c r="D477" s="29" t="n">
        <f aca="false">IFERROR(INDEX(Cadencier!$J$5:$J$441,MATCH(B477,Cadencier!$A$5:$A$441,0)),0)</f>
        <v>3</v>
      </c>
    </row>
    <row r="478" customFormat="false" ht="15" hidden="false" customHeight="false" outlineLevel="0" collapsed="false">
      <c r="A478" s="28" t="s">
        <v>1790</v>
      </c>
      <c r="B478" s="28" t="s">
        <v>1230</v>
      </c>
      <c r="C478" s="28" t="str">
        <f aca="false">IFERROR(INDEX(Cadencier!$C$5:$C$441,MATCH(B478,Cadencier!$A$5:$A$441,0)),"code inconnu")</f>
        <v>Pointes d'asperges (boîte)</v>
      </c>
      <c r="D478" s="29" t="n">
        <f aca="false">IFERROR(INDEX(Cadencier!$J$5:$J$441,MATCH(B478,Cadencier!$A$5:$A$441,0)),0)</f>
        <v>9</v>
      </c>
    </row>
    <row r="479" customFormat="false" ht="15" hidden="false" customHeight="false" outlineLevel="0" collapsed="false">
      <c r="A479" s="28" t="s">
        <v>1791</v>
      </c>
      <c r="B479" s="28" t="s">
        <v>845</v>
      </c>
      <c r="C479" s="28" t="str">
        <f aca="false">IFERROR(INDEX(Cadencier!$C$5:$C$441,MATCH(B479,Cadencier!$A$5:$A$441,0)),"code inconnu")</f>
        <v>Poireaux frais</v>
      </c>
      <c r="D479" s="29" t="n">
        <f aca="false">IFERROR(INDEX(Cadencier!$J$5:$J$441,MATCH(B479,Cadencier!$A$5:$A$441,0)),0)</f>
        <v>2</v>
      </c>
    </row>
    <row r="480" customFormat="false" ht="15" hidden="false" customHeight="false" outlineLevel="0" collapsed="false">
      <c r="A480" s="28" t="s">
        <v>1018</v>
      </c>
      <c r="B480" s="28" t="s">
        <v>1017</v>
      </c>
      <c r="C480" s="28" t="str">
        <f aca="false">IFERROR(INDEX(Cadencier!$C$5:$C$441,MATCH(B480,Cadencier!$A$5:$A$441,0)),"code inconnu")</f>
        <v>Poireaux rondelles surgelés</v>
      </c>
      <c r="D480" s="29" t="n">
        <f aca="false">IFERROR(INDEX(Cadencier!$J$5:$J$441,MATCH(B480,Cadencier!$A$5:$A$441,0)),0)</f>
        <v>2.6</v>
      </c>
    </row>
    <row r="481" customFormat="false" ht="15" hidden="false" customHeight="false" outlineLevel="0" collapsed="false">
      <c r="A481" s="28" t="s">
        <v>1020</v>
      </c>
      <c r="B481" s="28" t="s">
        <v>1019</v>
      </c>
      <c r="C481" s="28" t="str">
        <f aca="false">IFERROR(INDEX(Cadencier!$C$5:$C$441,MATCH(B481,Cadencier!$A$5:$A$441,0)),"code inconnu")</f>
        <v>Poireaux tronçons surgelés</v>
      </c>
      <c r="D481" s="29" t="n">
        <f aca="false">IFERROR(INDEX(Cadencier!$J$5:$J$441,MATCH(B481,Cadencier!$A$5:$A$441,0)),0)</f>
        <v>2.8</v>
      </c>
    </row>
    <row r="482" customFormat="false" ht="15" hidden="false" customHeight="false" outlineLevel="0" collapsed="false">
      <c r="A482" s="28" t="s">
        <v>1016</v>
      </c>
      <c r="B482" s="28" t="s">
        <v>1015</v>
      </c>
      <c r="C482" s="28" t="str">
        <f aca="false">IFERROR(INDEX(Cadencier!$C$5:$C$441,MATCH(B482,Cadencier!$A$5:$A$441,0)),"code inconnu")</f>
        <v>Poireaux émincés surgelés</v>
      </c>
      <c r="D482" s="29" t="n">
        <f aca="false">IFERROR(INDEX(Cadencier!$J$5:$J$441,MATCH(B482,Cadencier!$A$5:$A$441,0)),0)</f>
        <v>2.6</v>
      </c>
    </row>
    <row r="483" customFormat="false" ht="15" hidden="false" customHeight="false" outlineLevel="0" collapsed="false">
      <c r="A483" s="28" t="s">
        <v>1792</v>
      </c>
      <c r="B483" s="28" t="s">
        <v>1015</v>
      </c>
      <c r="C483" s="28" t="str">
        <f aca="false">IFERROR(INDEX(Cadencier!$C$5:$C$441,MATCH(B483,Cadencier!$A$5:$A$441,0)),"code inconnu")</f>
        <v>Poireaux émincés surgelés</v>
      </c>
      <c r="D483" s="29" t="n">
        <f aca="false">IFERROR(INDEX(Cadencier!$J$5:$J$441,MATCH(B483,Cadencier!$A$5:$A$441,0)),0)</f>
        <v>2.6</v>
      </c>
    </row>
    <row r="484" customFormat="false" ht="15" hidden="false" customHeight="false" outlineLevel="0" collapsed="false">
      <c r="A484" s="28" t="s">
        <v>848</v>
      </c>
      <c r="B484" s="28" t="s">
        <v>847</v>
      </c>
      <c r="C484" s="28" t="str">
        <f aca="false">IFERROR(INDEX(Cadencier!$C$5:$C$441,MATCH(B484,Cadencier!$A$5:$A$441,0)),"code inconnu")</f>
        <v>Poires</v>
      </c>
      <c r="D484" s="29" t="n">
        <f aca="false">IFERROR(INDEX(Cadencier!$J$5:$J$441,MATCH(B484,Cadencier!$A$5:$A$441,0)),0)</f>
        <v>2.4</v>
      </c>
    </row>
    <row r="485" customFormat="false" ht="15" hidden="false" customHeight="false" outlineLevel="0" collapsed="false">
      <c r="A485" s="28" t="s">
        <v>1793</v>
      </c>
      <c r="B485" s="28" t="s">
        <v>847</v>
      </c>
      <c r="C485" s="28" t="str">
        <f aca="false">IFERROR(INDEX(Cadencier!$C$5:$C$441,MATCH(B485,Cadencier!$A$5:$A$441,0)),"code inconnu")</f>
        <v>Poires</v>
      </c>
      <c r="D485" s="29" t="n">
        <f aca="false">IFERROR(INDEX(Cadencier!$J$5:$J$441,MATCH(B485,Cadencier!$A$5:$A$441,0)),0)</f>
        <v>2.4</v>
      </c>
    </row>
    <row r="486" customFormat="false" ht="15" hidden="false" customHeight="false" outlineLevel="0" collapsed="false">
      <c r="A486" s="28" t="s">
        <v>1157</v>
      </c>
      <c r="B486" s="28" t="s">
        <v>1156</v>
      </c>
      <c r="C486" s="28" t="str">
        <f aca="false">IFERROR(INDEX(Cadencier!$C$5:$C$441,MATCH(B486,Cadencier!$A$5:$A$441,0)),"code inconnu")</f>
        <v>Pois cassés secs</v>
      </c>
      <c r="D486" s="29" t="n">
        <f aca="false">IFERROR(INDEX(Cadencier!$J$5:$J$441,MATCH(B486,Cadencier!$A$5:$A$441,0)),0)</f>
        <v>2.8</v>
      </c>
    </row>
    <row r="487" customFormat="false" ht="15" hidden="false" customHeight="false" outlineLevel="0" collapsed="false">
      <c r="A487" s="28" t="s">
        <v>1794</v>
      </c>
      <c r="B487" s="28" t="s">
        <v>1158</v>
      </c>
      <c r="C487" s="28" t="str">
        <f aca="false">IFERROR(INDEX(Cadencier!$C$5:$C$441,MATCH(B487,Cadencier!$A$5:$A$441,0)),"code inconnu")</f>
        <v>Pois chiches secs</v>
      </c>
      <c r="D487" s="29" t="n">
        <f aca="false">IFERROR(INDEX(Cadencier!$J$5:$J$441,MATCH(B487,Cadencier!$A$5:$A$441,0)),0)</f>
        <v>3.2</v>
      </c>
    </row>
    <row r="488" customFormat="false" ht="15" hidden="false" customHeight="false" outlineLevel="0" collapsed="false">
      <c r="A488" s="28" t="s">
        <v>1795</v>
      </c>
      <c r="B488" s="28" t="s">
        <v>1232</v>
      </c>
      <c r="C488" s="28" t="str">
        <f aca="false">IFERROR(INDEX(Cadencier!$C$5:$C$441,MATCH(B488,Cadencier!$A$5:$A$441,0)),"code inconnu")</f>
        <v>Pois chiches cuits (boîte 5/1)</v>
      </c>
      <c r="D488" s="29" t="n">
        <f aca="false">IFERROR(INDEX(Cadencier!$J$5:$J$441,MATCH(B488,Cadencier!$A$5:$A$441,0)),0)</f>
        <v>2</v>
      </c>
    </row>
    <row r="489" customFormat="false" ht="15" hidden="false" customHeight="false" outlineLevel="0" collapsed="false">
      <c r="A489" s="28" t="s">
        <v>1159</v>
      </c>
      <c r="B489" s="28" t="s">
        <v>1158</v>
      </c>
      <c r="C489" s="28" t="str">
        <f aca="false">IFERROR(INDEX(Cadencier!$C$5:$C$441,MATCH(B489,Cadencier!$A$5:$A$441,0)),"code inconnu")</f>
        <v>Pois chiches secs</v>
      </c>
      <c r="D489" s="29" t="n">
        <f aca="false">IFERROR(INDEX(Cadencier!$J$5:$J$441,MATCH(B489,Cadencier!$A$5:$A$441,0)),0)</f>
        <v>3.2</v>
      </c>
    </row>
    <row r="490" customFormat="false" ht="15" hidden="false" customHeight="false" outlineLevel="0" collapsed="false">
      <c r="A490" s="28" t="s">
        <v>481</v>
      </c>
      <c r="B490" s="28" t="s">
        <v>480</v>
      </c>
      <c r="C490" s="28" t="str">
        <f aca="false">IFERROR(INDEX(Cadencier!$C$5:$C$441,MATCH(B490,Cadencier!$A$5:$A$441,0)),"code inconnu")</f>
        <v>Poitrine de porc demi-sel</v>
      </c>
      <c r="D490" s="29" t="n">
        <f aca="false">IFERROR(INDEX(Cadencier!$J$5:$J$441,MATCH(B490,Cadencier!$A$5:$A$441,0)),0)</f>
        <v>6.5</v>
      </c>
    </row>
    <row r="491" customFormat="false" ht="15" hidden="false" customHeight="false" outlineLevel="0" collapsed="false">
      <c r="A491" s="28" t="s">
        <v>606</v>
      </c>
      <c r="B491" s="28" t="s">
        <v>605</v>
      </c>
      <c r="C491" s="28" t="str">
        <f aca="false">IFERROR(INDEX(Cadencier!$C$5:$C$441,MATCH(B491,Cadencier!$A$5:$A$441,0)),"code inconnu")</f>
        <v>Poitrine fumée</v>
      </c>
      <c r="D491" s="29" t="n">
        <f aca="false">IFERROR(INDEX(Cadencier!$J$5:$J$441,MATCH(B491,Cadencier!$A$5:$A$441,0)),0)</f>
        <v>8.5</v>
      </c>
    </row>
    <row r="492" customFormat="false" ht="15" hidden="false" customHeight="false" outlineLevel="0" collapsed="false">
      <c r="A492" s="28" t="s">
        <v>1796</v>
      </c>
      <c r="B492" s="28" t="s">
        <v>1319</v>
      </c>
      <c r="C492" s="28" t="str">
        <f aca="false">IFERROR(INDEX(Cadencier!$C$5:$C$441,MATCH(B492,Cadencier!$A$5:$A$441,0)),"code inconnu")</f>
        <v>Poivre noir moulu</v>
      </c>
      <c r="D492" s="29" t="n">
        <f aca="false">IFERROR(INDEX(Cadencier!$J$5:$J$441,MATCH(B492,Cadencier!$A$5:$A$441,0)),0)</f>
        <v>18</v>
      </c>
    </row>
    <row r="493" customFormat="false" ht="15" hidden="false" customHeight="false" outlineLevel="0" collapsed="false">
      <c r="A493" s="28" t="s">
        <v>1797</v>
      </c>
      <c r="B493" s="28" t="s">
        <v>1319</v>
      </c>
      <c r="C493" s="28" t="str">
        <f aca="false">IFERROR(INDEX(Cadencier!$C$5:$C$441,MATCH(B493,Cadencier!$A$5:$A$441,0)),"code inconnu")</f>
        <v>Poivre noir moulu</v>
      </c>
      <c r="D493" s="29" t="n">
        <f aca="false">IFERROR(INDEX(Cadencier!$J$5:$J$441,MATCH(B493,Cadencier!$A$5:$A$441,0)),0)</f>
        <v>18</v>
      </c>
    </row>
    <row r="494" customFormat="false" ht="15" hidden="false" customHeight="false" outlineLevel="0" collapsed="false">
      <c r="A494" s="28" t="s">
        <v>1798</v>
      </c>
      <c r="B494" s="28" t="s">
        <v>1319</v>
      </c>
      <c r="C494" s="28" t="str">
        <f aca="false">IFERROR(INDEX(Cadencier!$C$5:$C$441,MATCH(B494,Cadencier!$A$5:$A$441,0)),"code inconnu")</f>
        <v>Poivre noir moulu</v>
      </c>
      <c r="D494" s="29" t="n">
        <f aca="false">IFERROR(INDEX(Cadencier!$J$5:$J$441,MATCH(B494,Cadencier!$A$5:$A$441,0)),0)</f>
        <v>18</v>
      </c>
    </row>
    <row r="495" customFormat="false" ht="15" hidden="false" customHeight="false" outlineLevel="0" collapsed="false">
      <c r="A495" s="28" t="s">
        <v>1799</v>
      </c>
      <c r="B495" s="28" t="s">
        <v>1319</v>
      </c>
      <c r="C495" s="28" t="str">
        <f aca="false">IFERROR(INDEX(Cadencier!$C$5:$C$441,MATCH(B495,Cadencier!$A$5:$A$441,0)),"code inconnu")</f>
        <v>Poivre noir moulu</v>
      </c>
      <c r="D495" s="29" t="n">
        <f aca="false">IFERROR(INDEX(Cadencier!$J$5:$J$441,MATCH(B495,Cadencier!$A$5:$A$441,0)),0)</f>
        <v>18</v>
      </c>
    </row>
    <row r="496" customFormat="false" ht="15" hidden="false" customHeight="false" outlineLevel="0" collapsed="false">
      <c r="A496" s="28" t="s">
        <v>1800</v>
      </c>
      <c r="B496" s="28" t="s">
        <v>1319</v>
      </c>
      <c r="C496" s="28" t="str">
        <f aca="false">IFERROR(INDEX(Cadencier!$C$5:$C$441,MATCH(B496,Cadencier!$A$5:$A$441,0)),"code inconnu")</f>
        <v>Poivre noir moulu</v>
      </c>
      <c r="D496" s="29" t="n">
        <f aca="false">IFERROR(INDEX(Cadencier!$J$5:$J$441,MATCH(B496,Cadencier!$A$5:$A$441,0)),0)</f>
        <v>18</v>
      </c>
    </row>
    <row r="497" customFormat="false" ht="15" hidden="false" customHeight="false" outlineLevel="0" collapsed="false">
      <c r="A497" s="28" t="s">
        <v>1801</v>
      </c>
      <c r="B497" s="28" t="s">
        <v>1319</v>
      </c>
      <c r="C497" s="28" t="str">
        <f aca="false">IFERROR(INDEX(Cadencier!$C$5:$C$441,MATCH(B497,Cadencier!$A$5:$A$441,0)),"code inconnu")</f>
        <v>Poivre noir moulu</v>
      </c>
      <c r="D497" s="29" t="n">
        <f aca="false">IFERROR(INDEX(Cadencier!$J$5:$J$441,MATCH(B497,Cadencier!$A$5:$A$441,0)),0)</f>
        <v>18</v>
      </c>
    </row>
    <row r="498" customFormat="false" ht="15" hidden="false" customHeight="false" outlineLevel="0" collapsed="false">
      <c r="A498" s="28" t="s">
        <v>1802</v>
      </c>
      <c r="B498" s="28" t="s">
        <v>1319</v>
      </c>
      <c r="C498" s="28" t="str">
        <f aca="false">IFERROR(INDEX(Cadencier!$C$5:$C$441,MATCH(B498,Cadencier!$A$5:$A$441,0)),"code inconnu")</f>
        <v>Poivre noir moulu</v>
      </c>
      <c r="D498" s="29" t="n">
        <f aca="false">IFERROR(INDEX(Cadencier!$J$5:$J$441,MATCH(B498,Cadencier!$A$5:$A$441,0)),0)</f>
        <v>18</v>
      </c>
    </row>
    <row r="499" customFormat="false" ht="15" hidden="false" customHeight="false" outlineLevel="0" collapsed="false">
      <c r="A499" s="28" t="s">
        <v>1803</v>
      </c>
      <c r="B499" s="28" t="s">
        <v>1319</v>
      </c>
      <c r="C499" s="28" t="str">
        <f aca="false">IFERROR(INDEX(Cadencier!$C$5:$C$441,MATCH(B499,Cadencier!$A$5:$A$441,0)),"code inconnu")</f>
        <v>Poivre noir moulu</v>
      </c>
      <c r="D499" s="29" t="n">
        <f aca="false">IFERROR(INDEX(Cadencier!$J$5:$J$441,MATCH(B499,Cadencier!$A$5:$A$441,0)),0)</f>
        <v>18</v>
      </c>
    </row>
    <row r="500" customFormat="false" ht="15" hidden="false" customHeight="false" outlineLevel="0" collapsed="false">
      <c r="A500" s="28" t="s">
        <v>1804</v>
      </c>
      <c r="B500" s="28" t="s">
        <v>1319</v>
      </c>
      <c r="C500" s="28" t="str">
        <f aca="false">IFERROR(INDEX(Cadencier!$C$5:$C$441,MATCH(B500,Cadencier!$A$5:$A$441,0)),"code inconnu")</f>
        <v>Poivre noir moulu</v>
      </c>
      <c r="D500" s="29" t="n">
        <f aca="false">IFERROR(INDEX(Cadencier!$J$5:$J$441,MATCH(B500,Cadencier!$A$5:$A$441,0)),0)</f>
        <v>18</v>
      </c>
    </row>
    <row r="501" customFormat="false" ht="15" hidden="false" customHeight="false" outlineLevel="0" collapsed="false">
      <c r="A501" s="28" t="s">
        <v>1805</v>
      </c>
      <c r="B501" s="28" t="s">
        <v>1319</v>
      </c>
      <c r="C501" s="28" t="str">
        <f aca="false">IFERROR(INDEX(Cadencier!$C$5:$C$441,MATCH(B501,Cadencier!$A$5:$A$441,0)),"code inconnu")</f>
        <v>Poivre noir moulu</v>
      </c>
      <c r="D501" s="29" t="n">
        <f aca="false">IFERROR(INDEX(Cadencier!$J$5:$J$441,MATCH(B501,Cadencier!$A$5:$A$441,0)),0)</f>
        <v>18</v>
      </c>
    </row>
    <row r="502" customFormat="false" ht="15" hidden="false" customHeight="false" outlineLevel="0" collapsed="false">
      <c r="A502" s="28" t="s">
        <v>1806</v>
      </c>
      <c r="B502" s="28" t="s">
        <v>1319</v>
      </c>
      <c r="C502" s="28" t="str">
        <f aca="false">IFERROR(INDEX(Cadencier!$C$5:$C$441,MATCH(B502,Cadencier!$A$5:$A$441,0)),"code inconnu")</f>
        <v>Poivre noir moulu</v>
      </c>
      <c r="D502" s="29" t="n">
        <f aca="false">IFERROR(INDEX(Cadencier!$J$5:$J$441,MATCH(B502,Cadencier!$A$5:$A$441,0)),0)</f>
        <v>18</v>
      </c>
    </row>
    <row r="503" customFormat="false" ht="15" hidden="false" customHeight="false" outlineLevel="0" collapsed="false">
      <c r="A503" s="28" t="s">
        <v>1807</v>
      </c>
      <c r="B503" s="28" t="s">
        <v>1319</v>
      </c>
      <c r="C503" s="28" t="str">
        <f aca="false">IFERROR(INDEX(Cadencier!$C$5:$C$441,MATCH(B503,Cadencier!$A$5:$A$441,0)),"code inconnu")</f>
        <v>Poivre noir moulu</v>
      </c>
      <c r="D503" s="29" t="n">
        <f aca="false">IFERROR(INDEX(Cadencier!$J$5:$J$441,MATCH(B503,Cadencier!$A$5:$A$441,0)),0)</f>
        <v>18</v>
      </c>
    </row>
    <row r="504" customFormat="false" ht="15" hidden="false" customHeight="false" outlineLevel="0" collapsed="false">
      <c r="A504" s="28" t="s">
        <v>1808</v>
      </c>
      <c r="B504" s="28" t="s">
        <v>1319</v>
      </c>
      <c r="C504" s="28" t="str">
        <f aca="false">IFERROR(INDEX(Cadencier!$C$5:$C$441,MATCH(B504,Cadencier!$A$5:$A$441,0)),"code inconnu")</f>
        <v>Poivre noir moulu</v>
      </c>
      <c r="D504" s="29" t="n">
        <f aca="false">IFERROR(INDEX(Cadencier!$J$5:$J$441,MATCH(B504,Cadencier!$A$5:$A$441,0)),0)</f>
        <v>18</v>
      </c>
    </row>
    <row r="505" customFormat="false" ht="15" hidden="false" customHeight="false" outlineLevel="0" collapsed="false">
      <c r="A505" s="28" t="s">
        <v>1809</v>
      </c>
      <c r="B505" s="28" t="s">
        <v>1319</v>
      </c>
      <c r="C505" s="28" t="str">
        <f aca="false">IFERROR(INDEX(Cadencier!$C$5:$C$441,MATCH(B505,Cadencier!$A$5:$A$441,0)),"code inconnu")</f>
        <v>Poivre noir moulu</v>
      </c>
      <c r="D505" s="29" t="n">
        <f aca="false">IFERROR(INDEX(Cadencier!$J$5:$J$441,MATCH(B505,Cadencier!$A$5:$A$441,0)),0)</f>
        <v>18</v>
      </c>
    </row>
    <row r="506" customFormat="false" ht="15" hidden="false" customHeight="false" outlineLevel="0" collapsed="false">
      <c r="A506" s="28" t="s">
        <v>1810</v>
      </c>
      <c r="B506" s="28" t="s">
        <v>1315</v>
      </c>
      <c r="C506" s="28" t="str">
        <f aca="false">IFERROR(INDEX(Cadencier!$C$5:$C$441,MATCH(B506,Cadencier!$A$5:$A$441,0)),"code inconnu")</f>
        <v>Poivre blanc moulu</v>
      </c>
      <c r="D506" s="29" t="n">
        <f aca="false">IFERROR(INDEX(Cadencier!$J$5:$J$441,MATCH(B506,Cadencier!$A$5:$A$441,0)),0)</f>
        <v>22</v>
      </c>
    </row>
    <row r="507" customFormat="false" ht="15" hidden="false" customHeight="false" outlineLevel="0" collapsed="false">
      <c r="A507" s="28" t="s">
        <v>1811</v>
      </c>
      <c r="B507" s="28" t="s">
        <v>1315</v>
      </c>
      <c r="C507" s="28" t="str">
        <f aca="false">IFERROR(INDEX(Cadencier!$C$5:$C$441,MATCH(B507,Cadencier!$A$5:$A$441,0)),"code inconnu")</f>
        <v>Poivre blanc moulu</v>
      </c>
      <c r="D507" s="29" t="n">
        <f aca="false">IFERROR(INDEX(Cadencier!$J$5:$J$441,MATCH(B507,Cadencier!$A$5:$A$441,0)),0)</f>
        <v>22</v>
      </c>
    </row>
    <row r="508" customFormat="false" ht="15" hidden="false" customHeight="false" outlineLevel="0" collapsed="false">
      <c r="A508" s="28" t="s">
        <v>1812</v>
      </c>
      <c r="B508" s="28" t="s">
        <v>1317</v>
      </c>
      <c r="C508" s="28" t="str">
        <f aca="false">IFERROR(INDEX(Cadencier!$C$5:$C$441,MATCH(B508,Cadencier!$A$5:$A$441,0)),"code inconnu")</f>
        <v>Poivre noir en grains</v>
      </c>
      <c r="D508" s="29" t="n">
        <f aca="false">IFERROR(INDEX(Cadencier!$J$5:$J$441,MATCH(B508,Cadencier!$A$5:$A$441,0)),0)</f>
        <v>18</v>
      </c>
    </row>
    <row r="509" customFormat="false" ht="15" hidden="false" customHeight="false" outlineLevel="0" collapsed="false">
      <c r="A509" s="28" t="s">
        <v>1813</v>
      </c>
      <c r="B509" s="28" t="s">
        <v>1317</v>
      </c>
      <c r="C509" s="28" t="str">
        <f aca="false">IFERROR(INDEX(Cadencier!$C$5:$C$441,MATCH(B509,Cadencier!$A$5:$A$441,0)),"code inconnu")</f>
        <v>Poivre noir en grains</v>
      </c>
      <c r="D509" s="29" t="n">
        <f aca="false">IFERROR(INDEX(Cadencier!$J$5:$J$441,MATCH(B509,Cadencier!$A$5:$A$441,0)),0)</f>
        <v>18</v>
      </c>
    </row>
    <row r="510" customFormat="false" ht="15" hidden="false" customHeight="false" outlineLevel="0" collapsed="false">
      <c r="A510" s="28" t="s">
        <v>1814</v>
      </c>
      <c r="B510" s="28" t="s">
        <v>1319</v>
      </c>
      <c r="C510" s="28" t="str">
        <f aca="false">IFERROR(INDEX(Cadencier!$C$5:$C$441,MATCH(B510,Cadencier!$A$5:$A$441,0)),"code inconnu")</f>
        <v>Poivre noir moulu</v>
      </c>
      <c r="D510" s="29" t="n">
        <f aca="false">IFERROR(INDEX(Cadencier!$J$5:$J$441,MATCH(B510,Cadencier!$A$5:$A$441,0)),0)</f>
        <v>18</v>
      </c>
    </row>
    <row r="511" customFormat="false" ht="15" hidden="false" customHeight="false" outlineLevel="0" collapsed="false">
      <c r="A511" s="28" t="s">
        <v>1322</v>
      </c>
      <c r="B511" s="28" t="s">
        <v>1321</v>
      </c>
      <c r="C511" s="28" t="str">
        <f aca="false">IFERROR(INDEX(Cadencier!$C$5:$C$441,MATCH(B511,Cadencier!$A$5:$A$441,0)),"code inconnu")</f>
        <v>Poivre vert en grains</v>
      </c>
      <c r="D511" s="29" t="n">
        <f aca="false">IFERROR(INDEX(Cadencier!$J$5:$J$441,MATCH(B511,Cadencier!$A$5:$A$441,0)),0)</f>
        <v>25</v>
      </c>
    </row>
    <row r="512" customFormat="false" ht="15" hidden="false" customHeight="false" outlineLevel="0" collapsed="false">
      <c r="A512" s="28" t="s">
        <v>1815</v>
      </c>
      <c r="B512" s="28" t="s">
        <v>1319</v>
      </c>
      <c r="C512" s="28" t="str">
        <f aca="false">IFERROR(INDEX(Cadencier!$C$5:$C$441,MATCH(B512,Cadencier!$A$5:$A$441,0)),"code inconnu")</f>
        <v>Poivre noir moulu</v>
      </c>
      <c r="D512" s="29" t="n">
        <f aca="false">IFERROR(INDEX(Cadencier!$J$5:$J$441,MATCH(B512,Cadencier!$A$5:$A$441,0)),0)</f>
        <v>18</v>
      </c>
    </row>
    <row r="513" customFormat="false" ht="15" hidden="false" customHeight="false" outlineLevel="0" collapsed="false">
      <c r="A513" s="28" t="s">
        <v>1816</v>
      </c>
      <c r="B513" s="28" t="s">
        <v>1319</v>
      </c>
      <c r="C513" s="28" t="str">
        <f aca="false">IFERROR(INDEX(Cadencier!$C$5:$C$441,MATCH(B513,Cadencier!$A$5:$A$441,0)),"code inconnu")</f>
        <v>Poivre noir moulu</v>
      </c>
      <c r="D513" s="29" t="n">
        <f aca="false">IFERROR(INDEX(Cadencier!$J$5:$J$441,MATCH(B513,Cadencier!$A$5:$A$441,0)),0)</f>
        <v>18</v>
      </c>
    </row>
    <row r="514" customFormat="false" ht="15" hidden="false" customHeight="false" outlineLevel="0" collapsed="false">
      <c r="A514" s="28" t="s">
        <v>1817</v>
      </c>
      <c r="B514" s="28" t="s">
        <v>1319</v>
      </c>
      <c r="C514" s="28" t="str">
        <f aca="false">IFERROR(INDEX(Cadencier!$C$5:$C$441,MATCH(B514,Cadencier!$A$5:$A$441,0)),"code inconnu")</f>
        <v>Poivre noir moulu</v>
      </c>
      <c r="D514" s="29" t="n">
        <f aca="false">IFERROR(INDEX(Cadencier!$J$5:$J$441,MATCH(B514,Cadencier!$A$5:$A$441,0)),0)</f>
        <v>18</v>
      </c>
    </row>
    <row r="515" customFormat="false" ht="15" hidden="false" customHeight="false" outlineLevel="0" collapsed="false">
      <c r="A515" s="28" t="s">
        <v>1818</v>
      </c>
      <c r="B515" s="28" t="s">
        <v>1319</v>
      </c>
      <c r="C515" s="28" t="str">
        <f aca="false">IFERROR(INDEX(Cadencier!$C$5:$C$441,MATCH(B515,Cadencier!$A$5:$A$441,0)),"code inconnu")</f>
        <v>Poivre noir moulu</v>
      </c>
      <c r="D515" s="29" t="n">
        <f aca="false">IFERROR(INDEX(Cadencier!$J$5:$J$441,MATCH(B515,Cadencier!$A$5:$A$441,0)),0)</f>
        <v>18</v>
      </c>
    </row>
    <row r="516" customFormat="false" ht="15" hidden="false" customHeight="false" outlineLevel="0" collapsed="false">
      <c r="A516" s="28" t="s">
        <v>1022</v>
      </c>
      <c r="B516" s="28" t="s">
        <v>1021</v>
      </c>
      <c r="C516" s="28" t="str">
        <f aca="false">IFERROR(INDEX(Cadencier!$C$5:$C$441,MATCH(B516,Cadencier!$A$5:$A$441,0)),"code inconnu")</f>
        <v>Poivrons dés surgelés</v>
      </c>
      <c r="D516" s="29" t="n">
        <f aca="false">IFERROR(INDEX(Cadencier!$J$5:$J$441,MATCH(B516,Cadencier!$A$5:$A$441,0)),0)</f>
        <v>3</v>
      </c>
    </row>
    <row r="517" customFormat="false" ht="15" hidden="false" customHeight="false" outlineLevel="0" collapsed="false">
      <c r="A517" s="28" t="s">
        <v>1819</v>
      </c>
      <c r="B517" s="28" t="s">
        <v>1023</v>
      </c>
      <c r="C517" s="28" t="str">
        <f aca="false">IFERROR(INDEX(Cadencier!$C$5:$C$441,MATCH(B517,Cadencier!$A$5:$A$441,0)),"code inconnu")</f>
        <v>Poivrons lanières surgelés</v>
      </c>
      <c r="D517" s="29" t="n">
        <f aca="false">IFERROR(INDEX(Cadencier!$J$5:$J$441,MATCH(B517,Cadencier!$A$5:$A$441,0)),0)</f>
        <v>3</v>
      </c>
    </row>
    <row r="518" customFormat="false" ht="15" hidden="false" customHeight="false" outlineLevel="0" collapsed="false">
      <c r="A518" s="28" t="s">
        <v>1024</v>
      </c>
      <c r="B518" s="28" t="s">
        <v>1023</v>
      </c>
      <c r="C518" s="28" t="str">
        <f aca="false">IFERROR(INDEX(Cadencier!$C$5:$C$441,MATCH(B518,Cadencier!$A$5:$A$441,0)),"code inconnu")</f>
        <v>Poivrons lanières surgelés</v>
      </c>
      <c r="D518" s="29" t="n">
        <f aca="false">IFERROR(INDEX(Cadencier!$J$5:$J$441,MATCH(B518,Cadencier!$A$5:$A$441,0)),0)</f>
        <v>3</v>
      </c>
    </row>
    <row r="519" customFormat="false" ht="15" hidden="false" customHeight="false" outlineLevel="0" collapsed="false">
      <c r="A519" s="28" t="s">
        <v>1820</v>
      </c>
      <c r="B519" s="28" t="s">
        <v>1021</v>
      </c>
      <c r="C519" s="28" t="str">
        <f aca="false">IFERROR(INDEX(Cadencier!$C$5:$C$441,MATCH(B519,Cadencier!$A$5:$A$441,0)),"code inconnu")</f>
        <v>Poivrons dés surgelés</v>
      </c>
      <c r="D519" s="29" t="n">
        <f aca="false">IFERROR(INDEX(Cadencier!$J$5:$J$441,MATCH(B519,Cadencier!$A$5:$A$441,0)),0)</f>
        <v>3</v>
      </c>
    </row>
    <row r="520" customFormat="false" ht="15" hidden="false" customHeight="false" outlineLevel="0" collapsed="false">
      <c r="A520" s="28" t="s">
        <v>1821</v>
      </c>
      <c r="B520" s="28" t="s">
        <v>850</v>
      </c>
      <c r="C520" s="28" t="str">
        <f aca="false">IFERROR(INDEX(Cadencier!$C$5:$C$441,MATCH(B520,Cadencier!$A$5:$A$441,0)),"code inconnu")</f>
        <v>Poivrons rouges et verts frais</v>
      </c>
      <c r="D520" s="29" t="n">
        <f aca="false">IFERROR(INDEX(Cadencier!$J$5:$J$441,MATCH(B520,Cadencier!$A$5:$A$441,0)),0)</f>
        <v>3</v>
      </c>
    </row>
    <row r="521" customFormat="false" ht="15" hidden="false" customHeight="false" outlineLevel="0" collapsed="false">
      <c r="A521" s="28" t="s">
        <v>1822</v>
      </c>
      <c r="B521" s="28" t="s">
        <v>1021</v>
      </c>
      <c r="C521" s="28" t="str">
        <f aca="false">IFERROR(INDEX(Cadencier!$C$5:$C$441,MATCH(B521,Cadencier!$A$5:$A$441,0)),"code inconnu")</f>
        <v>Poivrons dés surgelés</v>
      </c>
      <c r="D521" s="29" t="n">
        <f aca="false">IFERROR(INDEX(Cadencier!$J$5:$J$441,MATCH(B521,Cadencier!$A$5:$A$441,0)),0)</f>
        <v>3</v>
      </c>
    </row>
    <row r="522" customFormat="false" ht="15" hidden="false" customHeight="false" outlineLevel="0" collapsed="false">
      <c r="A522" s="28" t="s">
        <v>1823</v>
      </c>
      <c r="B522" s="28" t="s">
        <v>850</v>
      </c>
      <c r="C522" s="28" t="str">
        <f aca="false">IFERROR(INDEX(Cadencier!$C$5:$C$441,MATCH(B522,Cadencier!$A$5:$A$441,0)),"code inconnu")</f>
        <v>Poivrons rouges et verts frais</v>
      </c>
      <c r="D522" s="29" t="n">
        <f aca="false">IFERROR(INDEX(Cadencier!$J$5:$J$441,MATCH(B522,Cadencier!$A$5:$A$441,0)),0)</f>
        <v>3</v>
      </c>
    </row>
    <row r="523" customFormat="false" ht="15" hidden="false" customHeight="false" outlineLevel="0" collapsed="false">
      <c r="A523" s="28" t="s">
        <v>1824</v>
      </c>
      <c r="B523" s="28" t="s">
        <v>852</v>
      </c>
      <c r="C523" s="28" t="str">
        <f aca="false">IFERROR(INDEX(Cadencier!$C$5:$C$441,MATCH(B523,Cadencier!$A$5:$A$441,0)),"code inconnu")</f>
        <v>Pommes (Golden / Granny)</v>
      </c>
      <c r="D523" s="29" t="n">
        <f aca="false">IFERROR(INDEX(Cadencier!$J$5:$J$441,MATCH(B523,Cadencier!$A$5:$A$441,0)),0)</f>
        <v>1.7</v>
      </c>
    </row>
    <row r="524" customFormat="false" ht="15" hidden="false" customHeight="false" outlineLevel="0" collapsed="false">
      <c r="A524" s="28" t="s">
        <v>1825</v>
      </c>
      <c r="B524" s="28" t="s">
        <v>852</v>
      </c>
      <c r="C524" s="28" t="str">
        <f aca="false">IFERROR(INDEX(Cadencier!$C$5:$C$441,MATCH(B524,Cadencier!$A$5:$A$441,0)),"code inconnu")</f>
        <v>Pommes (Golden / Granny)</v>
      </c>
      <c r="D524" s="29" t="n">
        <f aca="false">IFERROR(INDEX(Cadencier!$J$5:$J$441,MATCH(B524,Cadencier!$A$5:$A$441,0)),0)</f>
        <v>1.7</v>
      </c>
    </row>
    <row r="525" customFormat="false" ht="15" hidden="false" customHeight="false" outlineLevel="0" collapsed="false">
      <c r="A525" s="28" t="s">
        <v>1826</v>
      </c>
      <c r="B525" s="28" t="s">
        <v>852</v>
      </c>
      <c r="C525" s="28" t="str">
        <f aca="false">IFERROR(INDEX(Cadencier!$C$5:$C$441,MATCH(B525,Cadencier!$A$5:$A$441,0)),"code inconnu")</f>
        <v>Pommes (Golden / Granny)</v>
      </c>
      <c r="D525" s="29" t="n">
        <f aca="false">IFERROR(INDEX(Cadencier!$J$5:$J$441,MATCH(B525,Cadencier!$A$5:$A$441,0)),0)</f>
        <v>1.7</v>
      </c>
    </row>
    <row r="526" customFormat="false" ht="15" hidden="false" customHeight="false" outlineLevel="0" collapsed="false">
      <c r="A526" s="28" t="s">
        <v>1026</v>
      </c>
      <c r="B526" s="28" t="s">
        <v>1025</v>
      </c>
      <c r="C526" s="28" t="str">
        <f aca="false">IFERROR(INDEX(Cadencier!$C$5:$C$441,MATCH(B526,Cadencier!$A$5:$A$441,0)),"code inconnu")</f>
        <v>Pommes dauphine surgelées</v>
      </c>
      <c r="D526" s="29" t="n">
        <f aca="false">IFERROR(INDEX(Cadencier!$J$5:$J$441,MATCH(B526,Cadencier!$A$5:$A$441,0)),0)</f>
        <v>3.2</v>
      </c>
    </row>
    <row r="527" customFormat="false" ht="15" hidden="false" customHeight="false" outlineLevel="0" collapsed="false">
      <c r="A527" s="28" t="s">
        <v>1827</v>
      </c>
      <c r="B527" s="28" t="s">
        <v>860</v>
      </c>
      <c r="C527" s="28" t="str">
        <f aca="false">IFERROR(INDEX(Cadencier!$C$5:$C$441,MATCH(B527,Cadencier!$A$5:$A$441,0)),"code inconnu")</f>
        <v>Pommes de terre entières épluchées 4ème gamme sous vide</v>
      </c>
      <c r="D527" s="29" t="n">
        <f aca="false">IFERROR(INDEX(Cadencier!$J$5:$J$441,MATCH(B527,Cadencier!$A$5:$A$441,0)),0)</f>
        <v>2</v>
      </c>
    </row>
    <row r="528" customFormat="false" ht="15" hidden="false" customHeight="false" outlineLevel="0" collapsed="false">
      <c r="A528" s="28" t="s">
        <v>1828</v>
      </c>
      <c r="B528" s="28" t="s">
        <v>860</v>
      </c>
      <c r="C528" s="28" t="str">
        <f aca="false">IFERROR(INDEX(Cadencier!$C$5:$C$441,MATCH(B528,Cadencier!$A$5:$A$441,0)),"code inconnu")</f>
        <v>Pommes de terre entières épluchées 4ème gamme sous vide</v>
      </c>
      <c r="D528" s="29" t="n">
        <f aca="false">IFERROR(INDEX(Cadencier!$J$5:$J$441,MATCH(B528,Cadencier!$A$5:$A$441,0)),0)</f>
        <v>2</v>
      </c>
    </row>
    <row r="529" customFormat="false" ht="15" hidden="false" customHeight="false" outlineLevel="0" collapsed="false">
      <c r="A529" s="28" t="s">
        <v>1829</v>
      </c>
      <c r="B529" s="28" t="s">
        <v>860</v>
      </c>
      <c r="C529" s="28" t="str">
        <f aca="false">IFERROR(INDEX(Cadencier!$C$5:$C$441,MATCH(B529,Cadencier!$A$5:$A$441,0)),"code inconnu")</f>
        <v>Pommes de terre entières épluchées 4ème gamme sous vide</v>
      </c>
      <c r="D529" s="29" t="n">
        <f aca="false">IFERROR(INDEX(Cadencier!$J$5:$J$441,MATCH(B529,Cadencier!$A$5:$A$441,0)),0)</f>
        <v>2</v>
      </c>
    </row>
    <row r="530" customFormat="false" ht="15" hidden="false" customHeight="false" outlineLevel="0" collapsed="false">
      <c r="A530" s="28" t="s">
        <v>1830</v>
      </c>
      <c r="B530" s="28" t="s">
        <v>860</v>
      </c>
      <c r="C530" s="28" t="str">
        <f aca="false">IFERROR(INDEX(Cadencier!$C$5:$C$441,MATCH(B530,Cadencier!$A$5:$A$441,0)),"code inconnu")</f>
        <v>Pommes de terre entières épluchées 4ème gamme sous vide</v>
      </c>
      <c r="D530" s="29" t="n">
        <f aca="false">IFERROR(INDEX(Cadencier!$J$5:$J$441,MATCH(B530,Cadencier!$A$5:$A$441,0)),0)</f>
        <v>2</v>
      </c>
    </row>
    <row r="531" customFormat="false" ht="15" hidden="false" customHeight="false" outlineLevel="0" collapsed="false">
      <c r="A531" s="28" t="s">
        <v>1831</v>
      </c>
      <c r="B531" s="28" t="s">
        <v>860</v>
      </c>
      <c r="C531" s="28" t="str">
        <f aca="false">IFERROR(INDEX(Cadencier!$C$5:$C$441,MATCH(B531,Cadencier!$A$5:$A$441,0)),"code inconnu")</f>
        <v>Pommes de terre entières épluchées 4ème gamme sous vide</v>
      </c>
      <c r="D531" s="29" t="n">
        <f aca="false">IFERROR(INDEX(Cadencier!$J$5:$J$441,MATCH(B531,Cadencier!$A$5:$A$441,0)),0)</f>
        <v>2</v>
      </c>
    </row>
    <row r="532" customFormat="false" ht="15" hidden="false" customHeight="false" outlineLevel="0" collapsed="false">
      <c r="A532" s="28" t="s">
        <v>1832</v>
      </c>
      <c r="B532" s="28" t="s">
        <v>857</v>
      </c>
      <c r="C532" s="28" t="str">
        <f aca="false">IFERROR(INDEX(Cadencier!$C$5:$C$441,MATCH(B532,Cadencier!$A$5:$A$441,0)),"code inconnu")</f>
        <v>Pommes de terre cubes 4ème gamme sous vide</v>
      </c>
      <c r="D532" s="29" t="n">
        <f aca="false">IFERROR(INDEX(Cadencier!$J$5:$J$441,MATCH(B532,Cadencier!$A$5:$A$441,0)),0)</f>
        <v>2.2</v>
      </c>
    </row>
    <row r="533" customFormat="false" ht="15" hidden="false" customHeight="false" outlineLevel="0" collapsed="false">
      <c r="A533" s="28" t="s">
        <v>1833</v>
      </c>
      <c r="B533" s="28" t="s">
        <v>857</v>
      </c>
      <c r="C533" s="28" t="str">
        <f aca="false">IFERROR(INDEX(Cadencier!$C$5:$C$441,MATCH(B533,Cadencier!$A$5:$A$441,0)),"code inconnu")</f>
        <v>Pommes de terre cubes 4ème gamme sous vide</v>
      </c>
      <c r="D533" s="29" t="n">
        <f aca="false">IFERROR(INDEX(Cadencier!$J$5:$J$441,MATCH(B533,Cadencier!$A$5:$A$441,0)),0)</f>
        <v>2.2</v>
      </c>
    </row>
    <row r="534" customFormat="false" ht="15" hidden="false" customHeight="false" outlineLevel="0" collapsed="false">
      <c r="A534" s="28" t="s">
        <v>858</v>
      </c>
      <c r="B534" s="28" t="s">
        <v>857</v>
      </c>
      <c r="C534" s="28" t="str">
        <f aca="false">IFERROR(INDEX(Cadencier!$C$5:$C$441,MATCH(B534,Cadencier!$A$5:$A$441,0)),"code inconnu")</f>
        <v>Pommes de terre cubes 4ème gamme sous vide</v>
      </c>
      <c r="D534" s="29" t="n">
        <f aca="false">IFERROR(INDEX(Cadencier!$J$5:$J$441,MATCH(B534,Cadencier!$A$5:$A$441,0)),0)</f>
        <v>2.2</v>
      </c>
    </row>
    <row r="535" customFormat="false" ht="15" hidden="false" customHeight="false" outlineLevel="0" collapsed="false">
      <c r="A535" s="28" t="s">
        <v>1028</v>
      </c>
      <c r="B535" s="28" t="s">
        <v>1027</v>
      </c>
      <c r="C535" s="28" t="str">
        <f aca="false">IFERROR(INDEX(Cadencier!$C$5:$C$441,MATCH(B535,Cadencier!$A$5:$A$441,0)),"code inconnu")</f>
        <v>Pommes de terre cubes rissolées surgelées</v>
      </c>
      <c r="D535" s="29" t="n">
        <f aca="false">IFERROR(INDEX(Cadencier!$J$5:$J$441,MATCH(B535,Cadencier!$A$5:$A$441,0)),0)</f>
        <v>2.5</v>
      </c>
    </row>
    <row r="536" customFormat="false" ht="15" hidden="false" customHeight="false" outlineLevel="0" collapsed="false">
      <c r="A536" s="28" t="s">
        <v>1834</v>
      </c>
      <c r="B536" s="28" t="s">
        <v>857</v>
      </c>
      <c r="C536" s="28" t="str">
        <f aca="false">IFERROR(INDEX(Cadencier!$C$5:$C$441,MATCH(B536,Cadencier!$A$5:$A$441,0)),"code inconnu")</f>
        <v>Pommes de terre cubes 4ème gamme sous vide</v>
      </c>
      <c r="D536" s="29" t="n">
        <f aca="false">IFERROR(INDEX(Cadencier!$J$5:$J$441,MATCH(B536,Cadencier!$A$5:$A$441,0)),0)</f>
        <v>2.2</v>
      </c>
    </row>
    <row r="537" customFormat="false" ht="15" hidden="false" customHeight="false" outlineLevel="0" collapsed="false">
      <c r="A537" s="28" t="s">
        <v>1835</v>
      </c>
      <c r="B537" s="28" t="s">
        <v>1029</v>
      </c>
      <c r="C537" s="28" t="str">
        <f aca="false">IFERROR(INDEX(Cadencier!$C$5:$C$441,MATCH(B537,Cadencier!$A$5:$A$441,0)),"code inconnu")</f>
        <v>Pommes de terre dés surgelées</v>
      </c>
      <c r="D537" s="29" t="n">
        <f aca="false">IFERROR(INDEX(Cadencier!$J$5:$J$441,MATCH(B537,Cadencier!$A$5:$A$441,0)),0)</f>
        <v>2</v>
      </c>
    </row>
    <row r="538" customFormat="false" ht="15" hidden="false" customHeight="false" outlineLevel="0" collapsed="false">
      <c r="A538" s="28" t="s">
        <v>1836</v>
      </c>
      <c r="B538" s="28" t="s">
        <v>862</v>
      </c>
      <c r="C538" s="28" t="str">
        <f aca="false">IFERROR(INDEX(Cadencier!$C$5:$C$441,MATCH(B538,Cadencier!$A$5:$A$441,0)),"code inconnu")</f>
        <v>Pommes de terre lamelles / rondelles 4ème gamme sous vide</v>
      </c>
      <c r="D538" s="29" t="n">
        <f aca="false">IFERROR(INDEX(Cadencier!$J$5:$J$441,MATCH(B538,Cadencier!$A$5:$A$441,0)),0)</f>
        <v>2.2</v>
      </c>
    </row>
    <row r="539" customFormat="false" ht="15" hidden="false" customHeight="false" outlineLevel="0" collapsed="false">
      <c r="A539" s="28" t="s">
        <v>1837</v>
      </c>
      <c r="B539" s="28" t="s">
        <v>862</v>
      </c>
      <c r="C539" s="28" t="str">
        <f aca="false">IFERROR(INDEX(Cadencier!$C$5:$C$441,MATCH(B539,Cadencier!$A$5:$A$441,0)),"code inconnu")</f>
        <v>Pommes de terre lamelles / rondelles 4ème gamme sous vide</v>
      </c>
      <c r="D539" s="29" t="n">
        <f aca="false">IFERROR(INDEX(Cadencier!$J$5:$J$441,MATCH(B539,Cadencier!$A$5:$A$441,0)),0)</f>
        <v>2.2</v>
      </c>
    </row>
    <row r="540" customFormat="false" ht="15" hidden="false" customHeight="false" outlineLevel="0" collapsed="false">
      <c r="A540" s="28" t="s">
        <v>1838</v>
      </c>
      <c r="B540" s="28" t="s">
        <v>862</v>
      </c>
      <c r="C540" s="28" t="str">
        <f aca="false">IFERROR(INDEX(Cadencier!$C$5:$C$441,MATCH(B540,Cadencier!$A$5:$A$441,0)),"code inconnu")</f>
        <v>Pommes de terre lamelles / rondelles 4ème gamme sous vide</v>
      </c>
      <c r="D540" s="29" t="n">
        <f aca="false">IFERROR(INDEX(Cadencier!$J$5:$J$441,MATCH(B540,Cadencier!$A$5:$A$441,0)),0)</f>
        <v>2.2</v>
      </c>
    </row>
    <row r="541" customFormat="false" ht="15" hidden="false" customHeight="false" outlineLevel="0" collapsed="false">
      <c r="A541" s="28" t="s">
        <v>1839</v>
      </c>
      <c r="B541" s="28" t="s">
        <v>864</v>
      </c>
      <c r="C541" s="28" t="str">
        <f aca="false">IFERROR(INDEX(Cadencier!$C$5:$C$441,MATCH(B541,Cadencier!$A$5:$A$441,0)),"code inconnu")</f>
        <v>Pommes de terre râpées 4ème gamme</v>
      </c>
      <c r="D541" s="29" t="n">
        <f aca="false">IFERROR(INDEX(Cadencier!$J$5:$J$441,MATCH(B541,Cadencier!$A$5:$A$441,0)),0)</f>
        <v>2.6</v>
      </c>
    </row>
    <row r="542" customFormat="false" ht="15" hidden="false" customHeight="false" outlineLevel="0" collapsed="false">
      <c r="A542" s="28" t="s">
        <v>1840</v>
      </c>
      <c r="B542" s="28" t="s">
        <v>860</v>
      </c>
      <c r="C542" s="28" t="str">
        <f aca="false">IFERROR(INDEX(Cadencier!$C$5:$C$441,MATCH(B542,Cadencier!$A$5:$A$441,0)),"code inconnu")</f>
        <v>Pommes de terre entières épluchées 4ème gamme sous vide</v>
      </c>
      <c r="D542" s="29" t="n">
        <f aca="false">IFERROR(INDEX(Cadencier!$J$5:$J$441,MATCH(B542,Cadencier!$A$5:$A$441,0)),0)</f>
        <v>2</v>
      </c>
    </row>
    <row r="543" customFormat="false" ht="15" hidden="false" customHeight="false" outlineLevel="0" collapsed="false">
      <c r="A543" s="28" t="s">
        <v>1841</v>
      </c>
      <c r="B543" s="28" t="s">
        <v>855</v>
      </c>
      <c r="C543" s="28" t="str">
        <f aca="false">IFERROR(INDEX(Cadencier!$C$5:$C$441,MATCH(B543,Cadencier!$A$5:$A$441,0)),"code inconnu")</f>
        <v>Pommes de terre à farcir calibre 60/70</v>
      </c>
      <c r="D543" s="29" t="n">
        <f aca="false">IFERROR(INDEX(Cadencier!$J$5:$J$441,MATCH(B543,Cadencier!$A$5:$A$441,0)),0)</f>
        <v>1.2</v>
      </c>
    </row>
    <row r="544" customFormat="false" ht="15" hidden="false" customHeight="false" outlineLevel="0" collapsed="false">
      <c r="A544" s="28" t="s">
        <v>1842</v>
      </c>
      <c r="B544" s="28" t="s">
        <v>860</v>
      </c>
      <c r="C544" s="28" t="str">
        <f aca="false">IFERROR(INDEX(Cadencier!$C$5:$C$441,MATCH(B544,Cadencier!$A$5:$A$441,0)),"code inconnu")</f>
        <v>Pommes de terre entières épluchées 4ème gamme sous vide</v>
      </c>
      <c r="D544" s="29" t="n">
        <f aca="false">IFERROR(INDEX(Cadencier!$J$5:$J$441,MATCH(B544,Cadencier!$A$5:$A$441,0)),0)</f>
        <v>2</v>
      </c>
    </row>
    <row r="545" customFormat="false" ht="15" hidden="false" customHeight="false" outlineLevel="0" collapsed="false">
      <c r="A545" s="28" t="s">
        <v>1032</v>
      </c>
      <c r="B545" s="28" t="s">
        <v>1031</v>
      </c>
      <c r="C545" s="28" t="str">
        <f aca="false">IFERROR(INDEX(Cadencier!$C$5:$C$441,MATCH(B545,Cadencier!$A$5:$A$441,0)),"code inconnu")</f>
        <v>Pommes duchesse surgelées</v>
      </c>
      <c r="D545" s="29" t="n">
        <f aca="false">IFERROR(INDEX(Cadencier!$J$5:$J$441,MATCH(B545,Cadencier!$A$5:$A$441,0)),0)</f>
        <v>3.2</v>
      </c>
    </row>
    <row r="546" customFormat="false" ht="15" hidden="false" customHeight="false" outlineLevel="0" collapsed="false">
      <c r="A546" s="28" t="s">
        <v>1843</v>
      </c>
      <c r="B546" s="28" t="s">
        <v>1033</v>
      </c>
      <c r="C546" s="28" t="str">
        <f aca="false">IFERROR(INDEX(Cadencier!$C$5:$C$441,MATCH(B546,Cadencier!$A$5:$A$441,0)),"code inconnu")</f>
        <v>Pommes fruits quartiers / cubes surgelés</v>
      </c>
      <c r="D546" s="29" t="n">
        <f aca="false">IFERROR(INDEX(Cadencier!$J$5:$J$441,MATCH(B546,Cadencier!$A$5:$A$441,0)),0)</f>
        <v>3</v>
      </c>
    </row>
    <row r="547" customFormat="false" ht="15" hidden="false" customHeight="false" outlineLevel="0" collapsed="false">
      <c r="A547" s="28" t="s">
        <v>1844</v>
      </c>
      <c r="B547" s="28" t="s">
        <v>852</v>
      </c>
      <c r="C547" s="28" t="str">
        <f aca="false">IFERROR(INDEX(Cadencier!$C$5:$C$441,MATCH(B547,Cadencier!$A$5:$A$441,0)),"code inconnu")</f>
        <v>Pommes (Golden / Granny)</v>
      </c>
      <c r="D547" s="29" t="n">
        <f aca="false">IFERROR(INDEX(Cadencier!$J$5:$J$441,MATCH(B547,Cadencier!$A$5:$A$441,0)),0)</f>
        <v>1.7</v>
      </c>
    </row>
    <row r="548" customFormat="false" ht="15" hidden="false" customHeight="false" outlineLevel="0" collapsed="false">
      <c r="A548" s="28" t="s">
        <v>1845</v>
      </c>
      <c r="B548" s="28" t="s">
        <v>852</v>
      </c>
      <c r="C548" s="28" t="str">
        <f aca="false">IFERROR(INDEX(Cadencier!$C$5:$C$441,MATCH(B548,Cadencier!$A$5:$A$441,0)),"code inconnu")</f>
        <v>Pommes (Golden / Granny)</v>
      </c>
      <c r="D548" s="29" t="n">
        <f aca="false">IFERROR(INDEX(Cadencier!$J$5:$J$441,MATCH(B548,Cadencier!$A$5:$A$441,0)),0)</f>
        <v>1.7</v>
      </c>
    </row>
    <row r="549" customFormat="false" ht="15" hidden="false" customHeight="false" outlineLevel="0" collapsed="false">
      <c r="A549" s="28" t="s">
        <v>1846</v>
      </c>
      <c r="B549" s="28" t="s">
        <v>1033</v>
      </c>
      <c r="C549" s="28" t="str">
        <f aca="false">IFERROR(INDEX(Cadencier!$C$5:$C$441,MATCH(B549,Cadencier!$A$5:$A$441,0)),"code inconnu")</f>
        <v>Pommes fruits quartiers / cubes surgelés</v>
      </c>
      <c r="D549" s="29" t="n">
        <f aca="false">IFERROR(INDEX(Cadencier!$J$5:$J$441,MATCH(B549,Cadencier!$A$5:$A$441,0)),0)</f>
        <v>3</v>
      </c>
    </row>
    <row r="550" customFormat="false" ht="15" hidden="false" customHeight="false" outlineLevel="0" collapsed="false">
      <c r="A550" s="28" t="s">
        <v>1847</v>
      </c>
      <c r="B550" s="28" t="s">
        <v>1033</v>
      </c>
      <c r="C550" s="28" t="str">
        <f aca="false">IFERROR(INDEX(Cadencier!$C$5:$C$441,MATCH(B550,Cadencier!$A$5:$A$441,0)),"code inconnu")</f>
        <v>Pommes fruits quartiers / cubes surgelés</v>
      </c>
      <c r="D550" s="29" t="n">
        <f aca="false">IFERROR(INDEX(Cadencier!$J$5:$J$441,MATCH(B550,Cadencier!$A$5:$A$441,0)),0)</f>
        <v>3</v>
      </c>
    </row>
    <row r="551" customFormat="false" ht="15" hidden="false" customHeight="false" outlineLevel="0" collapsed="false">
      <c r="A551" s="28" t="s">
        <v>1848</v>
      </c>
      <c r="B551" s="28" t="s">
        <v>668</v>
      </c>
      <c r="C551" s="28" t="str">
        <f aca="false">IFERROR(INDEX(Cadencier!$C$5:$C$441,MATCH(B551,Cadencier!$A$5:$A$441,0)),"code inconnu")</f>
        <v>Portions de poisson pané surgelées 100 g</v>
      </c>
      <c r="D551" s="29" t="n">
        <f aca="false">IFERROR(INDEX(Cadencier!$J$5:$J$441,MATCH(B551,Cadencier!$A$5:$A$441,0)),0)</f>
        <v>7</v>
      </c>
    </row>
    <row r="552" customFormat="false" ht="15" hidden="false" customHeight="false" outlineLevel="0" collapsed="false">
      <c r="A552" s="28" t="s">
        <v>1849</v>
      </c>
      <c r="B552" s="28" t="s">
        <v>1366</v>
      </c>
      <c r="C552" s="28" t="str">
        <f aca="false">IFERROR(INDEX(Cadencier!$C$5:$C$441,MATCH(B552,Cadencier!$A$5:$A$441,0)),"code inconnu")</f>
        <v>Porto</v>
      </c>
      <c r="D552" s="29" t="n">
        <f aca="false">IFERROR(INDEX(Cadencier!$J$5:$J$441,MATCH(B552,Cadencier!$A$5:$A$441,0)),0)</f>
        <v>9</v>
      </c>
    </row>
    <row r="553" customFormat="false" ht="15" hidden="false" customHeight="false" outlineLevel="0" collapsed="false">
      <c r="A553" s="28" t="s">
        <v>867</v>
      </c>
      <c r="B553" s="28" t="s">
        <v>866</v>
      </c>
      <c r="C553" s="28" t="str">
        <f aca="false">IFERROR(INDEX(Cadencier!$C$5:$C$441,MATCH(B553,Cadencier!$A$5:$A$441,0)),"code inconnu")</f>
        <v>Potimarron</v>
      </c>
      <c r="D553" s="29" t="n">
        <f aca="false">IFERROR(INDEX(Cadencier!$J$5:$J$441,MATCH(B553,Cadencier!$A$5:$A$441,0)),0)</f>
        <v>2</v>
      </c>
    </row>
    <row r="554" customFormat="false" ht="15" hidden="false" customHeight="false" outlineLevel="0" collapsed="false">
      <c r="A554" s="28" t="s">
        <v>1850</v>
      </c>
      <c r="B554" s="28" t="s">
        <v>1035</v>
      </c>
      <c r="C554" s="28" t="str">
        <f aca="false">IFERROR(INDEX(Cadencier!$C$5:$C$441,MATCH(B554,Cadencier!$A$5:$A$441,0)),"code inconnu")</f>
        <v>Potiron / potimarron cubes surgelés</v>
      </c>
      <c r="D554" s="29" t="n">
        <f aca="false">IFERROR(INDEX(Cadencier!$J$5:$J$441,MATCH(B554,Cadencier!$A$5:$A$441,0)),0)</f>
        <v>2.4</v>
      </c>
    </row>
    <row r="555" customFormat="false" ht="15" hidden="false" customHeight="false" outlineLevel="0" collapsed="false">
      <c r="A555" s="28" t="s">
        <v>1851</v>
      </c>
      <c r="B555" s="28" t="s">
        <v>1035</v>
      </c>
      <c r="C555" s="28" t="str">
        <f aca="false">IFERROR(INDEX(Cadencier!$C$5:$C$441,MATCH(B555,Cadencier!$A$5:$A$441,0)),"code inconnu")</f>
        <v>Potiron / potimarron cubes surgelés</v>
      </c>
      <c r="D555" s="29" t="n">
        <f aca="false">IFERROR(INDEX(Cadencier!$J$5:$J$441,MATCH(B555,Cadencier!$A$5:$A$441,0)),0)</f>
        <v>2.4</v>
      </c>
    </row>
    <row r="556" customFormat="false" ht="15" hidden="false" customHeight="false" outlineLevel="0" collapsed="false">
      <c r="A556" s="28" t="s">
        <v>1852</v>
      </c>
      <c r="B556" s="28" t="s">
        <v>1035</v>
      </c>
      <c r="C556" s="28" t="str">
        <f aca="false">IFERROR(INDEX(Cadencier!$C$5:$C$441,MATCH(B556,Cadencier!$A$5:$A$441,0)),"code inconnu")</f>
        <v>Potiron / potimarron cubes surgelés</v>
      </c>
      <c r="D556" s="29" t="n">
        <f aca="false">IFERROR(INDEX(Cadencier!$J$5:$J$441,MATCH(B556,Cadencier!$A$5:$A$441,0)),0)</f>
        <v>2.4</v>
      </c>
    </row>
    <row r="557" customFormat="false" ht="15" hidden="false" customHeight="false" outlineLevel="0" collapsed="false">
      <c r="A557" s="28" t="s">
        <v>1853</v>
      </c>
      <c r="B557" s="28" t="s">
        <v>1160</v>
      </c>
      <c r="C557" s="28" t="str">
        <f aca="false">IFERROR(INDEX(Cadencier!$C$5:$C$441,MATCH(B557,Cadencier!$A$5:$A$441,0)),"code inconnu")</f>
        <v>Poudre à crème pâtissière (à chaud)</v>
      </c>
      <c r="D557" s="29" t="n">
        <f aca="false">IFERROR(INDEX(Cadencier!$J$5:$J$441,MATCH(B557,Cadencier!$A$5:$A$441,0)),0)</f>
        <v>6</v>
      </c>
    </row>
    <row r="558" customFormat="false" ht="15" hidden="false" customHeight="false" outlineLevel="0" collapsed="false">
      <c r="A558" s="28" t="s">
        <v>1854</v>
      </c>
      <c r="B558" s="28" t="s">
        <v>1013</v>
      </c>
      <c r="C558" s="28" t="str">
        <f aca="false">IFERROR(INDEX(Cadencier!$C$5:$C$441,MATCH(B558,Cadencier!$A$5:$A$441,0)),"code inconnu")</f>
        <v>Poêlée de légumes surgelée</v>
      </c>
      <c r="D558" s="29" t="n">
        <f aca="false">IFERROR(INDEX(Cadencier!$J$5:$J$441,MATCH(B558,Cadencier!$A$5:$A$441,0)),0)</f>
        <v>3</v>
      </c>
    </row>
    <row r="559" customFormat="false" ht="15" hidden="false" customHeight="false" outlineLevel="0" collapsed="false">
      <c r="A559" s="28" t="s">
        <v>1163</v>
      </c>
      <c r="B559" s="28" t="s">
        <v>1162</v>
      </c>
      <c r="C559" s="28" t="str">
        <f aca="false">IFERROR(INDEX(Cadencier!$C$5:$C$441,MATCH(B559,Cadencier!$A$5:$A$441,0)),"code inconnu")</f>
        <v>Praliné</v>
      </c>
      <c r="D559" s="29" t="n">
        <f aca="false">IFERROR(INDEX(Cadencier!$J$5:$J$441,MATCH(B559,Cadencier!$A$5:$A$441,0)),0)</f>
        <v>14</v>
      </c>
    </row>
    <row r="560" customFormat="false" ht="15" hidden="false" customHeight="false" outlineLevel="0" collapsed="false">
      <c r="A560" s="28" t="s">
        <v>1167</v>
      </c>
      <c r="B560" s="28" t="s">
        <v>1166</v>
      </c>
      <c r="C560" s="28" t="str">
        <f aca="false">IFERROR(INDEX(Cadencier!$C$5:$C$441,MATCH(B560,Cadencier!$A$5:$A$441,0)),"code inconnu")</f>
        <v>Pruneaux dénoyautés</v>
      </c>
      <c r="D560" s="29" t="n">
        <f aca="false">IFERROR(INDEX(Cadencier!$J$5:$J$441,MATCH(B560,Cadencier!$A$5:$A$441,0)),0)</f>
        <v>7</v>
      </c>
    </row>
    <row r="561" customFormat="false" ht="15" hidden="false" customHeight="false" outlineLevel="0" collapsed="false">
      <c r="A561" s="28" t="s">
        <v>1855</v>
      </c>
      <c r="B561" s="28" t="s">
        <v>1164</v>
      </c>
      <c r="C561" s="28" t="str">
        <f aca="false">IFERROR(INDEX(Cadencier!$C$5:$C$441,MATCH(B561,Cadencier!$A$5:$A$441,0)),"code inconnu")</f>
        <v>Préparation crème pâtissière à froid</v>
      </c>
      <c r="D561" s="29" t="n">
        <f aca="false">IFERROR(INDEX(Cadencier!$J$5:$J$441,MATCH(B561,Cadencier!$A$5:$A$441,0)),0)</f>
        <v>7.5</v>
      </c>
    </row>
    <row r="562" customFormat="false" ht="15" hidden="false" customHeight="false" outlineLevel="0" collapsed="false">
      <c r="A562" s="28" t="s">
        <v>1856</v>
      </c>
      <c r="B562" s="28" t="s">
        <v>1234</v>
      </c>
      <c r="C562" s="28" t="str">
        <f aca="false">IFERROR(INDEX(Cadencier!$C$5:$C$441,MATCH(B562,Cadencier!$A$5:$A$441,0)),"code inconnu")</f>
        <v>Pulpe de tomates (boîte 5/1)</v>
      </c>
      <c r="D562" s="29" t="n">
        <f aca="false">IFERROR(INDEX(Cadencier!$J$5:$J$441,MATCH(B562,Cadencier!$A$5:$A$441,0)),0)</f>
        <v>1.5</v>
      </c>
    </row>
    <row r="563" customFormat="false" ht="15" hidden="false" customHeight="false" outlineLevel="0" collapsed="false">
      <c r="A563" s="28" t="s">
        <v>1857</v>
      </c>
      <c r="B563" s="28" t="s">
        <v>1037</v>
      </c>
      <c r="C563" s="28" t="str">
        <f aca="false">IFERROR(INDEX(Cadencier!$C$5:$C$441,MATCH(B563,Cadencier!$A$5:$A$441,0)),"code inconnu")</f>
        <v>Purée de mangue surgelée</v>
      </c>
      <c r="D563" s="29" t="n">
        <f aca="false">IFERROR(INDEX(Cadencier!$J$5:$J$441,MATCH(B563,Cadencier!$A$5:$A$441,0)),0)</f>
        <v>6.5</v>
      </c>
    </row>
    <row r="564" customFormat="false" ht="15" hidden="false" customHeight="false" outlineLevel="0" collapsed="false">
      <c r="A564" s="28" t="s">
        <v>1858</v>
      </c>
      <c r="B564" s="28" t="s">
        <v>1447</v>
      </c>
      <c r="C564" s="28" t="str">
        <f aca="false">IFERROR(INDEX(Cadencier!$C$5:$C$441,MATCH(B564,Cadencier!$A$5:$A$441,0)),"code inconnu")</f>
        <v>Pâte brisée plaque 60x40</v>
      </c>
      <c r="D564" s="29" t="n">
        <f aca="false">IFERROR(INDEX(Cadencier!$J$5:$J$441,MATCH(B564,Cadencier!$A$5:$A$441,0)),0)</f>
        <v>3.33</v>
      </c>
    </row>
    <row r="565" customFormat="false" ht="15" hidden="false" customHeight="false" outlineLevel="0" collapsed="false">
      <c r="A565" s="28" t="s">
        <v>1859</v>
      </c>
      <c r="B565" s="28" t="s">
        <v>1451</v>
      </c>
      <c r="C565" s="28" t="str">
        <f aca="false">IFERROR(INDEX(Cadencier!$C$5:$C$441,MATCH(B565,Cadencier!$A$5:$A$441,0)),"code inconnu")</f>
        <v>Pâte feuilletée plaque 60x40</v>
      </c>
      <c r="D565" s="29" t="n">
        <f aca="false">IFERROR(INDEX(Cadencier!$J$5:$J$441,MATCH(B565,Cadencier!$A$5:$A$441,0)),0)</f>
        <v>3.89</v>
      </c>
    </row>
    <row r="566" customFormat="false" ht="15" hidden="false" customHeight="false" outlineLevel="0" collapsed="false">
      <c r="A566" s="28" t="s">
        <v>1860</v>
      </c>
      <c r="B566" s="28" t="s">
        <v>1451</v>
      </c>
      <c r="C566" s="28" t="str">
        <f aca="false">IFERROR(INDEX(Cadencier!$C$5:$C$441,MATCH(B566,Cadencier!$A$5:$A$441,0)),"code inconnu")</f>
        <v>Pâte feuilletée plaque 60x40</v>
      </c>
      <c r="D566" s="29" t="n">
        <f aca="false">IFERROR(INDEX(Cadencier!$J$5:$J$441,MATCH(B566,Cadencier!$A$5:$A$441,0)),0)</f>
        <v>3.89</v>
      </c>
    </row>
    <row r="567" customFormat="false" ht="15" hidden="false" customHeight="false" outlineLevel="0" collapsed="false">
      <c r="A567" s="28" t="s">
        <v>1861</v>
      </c>
      <c r="B567" s="28" t="s">
        <v>1451</v>
      </c>
      <c r="C567" s="28" t="str">
        <f aca="false">IFERROR(INDEX(Cadencier!$C$5:$C$441,MATCH(B567,Cadencier!$A$5:$A$441,0)),"code inconnu")</f>
        <v>Pâte feuilletée plaque 60x40</v>
      </c>
      <c r="D567" s="29" t="n">
        <f aca="false">IFERROR(INDEX(Cadencier!$J$5:$J$441,MATCH(B567,Cadencier!$A$5:$A$441,0)),0)</f>
        <v>3.89</v>
      </c>
    </row>
    <row r="568" customFormat="false" ht="15" hidden="false" customHeight="false" outlineLevel="0" collapsed="false">
      <c r="A568" s="28" t="s">
        <v>1862</v>
      </c>
      <c r="B568" s="28" t="s">
        <v>1454</v>
      </c>
      <c r="C568" s="28" t="str">
        <f aca="false">IFERROR(INDEX(Cadencier!$C$5:$C$441,MATCH(B568,Cadencier!$A$5:$A$441,0)),"code inconnu")</f>
        <v>Pâte sucrée prête à l'emploi</v>
      </c>
      <c r="D568" s="29" t="n">
        <f aca="false">IFERROR(INDEX(Cadencier!$J$5:$J$441,MATCH(B568,Cadencier!$A$5:$A$441,0)),0)</f>
        <v>3.56</v>
      </c>
    </row>
    <row r="569" customFormat="false" ht="15" hidden="false" customHeight="false" outlineLevel="0" collapsed="false">
      <c r="A569" s="28" t="s">
        <v>1863</v>
      </c>
      <c r="B569" s="28" t="s">
        <v>1441</v>
      </c>
      <c r="C569" s="28" t="str">
        <f aca="false">IFERROR(INDEX(Cadencier!$C$5:$C$441,MATCH(B569,Cadencier!$A$5:$A$441,0)),"code inconnu")</f>
        <v>Pâte à brioche crue surgelée</v>
      </c>
      <c r="D569" s="29" t="n">
        <f aca="false">IFERROR(INDEX(Cadencier!$J$5:$J$441,MATCH(B569,Cadencier!$A$5:$A$441,0)),0)</f>
        <v>5.5</v>
      </c>
    </row>
    <row r="570" customFormat="false" ht="15" hidden="false" customHeight="false" outlineLevel="0" collapsed="false">
      <c r="A570" s="28" t="s">
        <v>1864</v>
      </c>
      <c r="B570" s="28" t="s">
        <v>1443</v>
      </c>
      <c r="C570" s="28" t="str">
        <f aca="false">IFERROR(INDEX(Cadencier!$C$5:$C$441,MATCH(B570,Cadencier!$A$5:$A$441,0)),"code inconnu")</f>
        <v>Pâte à flammekueche (abaisses 600 g)</v>
      </c>
      <c r="D570" s="29" t="n">
        <f aca="false">IFERROR(INDEX(Cadencier!$J$5:$J$441,MATCH(B570,Cadencier!$A$5:$A$441,0)),0)</f>
        <v>4.17</v>
      </c>
    </row>
    <row r="571" customFormat="false" ht="15" hidden="false" customHeight="false" outlineLevel="0" collapsed="false">
      <c r="A571" s="28" t="s">
        <v>1865</v>
      </c>
      <c r="B571" s="28" t="s">
        <v>1142</v>
      </c>
      <c r="C571" s="28" t="str">
        <f aca="false">IFERROR(INDEX(Cadencier!$C$5:$C$441,MATCH(B571,Cadencier!$A$5:$A$441,0)),"code inconnu")</f>
        <v>Pâtes fusilli / torsades</v>
      </c>
      <c r="D571" s="29" t="n">
        <f aca="false">IFERROR(INDEX(Cadencier!$J$5:$J$441,MATCH(B571,Cadencier!$A$5:$A$441,0)),0)</f>
        <v>1.6</v>
      </c>
    </row>
    <row r="572" customFormat="false" ht="15" hidden="false" customHeight="false" outlineLevel="0" collapsed="false">
      <c r="A572" s="28" t="s">
        <v>1866</v>
      </c>
      <c r="B572" s="28" t="s">
        <v>1144</v>
      </c>
      <c r="C572" s="28" t="str">
        <f aca="false">IFERROR(INDEX(Cadencier!$C$5:$C$441,MATCH(B572,Cadencier!$A$5:$A$441,0)),"code inconnu")</f>
        <v>Pâtes macaronis</v>
      </c>
      <c r="D572" s="29" t="n">
        <f aca="false">IFERROR(INDEX(Cadencier!$J$5:$J$441,MATCH(B572,Cadencier!$A$5:$A$441,0)),0)</f>
        <v>1.6</v>
      </c>
    </row>
    <row r="573" customFormat="false" ht="15" hidden="false" customHeight="false" outlineLevel="0" collapsed="false">
      <c r="A573" s="28" t="s">
        <v>1867</v>
      </c>
      <c r="B573" s="28" t="s">
        <v>1146</v>
      </c>
      <c r="C573" s="28" t="str">
        <f aca="false">IFERROR(INDEX(Cadencier!$C$5:$C$441,MATCH(B573,Cadencier!$A$5:$A$441,0)),"code inconnu")</f>
        <v>Pâtes penne</v>
      </c>
      <c r="D573" s="29" t="n">
        <f aca="false">IFERROR(INDEX(Cadencier!$J$5:$J$441,MATCH(B573,Cadencier!$A$5:$A$441,0)),0)</f>
        <v>1.6</v>
      </c>
    </row>
    <row r="574" customFormat="false" ht="15" hidden="false" customHeight="false" outlineLevel="0" collapsed="false">
      <c r="A574" s="28" t="s">
        <v>1868</v>
      </c>
      <c r="B574" s="28" t="s">
        <v>1146</v>
      </c>
      <c r="C574" s="28" t="str">
        <f aca="false">IFERROR(INDEX(Cadencier!$C$5:$C$441,MATCH(B574,Cadencier!$A$5:$A$441,0)),"code inconnu")</f>
        <v>Pâtes penne</v>
      </c>
      <c r="D574" s="29" t="n">
        <f aca="false">IFERROR(INDEX(Cadencier!$J$5:$J$441,MATCH(B574,Cadencier!$A$5:$A$441,0)),0)</f>
        <v>1.6</v>
      </c>
    </row>
    <row r="575" customFormat="false" ht="15" hidden="false" customHeight="false" outlineLevel="0" collapsed="false">
      <c r="A575" s="28" t="s">
        <v>1869</v>
      </c>
      <c r="B575" s="28" t="s">
        <v>1146</v>
      </c>
      <c r="C575" s="28" t="str">
        <f aca="false">IFERROR(INDEX(Cadencier!$C$5:$C$441,MATCH(B575,Cadencier!$A$5:$A$441,0)),"code inconnu")</f>
        <v>Pâtes penne</v>
      </c>
      <c r="D575" s="29" t="n">
        <f aca="false">IFERROR(INDEX(Cadencier!$J$5:$J$441,MATCH(B575,Cadencier!$A$5:$A$441,0)),0)</f>
        <v>1.6</v>
      </c>
    </row>
    <row r="576" customFormat="false" ht="15" hidden="false" customHeight="false" outlineLevel="0" collapsed="false">
      <c r="A576" s="28" t="s">
        <v>1870</v>
      </c>
      <c r="B576" s="28" t="s">
        <v>1148</v>
      </c>
      <c r="C576" s="28" t="str">
        <f aca="false">IFERROR(INDEX(Cadencier!$C$5:$C$441,MATCH(B576,Cadencier!$A$5:$A$441,0)),"code inconnu")</f>
        <v>Pâtes tagliatelles</v>
      </c>
      <c r="D576" s="29" t="n">
        <f aca="false">IFERROR(INDEX(Cadencier!$J$5:$J$441,MATCH(B576,Cadencier!$A$5:$A$441,0)),0)</f>
        <v>2.2</v>
      </c>
    </row>
    <row r="577" customFormat="false" ht="15" hidden="false" customHeight="false" outlineLevel="0" collapsed="false">
      <c r="A577" s="28" t="s">
        <v>1147</v>
      </c>
      <c r="B577" s="28" t="s">
        <v>1146</v>
      </c>
      <c r="C577" s="28" t="str">
        <f aca="false">IFERROR(INDEX(Cadencier!$C$5:$C$441,MATCH(B577,Cadencier!$A$5:$A$441,0)),"code inconnu")</f>
        <v>Pâtes penne</v>
      </c>
      <c r="D577" s="29" t="n">
        <f aca="false">IFERROR(INDEX(Cadencier!$J$5:$J$441,MATCH(B577,Cadencier!$A$5:$A$441,0)),0)</f>
        <v>1.6</v>
      </c>
    </row>
    <row r="578" customFormat="false" ht="15" hidden="false" customHeight="false" outlineLevel="0" collapsed="false">
      <c r="A578" s="28" t="s">
        <v>1871</v>
      </c>
      <c r="B578" s="28" t="s">
        <v>1150</v>
      </c>
      <c r="C578" s="28" t="str">
        <f aca="false">IFERROR(INDEX(Cadencier!$C$5:$C$441,MATCH(B578,Cadencier!$A$5:$A$441,0)),"code inconnu")</f>
        <v>Perles de pâtes</v>
      </c>
      <c r="D578" s="29" t="n">
        <f aca="false">IFERROR(INDEX(Cadencier!$J$5:$J$441,MATCH(B578,Cadencier!$A$5:$A$441,0)),0)</f>
        <v>2.5</v>
      </c>
    </row>
    <row r="579" customFormat="false" ht="15" hidden="false" customHeight="false" outlineLevel="0" collapsed="false">
      <c r="A579" s="28" t="s">
        <v>1872</v>
      </c>
      <c r="B579" s="28" t="s">
        <v>1142</v>
      </c>
      <c r="C579" s="28" t="str">
        <f aca="false">IFERROR(INDEX(Cadencier!$C$5:$C$441,MATCH(B579,Cadencier!$A$5:$A$441,0)),"code inconnu")</f>
        <v>Pâtes fusilli / torsades</v>
      </c>
      <c r="D579" s="29" t="n">
        <f aca="false">IFERROR(INDEX(Cadencier!$J$5:$J$441,MATCH(B579,Cadencier!$A$5:$A$441,0)),0)</f>
        <v>1.6</v>
      </c>
    </row>
    <row r="580" customFormat="false" ht="15" hidden="false" customHeight="false" outlineLevel="0" collapsed="false">
      <c r="A580" s="28" t="s">
        <v>1873</v>
      </c>
      <c r="B580" s="28" t="s">
        <v>598</v>
      </c>
      <c r="C580" s="28" t="str">
        <f aca="false">IFERROR(INDEX(Cadencier!$C$5:$C$441,MATCH(B580,Cadencier!$A$5:$A$441,0)),"code inconnu")</f>
        <v>Pâté aux olives (barre)</v>
      </c>
      <c r="D580" s="29" t="n">
        <f aca="false">IFERROR(INDEX(Cadencier!$J$5:$J$441,MATCH(B580,Cadencier!$A$5:$A$441,0)),0)</f>
        <v>8</v>
      </c>
    </row>
    <row r="581" customFormat="false" ht="15" hidden="false" customHeight="false" outlineLevel="0" collapsed="false">
      <c r="A581" s="28" t="s">
        <v>62</v>
      </c>
      <c r="B581" s="28" t="s">
        <v>601</v>
      </c>
      <c r="C581" s="28" t="str">
        <f aca="false">IFERROR(INDEX(Cadencier!$C$5:$C$441,MATCH(B581,Cadencier!$A$5:$A$441,0)),"code inconnu")</f>
        <v>Pâté de campagne (barre)</v>
      </c>
      <c r="D581" s="29" t="n">
        <f aca="false">IFERROR(INDEX(Cadencier!$J$5:$J$441,MATCH(B581,Cadencier!$A$5:$A$441,0)),0)</f>
        <v>7.5</v>
      </c>
    </row>
    <row r="582" customFormat="false" ht="15" hidden="false" customHeight="false" outlineLevel="0" collapsed="false">
      <c r="A582" s="28" t="s">
        <v>1874</v>
      </c>
      <c r="B582" s="28" t="s">
        <v>601</v>
      </c>
      <c r="C582" s="28" t="str">
        <f aca="false">IFERROR(INDEX(Cadencier!$C$5:$C$441,MATCH(B582,Cadencier!$A$5:$A$441,0)),"code inconnu")</f>
        <v>Pâté de campagne (barre)</v>
      </c>
      <c r="D582" s="29" t="n">
        <f aca="false">IFERROR(INDEX(Cadencier!$J$5:$J$441,MATCH(B582,Cadencier!$A$5:$A$441,0)),0)</f>
        <v>7.5</v>
      </c>
    </row>
    <row r="583" customFormat="false" ht="15" hidden="false" customHeight="false" outlineLevel="0" collapsed="false">
      <c r="A583" s="28" t="s">
        <v>604</v>
      </c>
      <c r="B583" s="28" t="s">
        <v>603</v>
      </c>
      <c r="C583" s="28" t="str">
        <f aca="false">IFERROR(INDEX(Cadencier!$C$5:$C$441,MATCH(B583,Cadencier!$A$5:$A$441,0)),"code inconnu")</f>
        <v>Pâté en croûte (barre)</v>
      </c>
      <c r="D583" s="29" t="n">
        <f aca="false">IFERROR(INDEX(Cadencier!$J$5:$J$441,MATCH(B583,Cadencier!$A$5:$A$441,0)),0)</f>
        <v>10</v>
      </c>
    </row>
    <row r="584" customFormat="false" ht="15" hidden="false" customHeight="false" outlineLevel="0" collapsed="false">
      <c r="A584" s="28" t="s">
        <v>1325</v>
      </c>
      <c r="B584" s="28" t="s">
        <v>1324</v>
      </c>
      <c r="C584" s="28" t="str">
        <f aca="false">IFERROR(INDEX(Cadencier!$C$5:$C$441,MATCH(B584,Cadencier!$A$5:$A$441,0)),"code inconnu")</f>
        <v>Quatre-épices</v>
      </c>
      <c r="D584" s="29" t="n">
        <f aca="false">IFERROR(INDEX(Cadencier!$J$5:$J$441,MATCH(B584,Cadencier!$A$5:$A$441,0)),0)</f>
        <v>16</v>
      </c>
    </row>
    <row r="585" customFormat="false" ht="15" hidden="false" customHeight="false" outlineLevel="0" collapsed="false">
      <c r="A585" s="28" t="s">
        <v>1387</v>
      </c>
      <c r="B585" s="28" t="s">
        <v>1386</v>
      </c>
      <c r="C585" s="28" t="str">
        <f aca="false">IFERROR(INDEX(Cadencier!$C$5:$C$441,MATCH(B585,Cadencier!$A$5:$A$441,0)),"code inconnu")</f>
        <v>Quenelles de volaille 30 g</v>
      </c>
      <c r="D585" s="29" t="n">
        <f aca="false">IFERROR(INDEX(Cadencier!$J$5:$J$441,MATCH(B585,Cadencier!$A$5:$A$441,0)),0)</f>
        <v>7</v>
      </c>
    </row>
    <row r="586" customFormat="false" ht="15" hidden="false" customHeight="false" outlineLevel="0" collapsed="false">
      <c r="A586" s="28" t="s">
        <v>1875</v>
      </c>
      <c r="B586" s="28" t="s">
        <v>1388</v>
      </c>
      <c r="C586" s="28" t="str">
        <f aca="false">IFERROR(INDEX(Cadencier!$C$5:$C$441,MATCH(B586,Cadencier!$A$5:$A$441,0)),"code inconnu")</f>
        <v>Quenelles de volaille 80 g</v>
      </c>
      <c r="D586" s="29" t="n">
        <f aca="false">IFERROR(INDEX(Cadencier!$J$5:$J$441,MATCH(B586,Cadencier!$A$5:$A$441,0)),0)</f>
        <v>7</v>
      </c>
    </row>
    <row r="587" customFormat="false" ht="15" hidden="false" customHeight="false" outlineLevel="0" collapsed="false">
      <c r="A587" s="28" t="s">
        <v>869</v>
      </c>
      <c r="B587" s="28" t="s">
        <v>868</v>
      </c>
      <c r="C587" s="28" t="str">
        <f aca="false">IFERROR(INDEX(Cadencier!$C$5:$C$441,MATCH(B587,Cadencier!$A$5:$A$441,0)),"code inconnu")</f>
        <v>Radis</v>
      </c>
      <c r="D587" s="29" t="n">
        <f aca="false">IFERROR(INDEX(Cadencier!$J$5:$J$441,MATCH(B587,Cadencier!$A$5:$A$441,0)),0)</f>
        <v>3.33</v>
      </c>
    </row>
    <row r="588" customFormat="false" ht="15" hidden="false" customHeight="false" outlineLevel="0" collapsed="false">
      <c r="A588" s="28" t="s">
        <v>873</v>
      </c>
      <c r="B588" s="28" t="s">
        <v>872</v>
      </c>
      <c r="C588" s="28" t="str">
        <f aca="false">IFERROR(INDEX(Cadencier!$C$5:$C$441,MATCH(B588,Cadencier!$A$5:$A$441,0)),"code inconnu")</f>
        <v>Raisin</v>
      </c>
      <c r="D588" s="29" t="n">
        <f aca="false">IFERROR(INDEX(Cadencier!$J$5:$J$441,MATCH(B588,Cadencier!$A$5:$A$441,0)),0)</f>
        <v>3.5</v>
      </c>
    </row>
    <row r="589" customFormat="false" ht="15" hidden="false" customHeight="false" outlineLevel="0" collapsed="false">
      <c r="A589" s="28" t="s">
        <v>1169</v>
      </c>
      <c r="B589" s="28" t="s">
        <v>1168</v>
      </c>
      <c r="C589" s="28" t="str">
        <f aca="false">IFERROR(INDEX(Cadencier!$C$5:$C$441,MATCH(B589,Cadencier!$A$5:$A$441,0)),"code inconnu")</f>
        <v>Raisins secs</v>
      </c>
      <c r="D589" s="29" t="n">
        <f aca="false">IFERROR(INDEX(Cadencier!$J$5:$J$441,MATCH(B589,Cadencier!$A$5:$A$441,0)),0)</f>
        <v>5</v>
      </c>
    </row>
    <row r="590" customFormat="false" ht="15" hidden="false" customHeight="false" outlineLevel="0" collapsed="false">
      <c r="A590" s="28" t="s">
        <v>1876</v>
      </c>
      <c r="B590" s="28" t="s">
        <v>1168</v>
      </c>
      <c r="C590" s="28" t="str">
        <f aca="false">IFERROR(INDEX(Cadencier!$C$5:$C$441,MATCH(B590,Cadencier!$A$5:$A$441,0)),"code inconnu")</f>
        <v>Raisins secs</v>
      </c>
      <c r="D590" s="29" t="n">
        <f aca="false">IFERROR(INDEX(Cadencier!$J$5:$J$441,MATCH(B590,Cadencier!$A$5:$A$441,0)),0)</f>
        <v>5</v>
      </c>
    </row>
    <row r="591" customFormat="false" ht="15" hidden="false" customHeight="false" outlineLevel="0" collapsed="false">
      <c r="A591" s="28" t="s">
        <v>1877</v>
      </c>
      <c r="B591" s="28" t="s">
        <v>1326</v>
      </c>
      <c r="C591" s="28" t="str">
        <f aca="false">IFERROR(INDEX(Cadencier!$C$5:$C$441,MATCH(B591,Cadencier!$A$5:$A$441,0)),"code inconnu")</f>
        <v>Ras el hanout (épices couscous)</v>
      </c>
      <c r="D591" s="29" t="n">
        <f aca="false">IFERROR(INDEX(Cadencier!$J$5:$J$441,MATCH(B591,Cadencier!$A$5:$A$441,0)),0)</f>
        <v>14</v>
      </c>
    </row>
    <row r="592" customFormat="false" ht="15" hidden="false" customHeight="false" outlineLevel="0" collapsed="false">
      <c r="A592" s="28" t="s">
        <v>1878</v>
      </c>
      <c r="B592" s="28" t="s">
        <v>1326</v>
      </c>
      <c r="C592" s="28" t="str">
        <f aca="false">IFERROR(INDEX(Cadencier!$C$5:$C$441,MATCH(B592,Cadencier!$A$5:$A$441,0)),"code inconnu")</f>
        <v>Ras el hanout (épices couscous)</v>
      </c>
      <c r="D592" s="29" t="n">
        <f aca="false">IFERROR(INDEX(Cadencier!$J$5:$J$441,MATCH(B592,Cadencier!$A$5:$A$441,0)),0)</f>
        <v>14</v>
      </c>
    </row>
    <row r="593" customFormat="false" ht="15" hidden="false" customHeight="false" outlineLevel="0" collapsed="false">
      <c r="A593" s="28" t="s">
        <v>1879</v>
      </c>
      <c r="B593" s="28" t="s">
        <v>1236</v>
      </c>
      <c r="C593" s="28" t="str">
        <f aca="false">IFERROR(INDEX(Cadencier!$C$5:$C$441,MATCH(B593,Cadencier!$A$5:$A$441,0)),"code inconnu")</f>
        <v>Ratatouille cuisinée (boîte 5/1)</v>
      </c>
      <c r="D593" s="29" t="n">
        <f aca="false">IFERROR(INDEX(Cadencier!$J$5:$J$441,MATCH(B593,Cadencier!$A$5:$A$441,0)),0)</f>
        <v>2.8</v>
      </c>
    </row>
    <row r="594" customFormat="false" ht="15" hidden="false" customHeight="false" outlineLevel="0" collapsed="false">
      <c r="A594" s="28" t="s">
        <v>1391</v>
      </c>
      <c r="B594" s="28" t="s">
        <v>1390</v>
      </c>
      <c r="C594" s="28" t="str">
        <f aca="false">IFERROR(INDEX(Cadencier!$C$5:$C$441,MATCH(B594,Cadencier!$A$5:$A$441,0)),"code inconnu")</f>
        <v>Raviolis frais au bœuf (5ème gamme)</v>
      </c>
      <c r="D594" s="29" t="n">
        <f aca="false">IFERROR(INDEX(Cadencier!$J$5:$J$441,MATCH(B594,Cadencier!$A$5:$A$441,0)),0)</f>
        <v>5.5</v>
      </c>
    </row>
    <row r="595" customFormat="false" ht="15" hidden="false" customHeight="false" outlineLevel="0" collapsed="false">
      <c r="A595" s="28" t="s">
        <v>730</v>
      </c>
      <c r="B595" s="28" t="s">
        <v>729</v>
      </c>
      <c r="C595" s="28" t="str">
        <f aca="false">IFERROR(INDEX(Cadencier!$C$5:$C$441,MATCH(B595,Cadencier!$A$5:$A$441,0)),"code inconnu")</f>
        <v>Reblochon</v>
      </c>
      <c r="D595" s="29" t="n">
        <f aca="false">IFERROR(INDEX(Cadencier!$J$5:$J$441,MATCH(B595,Cadencier!$A$5:$A$441,0)),0)</f>
        <v>13</v>
      </c>
    </row>
    <row r="596" customFormat="false" ht="15" hidden="false" customHeight="false" outlineLevel="0" collapsed="false">
      <c r="A596" s="28" t="s">
        <v>1880</v>
      </c>
      <c r="B596" s="28" t="s">
        <v>1368</v>
      </c>
      <c r="C596" s="28" t="str">
        <f aca="false">IFERROR(INDEX(Cadencier!$C$5:$C$441,MATCH(B596,Cadencier!$A$5:$A$441,0)),"code inconnu")</f>
        <v>Rhum de cuisine</v>
      </c>
      <c r="D596" s="29" t="n">
        <f aca="false">IFERROR(INDEX(Cadencier!$J$5:$J$441,MATCH(B596,Cadencier!$A$5:$A$441,0)),0)</f>
        <v>14</v>
      </c>
    </row>
    <row r="597" customFormat="false" ht="15" hidden="false" customHeight="false" outlineLevel="0" collapsed="false">
      <c r="A597" s="28" t="s">
        <v>1881</v>
      </c>
      <c r="B597" s="28" t="s">
        <v>1170</v>
      </c>
      <c r="C597" s="28" t="str">
        <f aca="false">IFERROR(INDEX(Cadencier!$C$5:$C$441,MATCH(B597,Cadencier!$A$5:$A$441,0)),"code inconnu")</f>
        <v>Riz arborio (risotto)</v>
      </c>
      <c r="D597" s="29" t="n">
        <f aca="false">IFERROR(INDEX(Cadencier!$J$5:$J$441,MATCH(B597,Cadencier!$A$5:$A$441,0)),0)</f>
        <v>3.2</v>
      </c>
    </row>
    <row r="598" customFormat="false" ht="15" hidden="false" customHeight="false" outlineLevel="0" collapsed="false">
      <c r="A598" s="28" t="s">
        <v>1882</v>
      </c>
      <c r="B598" s="28" t="s">
        <v>1172</v>
      </c>
      <c r="C598" s="28" t="str">
        <f aca="false">IFERROR(INDEX(Cadencier!$C$5:$C$441,MATCH(B598,Cadencier!$A$5:$A$441,0)),"code inconnu")</f>
        <v>Riz long étuvé</v>
      </c>
      <c r="D598" s="29" t="n">
        <f aca="false">IFERROR(INDEX(Cadencier!$J$5:$J$441,MATCH(B598,Cadencier!$A$5:$A$441,0)),0)</f>
        <v>1.9</v>
      </c>
    </row>
    <row r="599" customFormat="false" ht="15" hidden="false" customHeight="false" outlineLevel="0" collapsed="false">
      <c r="A599" s="28" t="s">
        <v>1173</v>
      </c>
      <c r="B599" s="28" t="s">
        <v>1172</v>
      </c>
      <c r="C599" s="28" t="str">
        <f aca="false">IFERROR(INDEX(Cadencier!$C$5:$C$441,MATCH(B599,Cadencier!$A$5:$A$441,0)),"code inconnu")</f>
        <v>Riz long étuvé</v>
      </c>
      <c r="D599" s="29" t="n">
        <f aca="false">IFERROR(INDEX(Cadencier!$J$5:$J$441,MATCH(B599,Cadencier!$A$5:$A$441,0)),0)</f>
        <v>1.9</v>
      </c>
    </row>
    <row r="600" customFormat="false" ht="15" hidden="false" customHeight="false" outlineLevel="0" collapsed="false">
      <c r="A600" s="28" t="s">
        <v>1883</v>
      </c>
      <c r="B600" s="28" t="s">
        <v>875</v>
      </c>
      <c r="C600" s="28" t="str">
        <f aca="false">IFERROR(INDEX(Cadencier!$C$5:$C$441,MATCH(B600,Cadencier!$A$5:$A$441,0)),"code inconnu")</f>
        <v>Roquette / jeunes pousses 4ème gamme</v>
      </c>
      <c r="D600" s="29" t="n">
        <f aca="false">IFERROR(INDEX(Cadencier!$J$5:$J$441,MATCH(B600,Cadencier!$A$5:$A$441,0)),0)</f>
        <v>10</v>
      </c>
    </row>
    <row r="601" customFormat="false" ht="15" hidden="false" customHeight="false" outlineLevel="0" collapsed="false">
      <c r="A601" s="28" t="s">
        <v>1884</v>
      </c>
      <c r="B601" s="28" t="s">
        <v>608</v>
      </c>
      <c r="C601" s="28" t="str">
        <f aca="false">IFERROR(INDEX(Cadencier!$C$5:$C$441,MATCH(B601,Cadencier!$A$5:$A$441,0)),"code inconnu")</f>
        <v>Rosette / saucisson sec tranché</v>
      </c>
      <c r="D601" s="29" t="n">
        <f aca="false">IFERROR(INDEX(Cadencier!$J$5:$J$441,MATCH(B601,Cadencier!$A$5:$A$441,0)),0)</f>
        <v>15</v>
      </c>
    </row>
    <row r="602" customFormat="false" ht="15" hidden="false" customHeight="false" outlineLevel="0" collapsed="false">
      <c r="A602" s="28" t="s">
        <v>1885</v>
      </c>
      <c r="B602" s="28" t="s">
        <v>608</v>
      </c>
      <c r="C602" s="28" t="str">
        <f aca="false">IFERROR(INDEX(Cadencier!$C$5:$C$441,MATCH(B602,Cadencier!$A$5:$A$441,0)),"code inconnu")</f>
        <v>Rosette / saucisson sec tranché</v>
      </c>
      <c r="D602" s="29" t="n">
        <f aca="false">IFERROR(INDEX(Cadencier!$J$5:$J$441,MATCH(B602,Cadencier!$A$5:$A$441,0)),0)</f>
        <v>15</v>
      </c>
    </row>
    <row r="603" customFormat="false" ht="15" hidden="false" customHeight="false" outlineLevel="0" collapsed="false">
      <c r="A603" s="28" t="s">
        <v>1886</v>
      </c>
      <c r="B603" s="28" t="s">
        <v>482</v>
      </c>
      <c r="C603" s="28" t="str">
        <f aca="false">IFERROR(INDEX(Cadencier!$C$5:$C$441,MATCH(B603,Cadencier!$A$5:$A$441,0)),"code inconnu")</f>
        <v>Rôti de bœuf ficelé (rumsteck / tende de tranche)</v>
      </c>
      <c r="D603" s="29" t="n">
        <f aca="false">IFERROR(INDEX(Cadencier!$J$5:$J$441,MATCH(B603,Cadencier!$A$5:$A$441,0)),0)</f>
        <v>14.5</v>
      </c>
    </row>
    <row r="604" customFormat="false" ht="15" hidden="false" customHeight="false" outlineLevel="0" collapsed="false">
      <c r="A604" s="28" t="s">
        <v>1887</v>
      </c>
      <c r="B604" s="28" t="s">
        <v>546</v>
      </c>
      <c r="C604" s="28" t="str">
        <f aca="false">IFERROR(INDEX(Cadencier!$C$5:$C$441,MATCH(B604,Cadencier!$A$5:$A$441,0)),"code inconnu")</f>
        <v>Rôti de dinde filet ficelé</v>
      </c>
      <c r="D604" s="29" t="n">
        <f aca="false">IFERROR(INDEX(Cadencier!$J$5:$J$441,MATCH(B604,Cadencier!$A$5:$A$441,0)),0)</f>
        <v>8.5</v>
      </c>
    </row>
    <row r="605" customFormat="false" ht="15" hidden="false" customHeight="false" outlineLevel="0" collapsed="false">
      <c r="A605" s="28" t="s">
        <v>1888</v>
      </c>
      <c r="B605" s="28" t="s">
        <v>484</v>
      </c>
      <c r="C605" s="28" t="str">
        <f aca="false">IFERROR(INDEX(Cadencier!$C$5:$C$441,MATCH(B605,Cadencier!$A$5:$A$441,0)),"code inconnu")</f>
        <v>Rôti de porc échine / longe ficelé</v>
      </c>
      <c r="D605" s="29" t="n">
        <f aca="false">IFERROR(INDEX(Cadencier!$J$5:$J$441,MATCH(B605,Cadencier!$A$5:$A$441,0)),0)</f>
        <v>7.5</v>
      </c>
    </row>
    <row r="606" customFormat="false" ht="15" hidden="false" customHeight="false" outlineLevel="0" collapsed="false">
      <c r="A606" s="28" t="s">
        <v>1889</v>
      </c>
      <c r="B606" s="28" t="s">
        <v>484</v>
      </c>
      <c r="C606" s="28" t="str">
        <f aca="false">IFERROR(INDEX(Cadencier!$C$5:$C$441,MATCH(B606,Cadencier!$A$5:$A$441,0)),"code inconnu")</f>
        <v>Rôti de porc échine / longe ficelé</v>
      </c>
      <c r="D606" s="29" t="n">
        <f aca="false">IFERROR(INDEX(Cadencier!$J$5:$J$441,MATCH(B606,Cadencier!$A$5:$A$441,0)),0)</f>
        <v>7.5</v>
      </c>
    </row>
    <row r="607" customFormat="false" ht="15" hidden="false" customHeight="false" outlineLevel="0" collapsed="false">
      <c r="A607" s="28" t="s">
        <v>1890</v>
      </c>
      <c r="B607" s="28" t="s">
        <v>486</v>
      </c>
      <c r="C607" s="28" t="str">
        <f aca="false">IFERROR(INDEX(Cadencier!$C$5:$C$441,MATCH(B607,Cadencier!$A$5:$A$441,0)),"code inconnu")</f>
        <v>Rôti de veau bas carré / épaule ficelé</v>
      </c>
      <c r="D607" s="29" t="n">
        <f aca="false">IFERROR(INDEX(Cadencier!$J$5:$J$441,MATCH(B607,Cadencier!$A$5:$A$441,0)),0)</f>
        <v>15</v>
      </c>
    </row>
    <row r="608" customFormat="false" ht="15" hidden="false" customHeight="false" outlineLevel="0" collapsed="false">
      <c r="A608" s="28" t="s">
        <v>1891</v>
      </c>
      <c r="B608" s="28" t="s">
        <v>1040</v>
      </c>
      <c r="C608" s="28" t="str">
        <f aca="false">IFERROR(INDEX(Cadencier!$C$5:$C$441,MATCH(B608,Cadencier!$A$5:$A$441,0)),"code inconnu")</f>
        <v>Rösti surgelés 100 g</v>
      </c>
      <c r="D608" s="29" t="n">
        <f aca="false">IFERROR(INDEX(Cadencier!$J$5:$J$441,MATCH(B608,Cadencier!$A$5:$A$441,0)),0)</f>
        <v>3.5</v>
      </c>
    </row>
    <row r="609" customFormat="false" ht="15" hidden="false" customHeight="false" outlineLevel="0" collapsed="false">
      <c r="A609" s="28" t="s">
        <v>1892</v>
      </c>
      <c r="B609" s="28" t="s">
        <v>1328</v>
      </c>
      <c r="C609" s="28" t="str">
        <f aca="false">IFERROR(INDEX(Cadencier!$C$5:$C$441,MATCH(B609,Cadencier!$A$5:$A$441,0)),"code inconnu")</f>
        <v>Safran / spigol</v>
      </c>
      <c r="D609" s="29" t="n">
        <f aca="false">IFERROR(INDEX(Cadencier!$J$5:$J$441,MATCH(B609,Cadencier!$A$5:$A$441,0)),0)</f>
        <v>120</v>
      </c>
    </row>
    <row r="610" customFormat="false" ht="15" hidden="false" customHeight="false" outlineLevel="0" collapsed="false">
      <c r="A610" s="28" t="s">
        <v>1893</v>
      </c>
      <c r="B610" s="28" t="s">
        <v>732</v>
      </c>
      <c r="C610" s="28" t="str">
        <f aca="false">IFERROR(INDEX(Cadencier!$C$5:$C$441,MATCH(B610,Cadencier!$A$5:$A$441,0)),"code inconnu")</f>
        <v>Saindoux</v>
      </c>
      <c r="D610" s="29" t="n">
        <f aca="false">IFERROR(INDEX(Cadencier!$J$5:$J$441,MATCH(B610,Cadencier!$A$5:$A$441,0)),0)</f>
        <v>3.5</v>
      </c>
    </row>
    <row r="611" customFormat="false" ht="15" hidden="false" customHeight="false" outlineLevel="0" collapsed="false">
      <c r="A611" s="28" t="s">
        <v>878</v>
      </c>
      <c r="B611" s="28" t="s">
        <v>877</v>
      </c>
      <c r="C611" s="28" t="str">
        <f aca="false">IFERROR(INDEX(Cadencier!$C$5:$C$441,MATCH(B611,Cadencier!$A$5:$A$441,0)),"code inconnu")</f>
        <v>Salade frisée</v>
      </c>
      <c r="D611" s="29" t="n">
        <f aca="false">IFERROR(INDEX(Cadencier!$J$5:$J$441,MATCH(B611,Cadencier!$A$5:$A$441,0)),0)</f>
        <v>3.6</v>
      </c>
    </row>
    <row r="612" customFormat="false" ht="15" hidden="false" customHeight="false" outlineLevel="0" collapsed="false">
      <c r="A612" s="28" t="s">
        <v>882</v>
      </c>
      <c r="B612" s="28" t="s">
        <v>881</v>
      </c>
      <c r="C612" s="28" t="str">
        <f aca="false">IFERROR(INDEX(Cadencier!$C$5:$C$441,MATCH(B612,Cadencier!$A$5:$A$441,0)),"code inconnu")</f>
        <v>Salade iceberg</v>
      </c>
      <c r="D612" s="29" t="n">
        <f aca="false">IFERROR(INDEX(Cadencier!$J$5:$J$441,MATCH(B612,Cadencier!$A$5:$A$441,0)),0)</f>
        <v>2.6</v>
      </c>
    </row>
    <row r="613" customFormat="false" ht="15" hidden="false" customHeight="false" outlineLevel="0" collapsed="false">
      <c r="A613" s="28" t="s">
        <v>1894</v>
      </c>
      <c r="B613" s="28" t="s">
        <v>828</v>
      </c>
      <c r="C613" s="28" t="str">
        <f aca="false">IFERROR(INDEX(Cadencier!$C$5:$C$441,MATCH(B613,Cadencier!$A$5:$A$441,0)),"code inconnu")</f>
        <v>Mesclun / salade mélangée 4ème gamme</v>
      </c>
      <c r="D613" s="29" t="n">
        <f aca="false">IFERROR(INDEX(Cadencier!$J$5:$J$441,MATCH(B613,Cadencier!$A$5:$A$441,0)),0)</f>
        <v>7</v>
      </c>
    </row>
    <row r="614" customFormat="false" ht="15" hidden="false" customHeight="false" outlineLevel="0" collapsed="false">
      <c r="A614" s="28" t="s">
        <v>1895</v>
      </c>
      <c r="B614" s="28" t="s">
        <v>884</v>
      </c>
      <c r="C614" s="28" t="str">
        <f aca="false">IFERROR(INDEX(Cadencier!$C$5:$C$441,MATCH(B614,Cadencier!$A$5:$A$441,0)),"code inconnu")</f>
        <v>Salade verte 4ème gamme (batavia / laitue / frisée)</v>
      </c>
      <c r="D614" s="29" t="n">
        <f aca="false">IFERROR(INDEX(Cadencier!$J$5:$J$441,MATCH(B614,Cadencier!$A$5:$A$441,0)),0)</f>
        <v>5.5</v>
      </c>
    </row>
    <row r="615" customFormat="false" ht="15" hidden="false" customHeight="false" outlineLevel="0" collapsed="false">
      <c r="A615" s="28" t="s">
        <v>9</v>
      </c>
      <c r="B615" s="28" t="s">
        <v>884</v>
      </c>
      <c r="C615" s="28" t="str">
        <f aca="false">IFERROR(INDEX(Cadencier!$C$5:$C$441,MATCH(B615,Cadencier!$A$5:$A$441,0)),"code inconnu")</f>
        <v>Salade verte 4ème gamme (batavia / laitue / frisée)</v>
      </c>
      <c r="D615" s="29" t="n">
        <f aca="false">IFERROR(INDEX(Cadencier!$J$5:$J$441,MATCH(B615,Cadencier!$A$5:$A$441,0)),0)</f>
        <v>5.5</v>
      </c>
    </row>
    <row r="616" customFormat="false" ht="15" hidden="false" customHeight="false" outlineLevel="0" collapsed="false">
      <c r="A616" s="28" t="s">
        <v>1896</v>
      </c>
      <c r="B616" s="28" t="s">
        <v>884</v>
      </c>
      <c r="C616" s="28" t="str">
        <f aca="false">IFERROR(INDEX(Cadencier!$C$5:$C$441,MATCH(B616,Cadencier!$A$5:$A$441,0)),"code inconnu")</f>
        <v>Salade verte 4ème gamme (batavia / laitue / frisée)</v>
      </c>
      <c r="D616" s="29" t="n">
        <f aca="false">IFERROR(INDEX(Cadencier!$J$5:$J$441,MATCH(B616,Cadencier!$A$5:$A$441,0)),0)</f>
        <v>5.5</v>
      </c>
    </row>
    <row r="617" customFormat="false" ht="15" hidden="false" customHeight="false" outlineLevel="0" collapsed="false">
      <c r="A617" s="28" t="s">
        <v>1897</v>
      </c>
      <c r="B617" s="28" t="s">
        <v>884</v>
      </c>
      <c r="C617" s="28" t="str">
        <f aca="false">IFERROR(INDEX(Cadencier!$C$5:$C$441,MATCH(B617,Cadencier!$A$5:$A$441,0)),"code inconnu")</f>
        <v>Salade verte 4ème gamme (batavia / laitue / frisée)</v>
      </c>
      <c r="D617" s="29" t="n">
        <f aca="false">IFERROR(INDEX(Cadencier!$J$5:$J$441,MATCH(B617,Cadencier!$A$5:$A$441,0)),0)</f>
        <v>5.5</v>
      </c>
    </row>
    <row r="618" customFormat="false" ht="15" hidden="false" customHeight="false" outlineLevel="0" collapsed="false">
      <c r="A618" s="28" t="s">
        <v>1898</v>
      </c>
      <c r="B618" s="28" t="s">
        <v>884</v>
      </c>
      <c r="C618" s="28" t="str">
        <f aca="false">IFERROR(INDEX(Cadencier!$C$5:$C$441,MATCH(B618,Cadencier!$A$5:$A$441,0)),"code inconnu")</f>
        <v>Salade verte 4ème gamme (batavia / laitue / frisée)</v>
      </c>
      <c r="D618" s="29" t="n">
        <f aca="false">IFERROR(INDEX(Cadencier!$J$5:$J$441,MATCH(B618,Cadencier!$A$5:$A$441,0)),0)</f>
        <v>5.5</v>
      </c>
    </row>
    <row r="619" customFormat="false" ht="15" hidden="false" customHeight="false" outlineLevel="0" collapsed="false">
      <c r="A619" s="28" t="s">
        <v>1899</v>
      </c>
      <c r="B619" s="28" t="s">
        <v>828</v>
      </c>
      <c r="C619" s="28" t="str">
        <f aca="false">IFERROR(INDEX(Cadencier!$C$5:$C$441,MATCH(B619,Cadencier!$A$5:$A$441,0)),"code inconnu")</f>
        <v>Mesclun / salade mélangée 4ème gamme</v>
      </c>
      <c r="D619" s="29" t="n">
        <f aca="false">IFERROR(INDEX(Cadencier!$J$5:$J$441,MATCH(B619,Cadencier!$A$5:$A$441,0)),0)</f>
        <v>7</v>
      </c>
    </row>
    <row r="620" customFormat="false" ht="15" hidden="false" customHeight="false" outlineLevel="0" collapsed="false">
      <c r="A620" s="28" t="s">
        <v>1043</v>
      </c>
      <c r="B620" s="28" t="s">
        <v>1042</v>
      </c>
      <c r="C620" s="28" t="str">
        <f aca="false">IFERROR(INDEX(Cadencier!$C$5:$C$441,MATCH(B620,Cadencier!$A$5:$A$441,0)),"code inconnu")</f>
        <v>Salsifis surgelés</v>
      </c>
      <c r="D620" s="29" t="n">
        <f aca="false">IFERROR(INDEX(Cadencier!$J$5:$J$441,MATCH(B620,Cadencier!$A$5:$A$441,0)),0)</f>
        <v>3.2</v>
      </c>
    </row>
    <row r="621" customFormat="false" ht="15" hidden="false" customHeight="false" outlineLevel="0" collapsed="false">
      <c r="A621" s="28" t="s">
        <v>1900</v>
      </c>
      <c r="B621" s="28" t="s">
        <v>1238</v>
      </c>
      <c r="C621" s="28" t="str">
        <f aca="false">IFERROR(INDEX(Cadencier!$C$5:$C$441,MATCH(B621,Cadencier!$A$5:$A$441,0)),"code inconnu")</f>
        <v>Sardines à l'huile</v>
      </c>
      <c r="D621" s="29" t="n">
        <f aca="false">IFERROR(INDEX(Cadencier!$J$5:$J$441,MATCH(B621,Cadencier!$A$5:$A$441,0)),0)</f>
        <v>9</v>
      </c>
    </row>
    <row r="622" customFormat="false" ht="15" hidden="false" customHeight="false" outlineLevel="0" collapsed="false">
      <c r="A622" s="28" t="s">
        <v>1242</v>
      </c>
      <c r="B622" s="28" t="s">
        <v>1241</v>
      </c>
      <c r="C622" s="28" t="str">
        <f aca="false">IFERROR(INDEX(Cadencier!$C$5:$C$441,MATCH(B622,Cadencier!$A$5:$A$441,0)),"code inconnu")</f>
        <v>Sauce huître</v>
      </c>
      <c r="D622" s="29" t="n">
        <f aca="false">IFERROR(INDEX(Cadencier!$J$5:$J$441,MATCH(B622,Cadencier!$A$5:$A$441,0)),0)</f>
        <v>5</v>
      </c>
    </row>
    <row r="623" customFormat="false" ht="15" hidden="false" customHeight="false" outlineLevel="0" collapsed="false">
      <c r="A623" s="28" t="s">
        <v>1244</v>
      </c>
      <c r="B623" s="28" t="s">
        <v>1243</v>
      </c>
      <c r="C623" s="28" t="str">
        <f aca="false">IFERROR(INDEX(Cadencier!$C$5:$C$441,MATCH(B623,Cadencier!$A$5:$A$441,0)),"code inconnu")</f>
        <v>Sauce nuoc-mâm</v>
      </c>
      <c r="D623" s="29" t="n">
        <f aca="false">IFERROR(INDEX(Cadencier!$J$5:$J$441,MATCH(B623,Cadencier!$A$5:$A$441,0)),0)</f>
        <v>5</v>
      </c>
    </row>
    <row r="624" customFormat="false" ht="15" hidden="false" customHeight="false" outlineLevel="0" collapsed="false">
      <c r="A624" s="28" t="s">
        <v>1246</v>
      </c>
      <c r="B624" s="28" t="s">
        <v>1245</v>
      </c>
      <c r="C624" s="28" t="str">
        <f aca="false">IFERROR(INDEX(Cadencier!$C$5:$C$441,MATCH(B624,Cadencier!$A$5:$A$441,0)),"code inconnu")</f>
        <v>Sauce soja</v>
      </c>
      <c r="D624" s="29" t="n">
        <f aca="false">IFERROR(INDEX(Cadencier!$J$5:$J$441,MATCH(B624,Cadencier!$A$5:$A$441,0)),0)</f>
        <v>4</v>
      </c>
    </row>
    <row r="625" customFormat="false" ht="15" hidden="false" customHeight="false" outlineLevel="0" collapsed="false">
      <c r="A625" s="28" t="s">
        <v>611</v>
      </c>
      <c r="B625" s="28" t="s">
        <v>610</v>
      </c>
      <c r="C625" s="28" t="str">
        <f aca="false">IFERROR(INDEX(Cadencier!$C$5:$C$441,MATCH(B625,Cadencier!$A$5:$A$441,0)),"code inconnu")</f>
        <v>Saucisse de Morteau</v>
      </c>
      <c r="D625" s="29" t="n">
        <f aca="false">IFERROR(INDEX(Cadencier!$J$5:$J$441,MATCH(B625,Cadencier!$A$5:$A$441,0)),0)</f>
        <v>11</v>
      </c>
    </row>
    <row r="626" customFormat="false" ht="15" hidden="false" customHeight="false" outlineLevel="0" collapsed="false">
      <c r="A626" s="28" t="s">
        <v>1901</v>
      </c>
      <c r="B626" s="28" t="s">
        <v>613</v>
      </c>
      <c r="C626" s="28" t="str">
        <f aca="false">IFERROR(INDEX(Cadencier!$C$5:$C$441,MATCH(B626,Cadencier!$A$5:$A$441,0)),"code inconnu")</f>
        <v>Saucisse de Toulouse 120 g</v>
      </c>
      <c r="D626" s="29" t="n">
        <f aca="false">IFERROR(INDEX(Cadencier!$J$5:$J$441,MATCH(B626,Cadencier!$A$5:$A$441,0)),0)</f>
        <v>7.5</v>
      </c>
    </row>
    <row r="627" customFormat="false" ht="15" hidden="false" customHeight="false" outlineLevel="0" collapsed="false">
      <c r="A627" s="28" t="s">
        <v>1902</v>
      </c>
      <c r="B627" s="28" t="s">
        <v>615</v>
      </c>
      <c r="C627" s="28" t="str">
        <f aca="false">IFERROR(INDEX(Cadencier!$C$5:$C$441,MATCH(B627,Cadencier!$A$5:$A$441,0)),"code inconnu")</f>
        <v>Saucisse sèche</v>
      </c>
      <c r="D627" s="29" t="n">
        <f aca="false">IFERROR(INDEX(Cadencier!$J$5:$J$441,MATCH(B627,Cadencier!$A$5:$A$441,0)),0)</f>
        <v>14</v>
      </c>
    </row>
    <row r="628" customFormat="false" ht="15" hidden="false" customHeight="false" outlineLevel="0" collapsed="false">
      <c r="A628" s="28" t="s">
        <v>1903</v>
      </c>
      <c r="B628" s="28" t="s">
        <v>617</v>
      </c>
      <c r="C628" s="28" t="str">
        <f aca="false">IFERROR(INDEX(Cadencier!$C$5:$C$441,MATCH(B628,Cadencier!$A$5:$A$441,0)),"code inconnu")</f>
        <v>Saucisses de Montbéliard (fumées)</v>
      </c>
      <c r="D628" s="29" t="n">
        <f aca="false">IFERROR(INDEX(Cadencier!$J$5:$J$441,MATCH(B628,Cadencier!$A$5:$A$441,0)),0)</f>
        <v>9.5</v>
      </c>
    </row>
    <row r="629" customFormat="false" ht="15" hidden="false" customHeight="false" outlineLevel="0" collapsed="false">
      <c r="A629" s="28" t="s">
        <v>620</v>
      </c>
      <c r="B629" s="28" t="s">
        <v>619</v>
      </c>
      <c r="C629" s="28" t="str">
        <f aca="false">IFERROR(INDEX(Cadencier!$C$5:$C$441,MATCH(B629,Cadencier!$A$5:$A$441,0)),"code inconnu")</f>
        <v>Saucisses de Strasbourg (knacks)</v>
      </c>
      <c r="D629" s="29" t="n">
        <f aca="false">IFERROR(INDEX(Cadencier!$J$5:$J$441,MATCH(B629,Cadencier!$A$5:$A$441,0)),0)</f>
        <v>6.5</v>
      </c>
    </row>
    <row r="630" customFormat="false" ht="15" hidden="false" customHeight="false" outlineLevel="0" collapsed="false">
      <c r="A630" s="28" t="s">
        <v>1904</v>
      </c>
      <c r="B630" s="28" t="s">
        <v>613</v>
      </c>
      <c r="C630" s="28" t="str">
        <f aca="false">IFERROR(INDEX(Cadencier!$C$5:$C$441,MATCH(B630,Cadencier!$A$5:$A$441,0)),"code inconnu")</f>
        <v>Saucisse de Toulouse 120 g</v>
      </c>
      <c r="D630" s="29" t="n">
        <f aca="false">IFERROR(INDEX(Cadencier!$J$5:$J$441,MATCH(B630,Cadencier!$A$5:$A$441,0)),0)</f>
        <v>7.5</v>
      </c>
    </row>
    <row r="631" customFormat="false" ht="15" hidden="false" customHeight="false" outlineLevel="0" collapsed="false">
      <c r="A631" s="28" t="s">
        <v>1905</v>
      </c>
      <c r="B631" s="28" t="s">
        <v>621</v>
      </c>
      <c r="C631" s="28" t="str">
        <f aca="false">IFERROR(INDEX(Cadencier!$C$5:$C$441,MATCH(B631,Cadencier!$A$5:$A$441,0)),"code inconnu")</f>
        <v>Saucisses de volaille 100 g</v>
      </c>
      <c r="D631" s="29" t="n">
        <f aca="false">IFERROR(INDEX(Cadencier!$J$5:$J$441,MATCH(B631,Cadencier!$A$5:$A$441,0)),0)</f>
        <v>7.5</v>
      </c>
    </row>
    <row r="632" customFormat="false" ht="15" hidden="false" customHeight="false" outlineLevel="0" collapsed="false">
      <c r="A632" s="28" t="s">
        <v>1906</v>
      </c>
      <c r="B632" s="28" t="s">
        <v>617</v>
      </c>
      <c r="C632" s="28" t="str">
        <f aca="false">IFERROR(INDEX(Cadencier!$C$5:$C$441,MATCH(B632,Cadencier!$A$5:$A$441,0)),"code inconnu")</f>
        <v>Saucisses de Montbéliard (fumées)</v>
      </c>
      <c r="D632" s="29" t="n">
        <f aca="false">IFERROR(INDEX(Cadencier!$J$5:$J$441,MATCH(B632,Cadencier!$A$5:$A$441,0)),0)</f>
        <v>9.5</v>
      </c>
    </row>
    <row r="633" customFormat="false" ht="15" hidden="false" customHeight="false" outlineLevel="0" collapsed="false">
      <c r="A633" s="28" t="s">
        <v>1907</v>
      </c>
      <c r="B633" s="28" t="s">
        <v>617</v>
      </c>
      <c r="C633" s="28" t="str">
        <f aca="false">IFERROR(INDEX(Cadencier!$C$5:$C$441,MATCH(B633,Cadencier!$A$5:$A$441,0)),"code inconnu")</f>
        <v>Saucisses de Montbéliard (fumées)</v>
      </c>
      <c r="D633" s="29" t="n">
        <f aca="false">IFERROR(INDEX(Cadencier!$J$5:$J$441,MATCH(B633,Cadencier!$A$5:$A$441,0)),0)</f>
        <v>9.5</v>
      </c>
    </row>
    <row r="634" customFormat="false" ht="15" hidden="false" customHeight="false" outlineLevel="0" collapsed="false">
      <c r="A634" s="28" t="s">
        <v>1908</v>
      </c>
      <c r="B634" s="28" t="s">
        <v>623</v>
      </c>
      <c r="C634" s="28" t="str">
        <f aca="false">IFERROR(INDEX(Cadencier!$C$5:$C$441,MATCH(B634,Cadencier!$A$5:$A$441,0)),"code inconnu")</f>
        <v>Saucisson à cuire pistaché 1 kg</v>
      </c>
      <c r="D634" s="29" t="n">
        <f aca="false">IFERROR(INDEX(Cadencier!$J$5:$J$441,MATCH(B634,Cadencier!$A$5:$A$441,0)),0)</f>
        <v>12</v>
      </c>
    </row>
    <row r="635" customFormat="false" ht="15" hidden="false" customHeight="false" outlineLevel="0" collapsed="false">
      <c r="A635" s="28" t="s">
        <v>671</v>
      </c>
      <c r="B635" s="28" t="s">
        <v>670</v>
      </c>
      <c r="C635" s="28" t="str">
        <f aca="false">IFERROR(INDEX(Cadencier!$C$5:$C$441,MATCH(B635,Cadencier!$A$5:$A$441,0)),"code inconnu")</f>
        <v>Saumon fumé tranché</v>
      </c>
      <c r="D635" s="29" t="n">
        <f aca="false">IFERROR(INDEX(Cadencier!$J$5:$J$441,MATCH(B635,Cadencier!$A$5:$A$441,0)),0)</f>
        <v>26</v>
      </c>
    </row>
    <row r="636" customFormat="false" ht="15" hidden="false" customHeight="false" outlineLevel="0" collapsed="false">
      <c r="A636" s="28" t="s">
        <v>489</v>
      </c>
      <c r="B636" s="28" t="s">
        <v>488</v>
      </c>
      <c r="C636" s="28" t="str">
        <f aca="false">IFERROR(INDEX(Cadencier!$C$5:$C$441,MATCH(B636,Cadencier!$A$5:$A$441,0)),"code inconnu")</f>
        <v>Sauté d'agneau épaule 40/60 g</v>
      </c>
      <c r="D636" s="29" t="n">
        <f aca="false">IFERROR(INDEX(Cadencier!$J$5:$J$441,MATCH(B636,Cadencier!$A$5:$A$441,0)),0)</f>
        <v>13.5</v>
      </c>
    </row>
    <row r="637" customFormat="false" ht="15" hidden="false" customHeight="false" outlineLevel="0" collapsed="false">
      <c r="A637" s="28" t="s">
        <v>1909</v>
      </c>
      <c r="B637" s="28" t="s">
        <v>490</v>
      </c>
      <c r="C637" s="28" t="str">
        <f aca="false">IFERROR(INDEX(Cadencier!$C$5:$C$441,MATCH(B637,Cadencier!$A$5:$A$441,0)),"code inconnu")</f>
        <v>Sauté de bœuf gélatineux 40/60 g</v>
      </c>
      <c r="D637" s="29" t="n">
        <f aca="false">IFERROR(INDEX(Cadencier!$J$5:$J$441,MATCH(B637,Cadencier!$A$5:$A$441,0)),0)</f>
        <v>11</v>
      </c>
    </row>
    <row r="638" customFormat="false" ht="15" hidden="false" customHeight="false" outlineLevel="0" collapsed="false">
      <c r="A638" s="28" t="s">
        <v>1910</v>
      </c>
      <c r="B638" s="28" t="s">
        <v>490</v>
      </c>
      <c r="C638" s="28" t="str">
        <f aca="false">IFERROR(INDEX(Cadencier!$C$5:$C$441,MATCH(B638,Cadencier!$A$5:$A$441,0)),"code inconnu")</f>
        <v>Sauté de bœuf gélatineux 40/60 g</v>
      </c>
      <c r="D638" s="29" t="n">
        <f aca="false">IFERROR(INDEX(Cadencier!$J$5:$J$441,MATCH(B638,Cadencier!$A$5:$A$441,0)),0)</f>
        <v>11</v>
      </c>
    </row>
    <row r="639" customFormat="false" ht="15" hidden="false" customHeight="false" outlineLevel="0" collapsed="false">
      <c r="A639" s="28" t="s">
        <v>1911</v>
      </c>
      <c r="B639" s="28" t="s">
        <v>490</v>
      </c>
      <c r="C639" s="28" t="str">
        <f aca="false">IFERROR(INDEX(Cadencier!$C$5:$C$441,MATCH(B639,Cadencier!$A$5:$A$441,0)),"code inconnu")</f>
        <v>Sauté de bœuf gélatineux 40/60 g</v>
      </c>
      <c r="D639" s="29" t="n">
        <f aca="false">IFERROR(INDEX(Cadencier!$J$5:$J$441,MATCH(B639,Cadencier!$A$5:$A$441,0)),0)</f>
        <v>11</v>
      </c>
    </row>
    <row r="640" customFormat="false" ht="15" hidden="false" customHeight="false" outlineLevel="0" collapsed="false">
      <c r="A640" s="28" t="s">
        <v>549</v>
      </c>
      <c r="B640" s="28" t="s">
        <v>548</v>
      </c>
      <c r="C640" s="28" t="str">
        <f aca="false">IFERROR(INDEX(Cadencier!$C$5:$C$441,MATCH(B640,Cadencier!$A$5:$A$441,0)),"code inconnu")</f>
        <v>Sauté de dinde (cuisse) 40/60 g</v>
      </c>
      <c r="D640" s="29" t="n">
        <f aca="false">IFERROR(INDEX(Cadencier!$J$5:$J$441,MATCH(B640,Cadencier!$A$5:$A$441,0)),0)</f>
        <v>8</v>
      </c>
    </row>
    <row r="641" customFormat="false" ht="15" hidden="false" customHeight="false" outlineLevel="0" collapsed="false">
      <c r="A641" s="28" t="s">
        <v>1912</v>
      </c>
      <c r="B641" s="28" t="s">
        <v>492</v>
      </c>
      <c r="C641" s="28" t="str">
        <f aca="false">IFERROR(INDEX(Cadencier!$C$5:$C$441,MATCH(B641,Cadencier!$A$5:$A$441,0)),"code inconnu")</f>
        <v>Sauté de lapin (cuisses et râbles) 130 g</v>
      </c>
      <c r="D641" s="29" t="n">
        <f aca="false">IFERROR(INDEX(Cadencier!$J$5:$J$441,MATCH(B641,Cadencier!$A$5:$A$441,0)),0)</f>
        <v>10</v>
      </c>
    </row>
    <row r="642" customFormat="false" ht="15" hidden="false" customHeight="false" outlineLevel="0" collapsed="false">
      <c r="A642" s="28" t="s">
        <v>495</v>
      </c>
      <c r="B642" s="28" t="s">
        <v>494</v>
      </c>
      <c r="C642" s="28" t="str">
        <f aca="false">IFERROR(INDEX(Cadencier!$C$5:$C$441,MATCH(B642,Cadencier!$A$5:$A$441,0)),"code inconnu")</f>
        <v>Sauté de porc épaule 40/60 g</v>
      </c>
      <c r="D642" s="29" t="n">
        <f aca="false">IFERROR(INDEX(Cadencier!$J$5:$J$441,MATCH(B642,Cadencier!$A$5:$A$441,0)),0)</f>
        <v>7.5</v>
      </c>
    </row>
    <row r="643" customFormat="false" ht="15" hidden="false" customHeight="false" outlineLevel="0" collapsed="false">
      <c r="A643" s="28" t="s">
        <v>1913</v>
      </c>
      <c r="B643" s="28" t="s">
        <v>496</v>
      </c>
      <c r="C643" s="28" t="str">
        <f aca="false">IFERROR(INDEX(Cadencier!$C$5:$C$441,MATCH(B643,Cadencier!$A$5:$A$441,0)),"code inconnu")</f>
        <v>Sauté de taureau AOP Camargue 40/60 g</v>
      </c>
      <c r="D643" s="29" t="n">
        <f aca="false">IFERROR(INDEX(Cadencier!$J$5:$J$441,MATCH(B643,Cadencier!$A$5:$A$441,0)),0)</f>
        <v>13</v>
      </c>
    </row>
    <row r="644" customFormat="false" ht="15" hidden="false" customHeight="false" outlineLevel="0" collapsed="false">
      <c r="A644" s="28" t="s">
        <v>1914</v>
      </c>
      <c r="B644" s="28" t="s">
        <v>498</v>
      </c>
      <c r="C644" s="28" t="str">
        <f aca="false">IFERROR(INDEX(Cadencier!$C$5:$C$441,MATCH(B644,Cadencier!$A$5:$A$441,0)),"code inconnu")</f>
        <v>Sauté de veau blanquette (épaule) 40/60 g</v>
      </c>
      <c r="D644" s="29" t="n">
        <f aca="false">IFERROR(INDEX(Cadencier!$J$5:$J$441,MATCH(B644,Cadencier!$A$5:$A$441,0)),0)</f>
        <v>14</v>
      </c>
    </row>
    <row r="645" customFormat="false" ht="15" hidden="false" customHeight="false" outlineLevel="0" collapsed="false">
      <c r="A645" s="28" t="s">
        <v>1915</v>
      </c>
      <c r="B645" s="28" t="s">
        <v>498</v>
      </c>
      <c r="C645" s="28" t="str">
        <f aca="false">IFERROR(INDEX(Cadencier!$C$5:$C$441,MATCH(B645,Cadencier!$A$5:$A$441,0)),"code inconnu")</f>
        <v>Sauté de veau blanquette (épaule) 40/60 g</v>
      </c>
      <c r="D645" s="29" t="n">
        <f aca="false">IFERROR(INDEX(Cadencier!$J$5:$J$441,MATCH(B645,Cadencier!$A$5:$A$441,0)),0)</f>
        <v>14</v>
      </c>
    </row>
    <row r="646" customFormat="false" ht="15" hidden="false" customHeight="false" outlineLevel="0" collapsed="false">
      <c r="A646" s="28" t="s">
        <v>1916</v>
      </c>
      <c r="B646" s="28" t="s">
        <v>537</v>
      </c>
      <c r="C646" s="28" t="str">
        <f aca="false">IFERROR(INDEX(Cadencier!$C$5:$C$441,MATCH(B646,Cadencier!$A$5:$A$441,0)),"code inconnu")</f>
        <v>Hauts de cuisse de poulet désossés (sauté de volaille) 40/60 g</v>
      </c>
      <c r="D646" s="29" t="n">
        <f aca="false">IFERROR(INDEX(Cadencier!$J$5:$J$441,MATCH(B646,Cadencier!$A$5:$A$441,0)),0)</f>
        <v>7.5</v>
      </c>
    </row>
    <row r="647" customFormat="false" ht="15" hidden="false" customHeight="false" outlineLevel="0" collapsed="false">
      <c r="A647" s="28" t="s">
        <v>1917</v>
      </c>
      <c r="B647" s="28" t="s">
        <v>537</v>
      </c>
      <c r="C647" s="28" t="str">
        <f aca="false">IFERROR(INDEX(Cadencier!$C$5:$C$441,MATCH(B647,Cadencier!$A$5:$A$441,0)),"code inconnu")</f>
        <v>Hauts de cuisse de poulet désossés (sauté de volaille) 40/60 g</v>
      </c>
      <c r="D647" s="29" t="n">
        <f aca="false">IFERROR(INDEX(Cadencier!$J$5:$J$441,MATCH(B647,Cadencier!$A$5:$A$441,0)),0)</f>
        <v>7.5</v>
      </c>
    </row>
    <row r="648" customFormat="false" ht="15" hidden="false" customHeight="false" outlineLevel="0" collapsed="false">
      <c r="A648" s="28" t="s">
        <v>1918</v>
      </c>
      <c r="B648" s="28" t="s">
        <v>490</v>
      </c>
      <c r="C648" s="28" t="str">
        <f aca="false">IFERROR(INDEX(Cadencier!$C$5:$C$441,MATCH(B648,Cadencier!$A$5:$A$441,0)),"code inconnu")</f>
        <v>Sauté de bœuf gélatineux 40/60 g</v>
      </c>
      <c r="D648" s="29" t="n">
        <f aca="false">IFERROR(INDEX(Cadencier!$J$5:$J$441,MATCH(B648,Cadencier!$A$5:$A$441,0)),0)</f>
        <v>11</v>
      </c>
    </row>
    <row r="649" customFormat="false" ht="15" hidden="false" customHeight="false" outlineLevel="0" collapsed="false">
      <c r="A649" s="28" t="s">
        <v>1919</v>
      </c>
      <c r="B649" s="28" t="s">
        <v>1331</v>
      </c>
      <c r="C649" s="28" t="str">
        <f aca="false">IFERROR(INDEX(Cadencier!$C$5:$C$441,MATCH(B649,Cadencier!$A$5:$A$441,0)),"code inconnu")</f>
        <v>Sel fin</v>
      </c>
      <c r="D649" s="29" t="n">
        <f aca="false">IFERROR(INDEX(Cadencier!$J$5:$J$441,MATCH(B649,Cadencier!$A$5:$A$441,0)),0)</f>
        <v>2</v>
      </c>
    </row>
    <row r="650" customFormat="false" ht="15" hidden="false" customHeight="false" outlineLevel="0" collapsed="false">
      <c r="A650" s="28" t="s">
        <v>1920</v>
      </c>
      <c r="B650" s="28" t="s">
        <v>1331</v>
      </c>
      <c r="C650" s="28" t="str">
        <f aca="false">IFERROR(INDEX(Cadencier!$C$5:$C$441,MATCH(B650,Cadencier!$A$5:$A$441,0)),"code inconnu")</f>
        <v>Sel fin</v>
      </c>
      <c r="D650" s="29" t="n">
        <f aca="false">IFERROR(INDEX(Cadencier!$J$5:$J$441,MATCH(B650,Cadencier!$A$5:$A$441,0)),0)</f>
        <v>2</v>
      </c>
    </row>
    <row r="651" customFormat="false" ht="15" hidden="false" customHeight="false" outlineLevel="0" collapsed="false">
      <c r="A651" s="28" t="s">
        <v>1921</v>
      </c>
      <c r="B651" s="28" t="s">
        <v>1331</v>
      </c>
      <c r="C651" s="28" t="str">
        <f aca="false">IFERROR(INDEX(Cadencier!$C$5:$C$441,MATCH(B651,Cadencier!$A$5:$A$441,0)),"code inconnu")</f>
        <v>Sel fin</v>
      </c>
      <c r="D651" s="29" t="n">
        <f aca="false">IFERROR(INDEX(Cadencier!$J$5:$J$441,MATCH(B651,Cadencier!$A$5:$A$441,0)),0)</f>
        <v>2</v>
      </c>
    </row>
    <row r="652" customFormat="false" ht="15" hidden="false" customHeight="false" outlineLevel="0" collapsed="false">
      <c r="A652" s="28" t="s">
        <v>1922</v>
      </c>
      <c r="B652" s="28" t="s">
        <v>1331</v>
      </c>
      <c r="C652" s="28" t="str">
        <f aca="false">IFERROR(INDEX(Cadencier!$C$5:$C$441,MATCH(B652,Cadencier!$A$5:$A$441,0)),"code inconnu")</f>
        <v>Sel fin</v>
      </c>
      <c r="D652" s="29" t="n">
        <f aca="false">IFERROR(INDEX(Cadencier!$J$5:$J$441,MATCH(B652,Cadencier!$A$5:$A$441,0)),0)</f>
        <v>2</v>
      </c>
    </row>
    <row r="653" customFormat="false" ht="15" hidden="false" customHeight="false" outlineLevel="0" collapsed="false">
      <c r="A653" s="28" t="s">
        <v>1923</v>
      </c>
      <c r="B653" s="28" t="s">
        <v>1331</v>
      </c>
      <c r="C653" s="28" t="str">
        <f aca="false">IFERROR(INDEX(Cadencier!$C$5:$C$441,MATCH(B653,Cadencier!$A$5:$A$441,0)),"code inconnu")</f>
        <v>Sel fin</v>
      </c>
      <c r="D653" s="29" t="n">
        <f aca="false">IFERROR(INDEX(Cadencier!$J$5:$J$441,MATCH(B653,Cadencier!$A$5:$A$441,0)),0)</f>
        <v>2</v>
      </c>
    </row>
    <row r="654" customFormat="false" ht="15" hidden="false" customHeight="false" outlineLevel="0" collapsed="false">
      <c r="A654" s="28" t="s">
        <v>1924</v>
      </c>
      <c r="B654" s="28" t="s">
        <v>1331</v>
      </c>
      <c r="C654" s="28" t="str">
        <f aca="false">IFERROR(INDEX(Cadencier!$C$5:$C$441,MATCH(B654,Cadencier!$A$5:$A$441,0)),"code inconnu")</f>
        <v>Sel fin</v>
      </c>
      <c r="D654" s="29" t="n">
        <f aca="false">IFERROR(INDEX(Cadencier!$J$5:$J$441,MATCH(B654,Cadencier!$A$5:$A$441,0)),0)</f>
        <v>2</v>
      </c>
    </row>
    <row r="655" customFormat="false" ht="15" hidden="false" customHeight="false" outlineLevel="0" collapsed="false">
      <c r="A655" s="28" t="s">
        <v>1925</v>
      </c>
      <c r="B655" s="28" t="s">
        <v>1331</v>
      </c>
      <c r="C655" s="28" t="str">
        <f aca="false">IFERROR(INDEX(Cadencier!$C$5:$C$441,MATCH(B655,Cadencier!$A$5:$A$441,0)),"code inconnu")</f>
        <v>Sel fin</v>
      </c>
      <c r="D655" s="29" t="n">
        <f aca="false">IFERROR(INDEX(Cadencier!$J$5:$J$441,MATCH(B655,Cadencier!$A$5:$A$441,0)),0)</f>
        <v>2</v>
      </c>
    </row>
    <row r="656" customFormat="false" ht="15" hidden="false" customHeight="false" outlineLevel="0" collapsed="false">
      <c r="A656" s="28" t="s">
        <v>1926</v>
      </c>
      <c r="B656" s="28" t="s">
        <v>1331</v>
      </c>
      <c r="C656" s="28" t="str">
        <f aca="false">IFERROR(INDEX(Cadencier!$C$5:$C$441,MATCH(B656,Cadencier!$A$5:$A$441,0)),"code inconnu")</f>
        <v>Sel fin</v>
      </c>
      <c r="D656" s="29" t="n">
        <f aca="false">IFERROR(INDEX(Cadencier!$J$5:$J$441,MATCH(B656,Cadencier!$A$5:$A$441,0)),0)</f>
        <v>2</v>
      </c>
    </row>
    <row r="657" customFormat="false" ht="15" hidden="false" customHeight="false" outlineLevel="0" collapsed="false">
      <c r="A657" s="28" t="s">
        <v>1332</v>
      </c>
      <c r="B657" s="28" t="s">
        <v>1331</v>
      </c>
      <c r="C657" s="28" t="str">
        <f aca="false">IFERROR(INDEX(Cadencier!$C$5:$C$441,MATCH(B657,Cadencier!$A$5:$A$441,0)),"code inconnu")</f>
        <v>Sel fin</v>
      </c>
      <c r="D657" s="29" t="n">
        <f aca="false">IFERROR(INDEX(Cadencier!$J$5:$J$441,MATCH(B657,Cadencier!$A$5:$A$441,0)),0)</f>
        <v>2</v>
      </c>
    </row>
    <row r="658" customFormat="false" ht="15" hidden="false" customHeight="false" outlineLevel="0" collapsed="false">
      <c r="A658" s="28" t="s">
        <v>1927</v>
      </c>
      <c r="B658" s="28" t="s">
        <v>1331</v>
      </c>
      <c r="C658" s="28" t="str">
        <f aca="false">IFERROR(INDEX(Cadencier!$C$5:$C$441,MATCH(B658,Cadencier!$A$5:$A$441,0)),"code inconnu")</f>
        <v>Sel fin</v>
      </c>
      <c r="D658" s="29" t="n">
        <f aca="false">IFERROR(INDEX(Cadencier!$J$5:$J$441,MATCH(B658,Cadencier!$A$5:$A$441,0)),0)</f>
        <v>2</v>
      </c>
    </row>
    <row r="659" customFormat="false" ht="15" hidden="false" customHeight="false" outlineLevel="0" collapsed="false">
      <c r="A659" s="28" t="s">
        <v>1928</v>
      </c>
      <c r="B659" s="28" t="s">
        <v>1283</v>
      </c>
      <c r="C659" s="28" t="str">
        <f aca="false">IFERROR(INDEX(Cadencier!$C$5:$C$441,MATCH(B659,Cadencier!$A$5:$A$441,0)),"code inconnu")</f>
        <v>Gros sel</v>
      </c>
      <c r="D659" s="29" t="n">
        <f aca="false">IFERROR(INDEX(Cadencier!$J$5:$J$441,MATCH(B659,Cadencier!$A$5:$A$441,0)),0)</f>
        <v>0.8</v>
      </c>
    </row>
    <row r="660" customFormat="false" ht="15" hidden="false" customHeight="false" outlineLevel="0" collapsed="false">
      <c r="A660" s="28" t="s">
        <v>1929</v>
      </c>
      <c r="B660" s="28" t="s">
        <v>1331</v>
      </c>
      <c r="C660" s="28" t="str">
        <f aca="false">IFERROR(INDEX(Cadencier!$C$5:$C$441,MATCH(B660,Cadencier!$A$5:$A$441,0)),"code inconnu")</f>
        <v>Sel fin</v>
      </c>
      <c r="D660" s="29" t="n">
        <f aca="false">IFERROR(INDEX(Cadencier!$J$5:$J$441,MATCH(B660,Cadencier!$A$5:$A$441,0)),0)</f>
        <v>2</v>
      </c>
    </row>
    <row r="661" customFormat="false" ht="15" hidden="false" customHeight="false" outlineLevel="0" collapsed="false">
      <c r="A661" s="28" t="s">
        <v>1175</v>
      </c>
      <c r="B661" s="28" t="s">
        <v>1174</v>
      </c>
      <c r="C661" s="28" t="str">
        <f aca="false">IFERROR(INDEX(Cadencier!$C$5:$C$441,MATCH(B661,Cadencier!$A$5:$A$441,0)),"code inconnu")</f>
        <v>Semoule de blé moyenne</v>
      </c>
      <c r="D661" s="29" t="n">
        <f aca="false">IFERROR(INDEX(Cadencier!$J$5:$J$441,MATCH(B661,Cadencier!$A$5:$A$441,0)),0)</f>
        <v>1.5</v>
      </c>
    </row>
    <row r="662" customFormat="false" ht="15" hidden="false" customHeight="false" outlineLevel="0" collapsed="false">
      <c r="A662" s="28" t="s">
        <v>1930</v>
      </c>
      <c r="B662" s="28" t="s">
        <v>1174</v>
      </c>
      <c r="C662" s="28" t="str">
        <f aca="false">IFERROR(INDEX(Cadencier!$C$5:$C$441,MATCH(B662,Cadencier!$A$5:$A$441,0)),"code inconnu")</f>
        <v>Semoule de blé moyenne</v>
      </c>
      <c r="D662" s="29" t="n">
        <f aca="false">IFERROR(INDEX(Cadencier!$J$5:$J$441,MATCH(B662,Cadencier!$A$5:$A$441,0)),0)</f>
        <v>1.5</v>
      </c>
    </row>
    <row r="663" customFormat="false" ht="15" hidden="false" customHeight="false" outlineLevel="0" collapsed="false">
      <c r="A663" s="28" t="s">
        <v>1931</v>
      </c>
      <c r="B663" s="28" t="s">
        <v>1181</v>
      </c>
      <c r="C663" s="28" t="str">
        <f aca="false">IFERROR(INDEX(Cadencier!$C$5:$C$441,MATCH(B663,Cadencier!$A$5:$A$441,0)),"code inconnu")</f>
        <v>Sucre semoule</v>
      </c>
      <c r="D663" s="29" t="n">
        <f aca="false">IFERROR(INDEX(Cadencier!$J$5:$J$441,MATCH(B663,Cadencier!$A$5:$A$441,0)),0)</f>
        <v>1.3</v>
      </c>
    </row>
    <row r="664" customFormat="false" ht="15" hidden="false" customHeight="false" outlineLevel="0" collapsed="false">
      <c r="A664" s="28" t="s">
        <v>1371</v>
      </c>
      <c r="B664" s="28" t="s">
        <v>1370</v>
      </c>
      <c r="C664" s="28" t="str">
        <f aca="false">IFERROR(INDEX(Cadencier!$C$5:$C$441,MATCH(B664,Cadencier!$A$5:$A$441,0)),"code inconnu")</f>
        <v>Sirop de grenadine</v>
      </c>
      <c r="D664" s="29" t="n">
        <f aca="false">IFERROR(INDEX(Cadencier!$J$5:$J$441,MATCH(B664,Cadencier!$A$5:$A$441,0)),0)</f>
        <v>3.5</v>
      </c>
    </row>
    <row r="665" customFormat="false" ht="15" hidden="false" customHeight="false" outlineLevel="0" collapsed="false">
      <c r="A665" s="28" t="s">
        <v>551</v>
      </c>
      <c r="B665" s="28" t="s">
        <v>550</v>
      </c>
      <c r="C665" s="28" t="str">
        <f aca="false">IFERROR(INDEX(Cadencier!$C$5:$C$441,MATCH(B665,Cadencier!$A$5:$A$441,0)),"code inconnu")</f>
        <v>Sot-l'y-laisse de dinde</v>
      </c>
      <c r="D665" s="29" t="n">
        <f aca="false">IFERROR(INDEX(Cadencier!$J$5:$J$441,MATCH(B665,Cadencier!$A$5:$A$441,0)),0)</f>
        <v>9.5</v>
      </c>
    </row>
    <row r="666" customFormat="false" ht="15" hidden="false" customHeight="false" outlineLevel="0" collapsed="false">
      <c r="A666" s="28" t="s">
        <v>1932</v>
      </c>
      <c r="B666" s="28" t="s">
        <v>1247</v>
      </c>
      <c r="C666" s="28" t="str">
        <f aca="false">IFERROR(INDEX(Cadencier!$C$5:$C$441,MATCH(B666,Cadencier!$A$5:$A$441,0)),"code inconnu")</f>
        <v>Soupe de poisson prête à l'emploi</v>
      </c>
      <c r="D666" s="29" t="n">
        <f aca="false">IFERROR(INDEX(Cadencier!$J$5:$J$441,MATCH(B666,Cadencier!$A$5:$A$441,0)),0)</f>
        <v>6</v>
      </c>
    </row>
    <row r="667" customFormat="false" ht="15" hidden="false" customHeight="false" outlineLevel="0" collapsed="false">
      <c r="A667" s="28" t="s">
        <v>1933</v>
      </c>
      <c r="B667" s="28" t="s">
        <v>500</v>
      </c>
      <c r="C667" s="28" t="str">
        <f aca="false">IFERROR(INDEX(Cadencier!$C$5:$C$441,MATCH(B667,Cadencier!$A$5:$A$441,0)),"code inconnu")</f>
        <v>Souris d'agneau 300/350 g</v>
      </c>
      <c r="D667" s="29" t="n">
        <f aca="false">IFERROR(INDEX(Cadencier!$J$5:$J$441,MATCH(B667,Cadencier!$A$5:$A$441,0)),0)</f>
        <v>13</v>
      </c>
    </row>
    <row r="668" customFormat="false" ht="15" hidden="false" customHeight="false" outlineLevel="0" collapsed="false">
      <c r="A668" s="28" t="s">
        <v>1177</v>
      </c>
      <c r="B668" s="28" t="s">
        <v>1176</v>
      </c>
      <c r="C668" s="28" t="str">
        <f aca="false">IFERROR(INDEX(Cadencier!$C$5:$C$441,MATCH(B668,Cadencier!$A$5:$A$441,0)),"code inconnu")</f>
        <v>Spéculoos</v>
      </c>
      <c r="D668" s="29" t="n">
        <f aca="false">IFERROR(INDEX(Cadencier!$J$5:$J$441,MATCH(B668,Cadencier!$A$5:$A$441,0)),0)</f>
        <v>7</v>
      </c>
    </row>
    <row r="669" customFormat="false" ht="15" hidden="false" customHeight="false" outlineLevel="0" collapsed="false">
      <c r="A669" s="28" t="s">
        <v>1934</v>
      </c>
      <c r="B669" s="28" t="s">
        <v>502</v>
      </c>
      <c r="C669" s="28" t="str">
        <f aca="false">IFERROR(INDEX(Cadencier!$C$5:$C$441,MATCH(B669,Cadencier!$A$5:$A$441,0)),"code inconnu")</f>
        <v>Steaks de bœuf 120 g</v>
      </c>
      <c r="D669" s="29" t="n">
        <f aca="false">IFERROR(INDEX(Cadencier!$J$5:$J$441,MATCH(B669,Cadencier!$A$5:$A$441,0)),0)</f>
        <v>16.5</v>
      </c>
    </row>
    <row r="670" customFormat="false" ht="15" hidden="false" customHeight="false" outlineLevel="0" collapsed="false">
      <c r="A670" s="28" t="s">
        <v>1935</v>
      </c>
      <c r="B670" s="28" t="s">
        <v>504</v>
      </c>
      <c r="C670" s="28" t="str">
        <f aca="false">IFERROR(INDEX(Cadencier!$C$5:$C$441,MATCH(B670,Cadencier!$A$5:$A$441,0)),"code inconnu")</f>
        <v>Steaks hachés 15 % MG 100 g frais</v>
      </c>
      <c r="D670" s="29" t="n">
        <f aca="false">IFERROR(INDEX(Cadencier!$J$5:$J$441,MATCH(B670,Cadencier!$A$5:$A$441,0)),0)</f>
        <v>10.5</v>
      </c>
    </row>
    <row r="671" customFormat="false" ht="15" hidden="false" customHeight="false" outlineLevel="0" collapsed="false">
      <c r="A671" s="28" t="s">
        <v>1936</v>
      </c>
      <c r="B671" s="28" t="s">
        <v>507</v>
      </c>
      <c r="C671" s="28" t="str">
        <f aca="false">IFERROR(INDEX(Cadencier!$C$5:$C$441,MATCH(B671,Cadencier!$A$5:$A$441,0)),"code inconnu")</f>
        <v>Steaks hachés 15 % MG 100 g surgelés</v>
      </c>
      <c r="D671" s="29" t="n">
        <f aca="false">IFERROR(INDEX(Cadencier!$J$5:$J$441,MATCH(B671,Cadencier!$A$5:$A$441,0)),0)</f>
        <v>9</v>
      </c>
    </row>
    <row r="672" customFormat="false" ht="15" hidden="false" customHeight="false" outlineLevel="0" collapsed="false">
      <c r="A672" s="28" t="s">
        <v>1937</v>
      </c>
      <c r="B672" s="28" t="s">
        <v>1181</v>
      </c>
      <c r="C672" s="28" t="str">
        <f aca="false">IFERROR(INDEX(Cadencier!$C$5:$C$441,MATCH(B672,Cadencier!$A$5:$A$441,0)),"code inconnu")</f>
        <v>Sucre semoule</v>
      </c>
      <c r="D672" s="29" t="n">
        <f aca="false">IFERROR(INDEX(Cadencier!$J$5:$J$441,MATCH(B672,Cadencier!$A$5:$A$441,0)),0)</f>
        <v>1.3</v>
      </c>
    </row>
    <row r="673" customFormat="false" ht="15" hidden="false" customHeight="false" outlineLevel="0" collapsed="false">
      <c r="A673" s="28" t="s">
        <v>1180</v>
      </c>
      <c r="B673" s="28" t="s">
        <v>1179</v>
      </c>
      <c r="C673" s="28" t="str">
        <f aca="false">IFERROR(INDEX(Cadencier!$C$5:$C$441,MATCH(B673,Cadencier!$A$5:$A$441,0)),"code inconnu")</f>
        <v>Sucre glace</v>
      </c>
      <c r="D673" s="29" t="n">
        <f aca="false">IFERROR(INDEX(Cadencier!$J$5:$J$441,MATCH(B673,Cadencier!$A$5:$A$441,0)),0)</f>
        <v>2</v>
      </c>
    </row>
    <row r="674" customFormat="false" ht="15" hidden="false" customHeight="false" outlineLevel="0" collapsed="false">
      <c r="A674" s="28" t="s">
        <v>1938</v>
      </c>
      <c r="B674" s="28" t="s">
        <v>1181</v>
      </c>
      <c r="C674" s="28" t="str">
        <f aca="false">IFERROR(INDEX(Cadencier!$C$5:$C$441,MATCH(B674,Cadencier!$A$5:$A$441,0)),"code inconnu")</f>
        <v>Sucre semoule</v>
      </c>
      <c r="D674" s="29" t="n">
        <f aca="false">IFERROR(INDEX(Cadencier!$J$5:$J$441,MATCH(B674,Cadencier!$A$5:$A$441,0)),0)</f>
        <v>1.3</v>
      </c>
    </row>
    <row r="675" customFormat="false" ht="15" hidden="false" customHeight="false" outlineLevel="0" collapsed="false">
      <c r="A675" s="28" t="s">
        <v>1939</v>
      </c>
      <c r="B675" s="28" t="s">
        <v>1181</v>
      </c>
      <c r="C675" s="28" t="str">
        <f aca="false">IFERROR(INDEX(Cadencier!$C$5:$C$441,MATCH(B675,Cadencier!$A$5:$A$441,0)),"code inconnu")</f>
        <v>Sucre semoule</v>
      </c>
      <c r="D675" s="29" t="n">
        <f aca="false">IFERROR(INDEX(Cadencier!$J$5:$J$441,MATCH(B675,Cadencier!$A$5:$A$441,0)),0)</f>
        <v>1.3</v>
      </c>
    </row>
    <row r="676" customFormat="false" ht="15" hidden="false" customHeight="false" outlineLevel="0" collapsed="false">
      <c r="A676" s="28" t="s">
        <v>1182</v>
      </c>
      <c r="B676" s="28" t="s">
        <v>1181</v>
      </c>
      <c r="C676" s="28" t="str">
        <f aca="false">IFERROR(INDEX(Cadencier!$C$5:$C$441,MATCH(B676,Cadencier!$A$5:$A$441,0)),"code inconnu")</f>
        <v>Sucre semoule</v>
      </c>
      <c r="D676" s="29" t="n">
        <f aca="false">IFERROR(INDEX(Cadencier!$J$5:$J$441,MATCH(B676,Cadencier!$A$5:$A$441,0)),0)</f>
        <v>1.3</v>
      </c>
    </row>
    <row r="677" customFormat="false" ht="15" hidden="false" customHeight="false" outlineLevel="0" collapsed="false">
      <c r="A677" s="28" t="s">
        <v>1940</v>
      </c>
      <c r="B677" s="28" t="s">
        <v>1181</v>
      </c>
      <c r="C677" s="28" t="str">
        <f aca="false">IFERROR(INDEX(Cadencier!$C$5:$C$441,MATCH(B677,Cadencier!$A$5:$A$441,0)),"code inconnu")</f>
        <v>Sucre semoule</v>
      </c>
      <c r="D677" s="29" t="n">
        <f aca="false">IFERROR(INDEX(Cadencier!$J$5:$J$441,MATCH(B677,Cadencier!$A$5:$A$441,0)),0)</f>
        <v>1.3</v>
      </c>
    </row>
    <row r="678" customFormat="false" ht="15" hidden="false" customHeight="false" outlineLevel="0" collapsed="false">
      <c r="A678" s="28" t="s">
        <v>1941</v>
      </c>
      <c r="B678" s="28" t="s">
        <v>1181</v>
      </c>
      <c r="C678" s="28" t="str">
        <f aca="false">IFERROR(INDEX(Cadencier!$C$5:$C$441,MATCH(B678,Cadencier!$A$5:$A$441,0)),"code inconnu")</f>
        <v>Sucre semoule</v>
      </c>
      <c r="D678" s="29" t="n">
        <f aca="false">IFERROR(INDEX(Cadencier!$J$5:$J$441,MATCH(B678,Cadencier!$A$5:$A$441,0)),0)</f>
        <v>1.3</v>
      </c>
    </row>
    <row r="679" customFormat="false" ht="15" hidden="false" customHeight="false" outlineLevel="0" collapsed="false">
      <c r="A679" s="28" t="s">
        <v>1942</v>
      </c>
      <c r="B679" s="28" t="s">
        <v>552</v>
      </c>
      <c r="C679" s="28" t="str">
        <f aca="false">IFERROR(INDEX(Cadencier!$C$5:$C$441,MATCH(B679,Cadencier!$A$5:$A$441,0)),"code inconnu")</f>
        <v>Suprêmes / filets de volaille 130/150 g</v>
      </c>
      <c r="D679" s="29" t="n">
        <f aca="false">IFERROR(INDEX(Cadencier!$J$5:$J$441,MATCH(B679,Cadencier!$A$5:$A$441,0)),0)</f>
        <v>9</v>
      </c>
    </row>
    <row r="680" customFormat="false" ht="15" hidden="false" customHeight="false" outlineLevel="0" collapsed="false">
      <c r="A680" s="28" t="s">
        <v>1943</v>
      </c>
      <c r="B680" s="28" t="s">
        <v>552</v>
      </c>
      <c r="C680" s="28" t="str">
        <f aca="false">IFERROR(INDEX(Cadencier!$C$5:$C$441,MATCH(B680,Cadencier!$A$5:$A$441,0)),"code inconnu")</f>
        <v>Suprêmes / filets de volaille 130/150 g</v>
      </c>
      <c r="D680" s="29" t="n">
        <f aca="false">IFERROR(INDEX(Cadencier!$J$5:$J$441,MATCH(B680,Cadencier!$A$5:$A$441,0)),0)</f>
        <v>9</v>
      </c>
    </row>
    <row r="681" customFormat="false" ht="15" hidden="false" customHeight="false" outlineLevel="0" collapsed="false">
      <c r="A681" s="28" t="s">
        <v>1944</v>
      </c>
      <c r="B681" s="28" t="s">
        <v>1249</v>
      </c>
      <c r="C681" s="28" t="str">
        <f aca="false">IFERROR(INDEX(Cadencier!$C$5:$C$441,MATCH(B681,Cadencier!$A$5:$A$441,0)),"code inconnu")</f>
        <v>Thon au naturel</v>
      </c>
      <c r="D681" s="29" t="n">
        <f aca="false">IFERROR(INDEX(Cadencier!$J$5:$J$441,MATCH(B681,Cadencier!$A$5:$A$441,0)),0)</f>
        <v>9.5</v>
      </c>
    </row>
    <row r="682" customFormat="false" ht="15" hidden="false" customHeight="false" outlineLevel="0" collapsed="false">
      <c r="A682" s="28" t="s">
        <v>1945</v>
      </c>
      <c r="B682" s="28" t="s">
        <v>1333</v>
      </c>
      <c r="C682" s="28" t="str">
        <f aca="false">IFERROR(INDEX(Cadencier!$C$5:$C$441,MATCH(B682,Cadencier!$A$5:$A$441,0)),"code inconnu")</f>
        <v>Thym / laurier (bouquet garni)</v>
      </c>
      <c r="D682" s="29" t="n">
        <f aca="false">IFERROR(INDEX(Cadencier!$J$5:$J$441,MATCH(B682,Cadencier!$A$5:$A$441,0)),0)</f>
        <v>16</v>
      </c>
    </row>
    <row r="683" customFormat="false" ht="15" hidden="false" customHeight="false" outlineLevel="0" collapsed="false">
      <c r="A683" s="28" t="s">
        <v>1946</v>
      </c>
      <c r="B683" s="28" t="s">
        <v>1333</v>
      </c>
      <c r="C683" s="28" t="str">
        <f aca="false">IFERROR(INDEX(Cadencier!$C$5:$C$441,MATCH(B683,Cadencier!$A$5:$A$441,0)),"code inconnu")</f>
        <v>Thym / laurier (bouquet garni)</v>
      </c>
      <c r="D683" s="29" t="n">
        <f aca="false">IFERROR(INDEX(Cadencier!$J$5:$J$441,MATCH(B683,Cadencier!$A$5:$A$441,0)),0)</f>
        <v>16</v>
      </c>
    </row>
    <row r="684" customFormat="false" ht="15" hidden="false" customHeight="false" outlineLevel="0" collapsed="false">
      <c r="A684" s="28" t="s">
        <v>1947</v>
      </c>
      <c r="B684" s="28" t="s">
        <v>1333</v>
      </c>
      <c r="C684" s="28" t="str">
        <f aca="false">IFERROR(INDEX(Cadencier!$C$5:$C$441,MATCH(B684,Cadencier!$A$5:$A$441,0)),"code inconnu")</f>
        <v>Thym / laurier (bouquet garni)</v>
      </c>
      <c r="D684" s="29" t="n">
        <f aca="false">IFERROR(INDEX(Cadencier!$J$5:$J$441,MATCH(B684,Cadencier!$A$5:$A$441,0)),0)</f>
        <v>16</v>
      </c>
    </row>
    <row r="685" customFormat="false" ht="15" hidden="false" customHeight="false" outlineLevel="0" collapsed="false">
      <c r="A685" s="28" t="s">
        <v>1948</v>
      </c>
      <c r="B685" s="28" t="s">
        <v>1333</v>
      </c>
      <c r="C685" s="28" t="str">
        <f aca="false">IFERROR(INDEX(Cadencier!$C$5:$C$441,MATCH(B685,Cadencier!$A$5:$A$441,0)),"code inconnu")</f>
        <v>Thym / laurier (bouquet garni)</v>
      </c>
      <c r="D685" s="29" t="n">
        <f aca="false">IFERROR(INDEX(Cadencier!$J$5:$J$441,MATCH(B685,Cadencier!$A$5:$A$441,0)),0)</f>
        <v>16</v>
      </c>
    </row>
    <row r="686" customFormat="false" ht="15" hidden="false" customHeight="false" outlineLevel="0" collapsed="false">
      <c r="A686" s="28" t="s">
        <v>1949</v>
      </c>
      <c r="B686" s="28" t="s">
        <v>1333</v>
      </c>
      <c r="C686" s="28" t="str">
        <f aca="false">IFERROR(INDEX(Cadencier!$C$5:$C$441,MATCH(B686,Cadencier!$A$5:$A$441,0)),"code inconnu")</f>
        <v>Thym / laurier (bouquet garni)</v>
      </c>
      <c r="D686" s="29" t="n">
        <f aca="false">IFERROR(INDEX(Cadencier!$J$5:$J$441,MATCH(B686,Cadencier!$A$5:$A$441,0)),0)</f>
        <v>16</v>
      </c>
    </row>
    <row r="687" customFormat="false" ht="15" hidden="false" customHeight="false" outlineLevel="0" collapsed="false">
      <c r="A687" s="28" t="s">
        <v>1950</v>
      </c>
      <c r="B687" s="28" t="s">
        <v>1333</v>
      </c>
      <c r="C687" s="28" t="str">
        <f aca="false">IFERROR(INDEX(Cadencier!$C$5:$C$441,MATCH(B687,Cadencier!$A$5:$A$441,0)),"code inconnu")</f>
        <v>Thym / laurier (bouquet garni)</v>
      </c>
      <c r="D687" s="29" t="n">
        <f aca="false">IFERROR(INDEX(Cadencier!$J$5:$J$441,MATCH(B687,Cadencier!$A$5:$A$441,0)),0)</f>
        <v>16</v>
      </c>
    </row>
    <row r="688" customFormat="false" ht="15" hidden="false" customHeight="false" outlineLevel="0" collapsed="false">
      <c r="A688" s="28" t="s">
        <v>1951</v>
      </c>
      <c r="B688" s="28" t="s">
        <v>1333</v>
      </c>
      <c r="C688" s="28" t="str">
        <f aca="false">IFERROR(INDEX(Cadencier!$C$5:$C$441,MATCH(B688,Cadencier!$A$5:$A$441,0)),"code inconnu")</f>
        <v>Thym / laurier (bouquet garni)</v>
      </c>
      <c r="D688" s="29" t="n">
        <f aca="false">IFERROR(INDEX(Cadencier!$J$5:$J$441,MATCH(B688,Cadencier!$A$5:$A$441,0)),0)</f>
        <v>16</v>
      </c>
    </row>
    <row r="689" customFormat="false" ht="15" hidden="false" customHeight="false" outlineLevel="0" collapsed="false">
      <c r="A689" s="28" t="s">
        <v>1952</v>
      </c>
      <c r="B689" s="28" t="s">
        <v>1333</v>
      </c>
      <c r="C689" s="28" t="str">
        <f aca="false">IFERROR(INDEX(Cadencier!$C$5:$C$441,MATCH(B689,Cadencier!$A$5:$A$441,0)),"code inconnu")</f>
        <v>Thym / laurier (bouquet garni)</v>
      </c>
      <c r="D689" s="29" t="n">
        <f aca="false">IFERROR(INDEX(Cadencier!$J$5:$J$441,MATCH(B689,Cadencier!$A$5:$A$441,0)),0)</f>
        <v>16</v>
      </c>
    </row>
    <row r="690" customFormat="false" ht="15" hidden="false" customHeight="false" outlineLevel="0" collapsed="false">
      <c r="A690" s="28" t="s">
        <v>1953</v>
      </c>
      <c r="B690" s="28" t="s">
        <v>1333</v>
      </c>
      <c r="C690" s="28" t="str">
        <f aca="false">IFERROR(INDEX(Cadencier!$C$5:$C$441,MATCH(B690,Cadencier!$A$5:$A$441,0)),"code inconnu")</f>
        <v>Thym / laurier (bouquet garni)</v>
      </c>
      <c r="D690" s="29" t="n">
        <f aca="false">IFERROR(INDEX(Cadencier!$J$5:$J$441,MATCH(B690,Cadencier!$A$5:$A$441,0)),0)</f>
        <v>16</v>
      </c>
    </row>
    <row r="691" customFormat="false" ht="15" hidden="false" customHeight="false" outlineLevel="0" collapsed="false">
      <c r="A691" s="28" t="s">
        <v>1954</v>
      </c>
      <c r="B691" s="28" t="s">
        <v>1333</v>
      </c>
      <c r="C691" s="28" t="str">
        <f aca="false">IFERROR(INDEX(Cadencier!$C$5:$C$441,MATCH(B691,Cadencier!$A$5:$A$441,0)),"code inconnu")</f>
        <v>Thym / laurier (bouquet garni)</v>
      </c>
      <c r="D691" s="29" t="n">
        <f aca="false">IFERROR(INDEX(Cadencier!$J$5:$J$441,MATCH(B691,Cadencier!$A$5:$A$441,0)),0)</f>
        <v>16</v>
      </c>
    </row>
    <row r="692" customFormat="false" ht="15" hidden="false" customHeight="false" outlineLevel="0" collapsed="false">
      <c r="A692" s="28" t="s">
        <v>1955</v>
      </c>
      <c r="B692" s="28" t="s">
        <v>1333</v>
      </c>
      <c r="C692" s="28" t="str">
        <f aca="false">IFERROR(INDEX(Cadencier!$C$5:$C$441,MATCH(B692,Cadencier!$A$5:$A$441,0)),"code inconnu")</f>
        <v>Thym / laurier (bouquet garni)</v>
      </c>
      <c r="D692" s="29" t="n">
        <f aca="false">IFERROR(INDEX(Cadencier!$J$5:$J$441,MATCH(B692,Cadencier!$A$5:$A$441,0)),0)</f>
        <v>16</v>
      </c>
    </row>
    <row r="693" customFormat="false" ht="15" hidden="false" customHeight="false" outlineLevel="0" collapsed="false">
      <c r="A693" s="28" t="s">
        <v>1956</v>
      </c>
      <c r="B693" s="28" t="s">
        <v>889</v>
      </c>
      <c r="C693" s="28" t="str">
        <f aca="false">IFERROR(INDEX(Cadencier!$C$5:$C$441,MATCH(B693,Cadencier!$A$5:$A$441,0)),"code inconnu")</f>
        <v>Tomates rondes fraîches calibre 67/82</v>
      </c>
      <c r="D693" s="29" t="n">
        <f aca="false">IFERROR(INDEX(Cadencier!$J$5:$J$441,MATCH(B693,Cadencier!$A$5:$A$441,0)),0)</f>
        <v>2.4</v>
      </c>
    </row>
    <row r="694" customFormat="false" ht="15" hidden="false" customHeight="false" outlineLevel="0" collapsed="false">
      <c r="A694" s="28" t="s">
        <v>887</v>
      </c>
      <c r="B694" s="28" t="s">
        <v>886</v>
      </c>
      <c r="C694" s="28" t="str">
        <f aca="false">IFERROR(INDEX(Cadencier!$C$5:$C$441,MATCH(B694,Cadencier!$A$5:$A$441,0)),"code inconnu")</f>
        <v>Tomates cerises</v>
      </c>
      <c r="D694" s="29" t="n">
        <f aca="false">IFERROR(INDEX(Cadencier!$J$5:$J$441,MATCH(B694,Cadencier!$A$5:$A$441,0)),0)</f>
        <v>4.5</v>
      </c>
    </row>
    <row r="695" customFormat="false" ht="15" hidden="false" customHeight="false" outlineLevel="0" collapsed="false">
      <c r="A695" s="28" t="s">
        <v>1957</v>
      </c>
      <c r="B695" s="28" t="s">
        <v>1251</v>
      </c>
      <c r="C695" s="28" t="str">
        <f aca="false">IFERROR(INDEX(Cadencier!$C$5:$C$441,MATCH(B695,Cadencier!$A$5:$A$441,0)),"code inconnu")</f>
        <v>Tomates concassées (boîte 5/1)</v>
      </c>
      <c r="D695" s="29" t="n">
        <f aca="false">IFERROR(INDEX(Cadencier!$J$5:$J$441,MATCH(B695,Cadencier!$A$5:$A$441,0)),0)</f>
        <v>1.6</v>
      </c>
    </row>
    <row r="696" customFormat="false" ht="15" hidden="false" customHeight="false" outlineLevel="0" collapsed="false">
      <c r="A696" s="28" t="s">
        <v>1958</v>
      </c>
      <c r="B696" s="28" t="s">
        <v>1251</v>
      </c>
      <c r="C696" s="28" t="str">
        <f aca="false">IFERROR(INDEX(Cadencier!$C$5:$C$441,MATCH(B696,Cadencier!$A$5:$A$441,0)),"code inconnu")</f>
        <v>Tomates concassées (boîte 5/1)</v>
      </c>
      <c r="D696" s="29" t="n">
        <f aca="false">IFERROR(INDEX(Cadencier!$J$5:$J$441,MATCH(B696,Cadencier!$A$5:$A$441,0)),0)</f>
        <v>1.6</v>
      </c>
    </row>
    <row r="697" customFormat="false" ht="15" hidden="false" customHeight="false" outlineLevel="0" collapsed="false">
      <c r="A697" s="28" t="s">
        <v>1959</v>
      </c>
      <c r="B697" s="28" t="s">
        <v>1234</v>
      </c>
      <c r="C697" s="28" t="str">
        <f aca="false">IFERROR(INDEX(Cadencier!$C$5:$C$441,MATCH(B697,Cadencier!$A$5:$A$441,0)),"code inconnu")</f>
        <v>Pulpe de tomates (boîte 5/1)</v>
      </c>
      <c r="D697" s="29" t="n">
        <f aca="false">IFERROR(INDEX(Cadencier!$J$5:$J$441,MATCH(B697,Cadencier!$A$5:$A$441,0)),0)</f>
        <v>1.5</v>
      </c>
    </row>
    <row r="698" customFormat="false" ht="15" hidden="false" customHeight="false" outlineLevel="0" collapsed="false">
      <c r="A698" s="28" t="s">
        <v>1960</v>
      </c>
      <c r="B698" s="28" t="s">
        <v>889</v>
      </c>
      <c r="C698" s="28" t="str">
        <f aca="false">IFERROR(INDEX(Cadencier!$C$5:$C$441,MATCH(B698,Cadencier!$A$5:$A$441,0)),"code inconnu")</f>
        <v>Tomates rondes fraîches calibre 67/82</v>
      </c>
      <c r="D698" s="29" t="n">
        <f aca="false">IFERROR(INDEX(Cadencier!$J$5:$J$441,MATCH(B698,Cadencier!$A$5:$A$441,0)),0)</f>
        <v>2.4</v>
      </c>
    </row>
    <row r="699" customFormat="false" ht="15" hidden="false" customHeight="false" outlineLevel="0" collapsed="false">
      <c r="A699" s="28" t="s">
        <v>1961</v>
      </c>
      <c r="B699" s="28" t="s">
        <v>889</v>
      </c>
      <c r="C699" s="28" t="str">
        <f aca="false">IFERROR(INDEX(Cadencier!$C$5:$C$441,MATCH(B699,Cadencier!$A$5:$A$441,0)),"code inconnu")</f>
        <v>Tomates rondes fraîches calibre 67/82</v>
      </c>
      <c r="D699" s="29" t="n">
        <f aca="false">IFERROR(INDEX(Cadencier!$J$5:$J$441,MATCH(B699,Cadencier!$A$5:$A$441,0)),0)</f>
        <v>2.4</v>
      </c>
    </row>
    <row r="700" customFormat="false" ht="15" hidden="false" customHeight="false" outlineLevel="0" collapsed="false">
      <c r="A700" s="28" t="s">
        <v>1962</v>
      </c>
      <c r="B700" s="28" t="s">
        <v>889</v>
      </c>
      <c r="C700" s="28" t="str">
        <f aca="false">IFERROR(INDEX(Cadencier!$C$5:$C$441,MATCH(B700,Cadencier!$A$5:$A$441,0)),"code inconnu")</f>
        <v>Tomates rondes fraîches calibre 67/82</v>
      </c>
      <c r="D700" s="29" t="n">
        <f aca="false">IFERROR(INDEX(Cadencier!$J$5:$J$441,MATCH(B700,Cadencier!$A$5:$A$441,0)),0)</f>
        <v>2.4</v>
      </c>
    </row>
    <row r="701" customFormat="false" ht="15" hidden="false" customHeight="false" outlineLevel="0" collapsed="false">
      <c r="A701" s="28" t="s">
        <v>1963</v>
      </c>
      <c r="B701" s="28" t="s">
        <v>889</v>
      </c>
      <c r="C701" s="28" t="str">
        <f aca="false">IFERROR(INDEX(Cadencier!$C$5:$C$441,MATCH(B701,Cadencier!$A$5:$A$441,0)),"code inconnu")</f>
        <v>Tomates rondes fraîches calibre 67/82</v>
      </c>
      <c r="D701" s="29" t="n">
        <f aca="false">IFERROR(INDEX(Cadencier!$J$5:$J$441,MATCH(B701,Cadencier!$A$5:$A$441,0)),0)</f>
        <v>2.4</v>
      </c>
    </row>
    <row r="702" customFormat="false" ht="15" hidden="false" customHeight="false" outlineLevel="0" collapsed="false">
      <c r="A702" s="28" t="s">
        <v>1964</v>
      </c>
      <c r="B702" s="28" t="s">
        <v>889</v>
      </c>
      <c r="C702" s="28" t="str">
        <f aca="false">IFERROR(INDEX(Cadencier!$C$5:$C$441,MATCH(B702,Cadencier!$A$5:$A$441,0)),"code inconnu")</f>
        <v>Tomates rondes fraîches calibre 67/82</v>
      </c>
      <c r="D702" s="29" t="n">
        <f aca="false">IFERROR(INDEX(Cadencier!$J$5:$J$441,MATCH(B702,Cadencier!$A$5:$A$441,0)),0)</f>
        <v>2.4</v>
      </c>
    </row>
    <row r="703" customFormat="false" ht="15" hidden="false" customHeight="false" outlineLevel="0" collapsed="false">
      <c r="A703" s="28" t="s">
        <v>735</v>
      </c>
      <c r="B703" s="28" t="s">
        <v>734</v>
      </c>
      <c r="C703" s="28" t="str">
        <f aca="false">IFERROR(INDEX(Cadencier!$C$5:$C$441,MATCH(B703,Cadencier!$A$5:$A$441,0)),"code inconnu")</f>
        <v>Tome fraîche de l'Aubrac</v>
      </c>
      <c r="D703" s="29" t="n">
        <f aca="false">IFERROR(INDEX(Cadencier!$J$5:$J$441,MATCH(B703,Cadencier!$A$5:$A$441,0)),0)</f>
        <v>12</v>
      </c>
    </row>
    <row r="704" customFormat="false" ht="15" hidden="false" customHeight="false" outlineLevel="0" collapsed="false">
      <c r="A704" s="28" t="s">
        <v>513</v>
      </c>
      <c r="B704" s="28" t="s">
        <v>512</v>
      </c>
      <c r="C704" s="28" t="str">
        <f aca="false">IFERROR(INDEX(Cadencier!$C$5:$C$441,MATCH(B704,Cadencier!$A$5:$A$441,0)),"code inconnu")</f>
        <v>Tripes de bœuf blanchies coupées</v>
      </c>
      <c r="D704" s="29" t="n">
        <f aca="false">IFERROR(INDEX(Cadencier!$J$5:$J$441,MATCH(B704,Cadencier!$A$5:$A$441,0)),0)</f>
        <v>6.5</v>
      </c>
    </row>
    <row r="705" customFormat="false" ht="15" hidden="false" customHeight="false" outlineLevel="0" collapsed="false">
      <c r="A705" s="28" t="s">
        <v>1965</v>
      </c>
      <c r="B705" s="28" t="s">
        <v>515</v>
      </c>
      <c r="C705" s="28" t="str">
        <f aca="false">IFERROR(INDEX(Cadencier!$C$5:$C$441,MATCH(B705,Cadencier!$A$5:$A$441,0)),"code inconnu")</f>
        <v>Tripoux crus ficelés 80/100 g</v>
      </c>
      <c r="D705" s="29" t="n">
        <f aca="false">IFERROR(INDEX(Cadencier!$J$5:$J$441,MATCH(B705,Cadencier!$A$5:$A$441,0)),0)</f>
        <v>9</v>
      </c>
    </row>
    <row r="706" customFormat="false" ht="15" hidden="false" customHeight="false" outlineLevel="0" collapsed="false">
      <c r="A706" s="28" t="s">
        <v>1966</v>
      </c>
      <c r="B706" s="28" t="s">
        <v>510</v>
      </c>
      <c r="C706" s="28" t="str">
        <f aca="false">IFERROR(INDEX(Cadencier!$C$5:$C$441,MATCH(B706,Cadencier!$A$5:$A$441,0)),"code inconnu")</f>
        <v>Tête de veau roulée désossée blanchie</v>
      </c>
      <c r="D706" s="29" t="n">
        <f aca="false">IFERROR(INDEX(Cadencier!$J$5:$J$441,MATCH(B706,Cadencier!$A$5:$A$441,0)),0)</f>
        <v>8.5</v>
      </c>
    </row>
    <row r="707" customFormat="false" ht="15" hidden="false" customHeight="false" outlineLevel="0" collapsed="false">
      <c r="A707" s="28" t="s">
        <v>1967</v>
      </c>
      <c r="B707" s="28" t="s">
        <v>1274</v>
      </c>
      <c r="C707" s="28" t="str">
        <f aca="false">IFERROR(INDEX(Cadencier!$C$5:$C$441,MATCH(B707,Cadencier!$A$5:$A$441,0)),"code inconnu")</f>
        <v>Extrait de vanille</v>
      </c>
      <c r="D707" s="29" t="n">
        <f aca="false">IFERROR(INDEX(Cadencier!$J$5:$J$441,MATCH(B707,Cadencier!$A$5:$A$441,0)),0)</f>
        <v>28</v>
      </c>
    </row>
    <row r="708" customFormat="false" ht="15" hidden="false" customHeight="false" outlineLevel="0" collapsed="false">
      <c r="A708" s="28" t="s">
        <v>1968</v>
      </c>
      <c r="B708" s="28" t="s">
        <v>1274</v>
      </c>
      <c r="C708" s="28" t="str">
        <f aca="false">IFERROR(INDEX(Cadencier!$C$5:$C$441,MATCH(B708,Cadencier!$A$5:$A$441,0)),"code inconnu")</f>
        <v>Extrait de vanille</v>
      </c>
      <c r="D708" s="29" t="n">
        <f aca="false">IFERROR(INDEX(Cadencier!$J$5:$J$441,MATCH(B708,Cadencier!$A$5:$A$441,0)),0)</f>
        <v>28</v>
      </c>
    </row>
    <row r="709" customFormat="false" ht="15" hidden="false" customHeight="false" outlineLevel="0" collapsed="false">
      <c r="A709" s="28" t="s">
        <v>1969</v>
      </c>
      <c r="B709" s="28" t="s">
        <v>1274</v>
      </c>
      <c r="C709" s="28" t="str">
        <f aca="false">IFERROR(INDEX(Cadencier!$C$5:$C$441,MATCH(B709,Cadencier!$A$5:$A$441,0)),"code inconnu")</f>
        <v>Extrait de vanille</v>
      </c>
      <c r="D709" s="29" t="n">
        <f aca="false">IFERROR(INDEX(Cadencier!$J$5:$J$441,MATCH(B709,Cadencier!$A$5:$A$441,0)),0)</f>
        <v>28</v>
      </c>
    </row>
    <row r="710" customFormat="false" ht="15" hidden="false" customHeight="false" outlineLevel="0" collapsed="false">
      <c r="A710" s="28" t="s">
        <v>1184</v>
      </c>
      <c r="B710" s="28" t="s">
        <v>1183</v>
      </c>
      <c r="C710" s="28" t="str">
        <f aca="false">IFERROR(INDEX(Cadencier!$C$5:$C$441,MATCH(B710,Cadencier!$A$5:$A$441,0)),"code inconnu")</f>
        <v>Vermicelles de chocolat</v>
      </c>
      <c r="D710" s="29" t="n">
        <f aca="false">IFERROR(INDEX(Cadencier!$J$5:$J$441,MATCH(B710,Cadencier!$A$5:$A$441,0)),0)</f>
        <v>6.5</v>
      </c>
    </row>
    <row r="711" customFormat="false" ht="15" hidden="false" customHeight="false" outlineLevel="0" collapsed="false">
      <c r="A711" s="28" t="s">
        <v>1970</v>
      </c>
      <c r="B711" s="28" t="s">
        <v>431</v>
      </c>
      <c r="C711" s="28" t="str">
        <f aca="false">IFERROR(INDEX(Cadencier!$C$5:$C$441,MATCH(B711,Cadencier!$A$5:$A$441,0)),"code inconnu")</f>
        <v>Agneau haché 15 % MG</v>
      </c>
      <c r="D711" s="29" t="n">
        <f aca="false">IFERROR(INDEX(Cadencier!$J$5:$J$441,MATCH(B711,Cadencier!$A$5:$A$441,0)),0)</f>
        <v>12.5</v>
      </c>
    </row>
    <row r="712" customFormat="false" ht="15" hidden="false" customHeight="false" outlineLevel="0" collapsed="false">
      <c r="A712" s="28" t="s">
        <v>1971</v>
      </c>
      <c r="B712" s="28" t="s">
        <v>442</v>
      </c>
      <c r="C712" s="28" t="str">
        <f aca="false">IFERROR(INDEX(Cadencier!$C$5:$C$441,MATCH(B712,Cadencier!$A$5:$A$441,0)),"code inconnu")</f>
        <v>Bœuf haché 15 % MG frais</v>
      </c>
      <c r="D712" s="29" t="n">
        <f aca="false">IFERROR(INDEX(Cadencier!$J$5:$J$441,MATCH(B712,Cadencier!$A$5:$A$441,0)),0)</f>
        <v>9.5</v>
      </c>
    </row>
    <row r="713" customFormat="false" ht="15" hidden="false" customHeight="false" outlineLevel="0" collapsed="false">
      <c r="A713" s="28" t="s">
        <v>1972</v>
      </c>
      <c r="B713" s="28" t="s">
        <v>1044</v>
      </c>
      <c r="C713" s="28" t="str">
        <f aca="false">IFERROR(INDEX(Cadencier!$C$5:$C$441,MATCH(B713,Cadencier!$A$5:$A$441,0)),"code inconnu")</f>
        <v>Viande kebab précuite tranchée surgelée</v>
      </c>
      <c r="D713" s="29" t="n">
        <f aca="false">IFERROR(INDEX(Cadencier!$J$5:$J$441,MATCH(B713,Cadencier!$A$5:$A$441,0)),0)</f>
        <v>9</v>
      </c>
    </row>
    <row r="714" customFormat="false" ht="15" hidden="false" customHeight="false" outlineLevel="0" collapsed="false">
      <c r="A714" s="28" t="s">
        <v>1973</v>
      </c>
      <c r="B714" s="28" t="s">
        <v>1373</v>
      </c>
      <c r="C714" s="28" t="str">
        <f aca="false">IFERROR(INDEX(Cadencier!$C$5:$C$441,MATCH(B714,Cadencier!$A$5:$A$441,0)),"code inconnu")</f>
        <v>Vin blanc de cuisine</v>
      </c>
      <c r="D714" s="29" t="n">
        <f aca="false">IFERROR(INDEX(Cadencier!$J$5:$J$441,MATCH(B714,Cadencier!$A$5:$A$441,0)),0)</f>
        <v>2</v>
      </c>
    </row>
    <row r="715" customFormat="false" ht="15" hidden="false" customHeight="false" outlineLevel="0" collapsed="false">
      <c r="A715" s="28" t="s">
        <v>1974</v>
      </c>
      <c r="B715" s="28" t="s">
        <v>1373</v>
      </c>
      <c r="C715" s="28" t="str">
        <f aca="false">IFERROR(INDEX(Cadencier!$C$5:$C$441,MATCH(B715,Cadencier!$A$5:$A$441,0)),"code inconnu")</f>
        <v>Vin blanc de cuisine</v>
      </c>
      <c r="D715" s="29" t="n">
        <f aca="false">IFERROR(INDEX(Cadencier!$J$5:$J$441,MATCH(B715,Cadencier!$A$5:$A$441,0)),0)</f>
        <v>2</v>
      </c>
    </row>
    <row r="716" customFormat="false" ht="15" hidden="false" customHeight="false" outlineLevel="0" collapsed="false">
      <c r="A716" s="28" t="s">
        <v>1975</v>
      </c>
      <c r="B716" s="28" t="s">
        <v>1373</v>
      </c>
      <c r="C716" s="28" t="str">
        <f aca="false">IFERROR(INDEX(Cadencier!$C$5:$C$441,MATCH(B716,Cadencier!$A$5:$A$441,0)),"code inconnu")</f>
        <v>Vin blanc de cuisine</v>
      </c>
      <c r="D716" s="29" t="n">
        <f aca="false">IFERROR(INDEX(Cadencier!$J$5:$J$441,MATCH(B716,Cadencier!$A$5:$A$441,0)),0)</f>
        <v>2</v>
      </c>
    </row>
    <row r="717" customFormat="false" ht="15" hidden="false" customHeight="false" outlineLevel="0" collapsed="false">
      <c r="A717" s="28" t="s">
        <v>1976</v>
      </c>
      <c r="B717" s="28" t="s">
        <v>1373</v>
      </c>
      <c r="C717" s="28" t="str">
        <f aca="false">IFERROR(INDEX(Cadencier!$C$5:$C$441,MATCH(B717,Cadencier!$A$5:$A$441,0)),"code inconnu")</f>
        <v>Vin blanc de cuisine</v>
      </c>
      <c r="D717" s="29" t="n">
        <f aca="false">IFERROR(INDEX(Cadencier!$J$5:$J$441,MATCH(B717,Cadencier!$A$5:$A$441,0)),0)</f>
        <v>2</v>
      </c>
    </row>
    <row r="718" customFormat="false" ht="15" hidden="false" customHeight="false" outlineLevel="0" collapsed="false">
      <c r="A718" s="28" t="s">
        <v>1977</v>
      </c>
      <c r="B718" s="28" t="s">
        <v>1376</v>
      </c>
      <c r="C718" s="28" t="str">
        <f aca="false">IFERROR(INDEX(Cadencier!$C$5:$C$441,MATCH(B718,Cadencier!$A$5:$A$441,0)),"code inconnu")</f>
        <v>Vin rouge de cuisine</v>
      </c>
      <c r="D718" s="29" t="n">
        <f aca="false">IFERROR(INDEX(Cadencier!$J$5:$J$441,MATCH(B718,Cadencier!$A$5:$A$441,0)),0)</f>
        <v>2</v>
      </c>
    </row>
    <row r="719" customFormat="false" ht="15" hidden="false" customHeight="false" outlineLevel="0" collapsed="false">
      <c r="A719" s="28" t="s">
        <v>1978</v>
      </c>
      <c r="B719" s="28" t="s">
        <v>1345</v>
      </c>
      <c r="C719" s="28" t="str">
        <f aca="false">IFERROR(INDEX(Cadencier!$C$5:$C$441,MATCH(B719,Cadencier!$A$5:$A$441,0)),"code inconnu")</f>
        <v>Vinaigre de vin rouge</v>
      </c>
      <c r="D719" s="29" t="n">
        <f aca="false">IFERROR(INDEX(Cadencier!$J$5:$J$441,MATCH(B719,Cadencier!$A$5:$A$441,0)),0)</f>
        <v>1.5</v>
      </c>
    </row>
    <row r="720" customFormat="false" ht="15" hidden="false" customHeight="false" outlineLevel="0" collapsed="false">
      <c r="A720" s="28" t="s">
        <v>1336</v>
      </c>
      <c r="B720" s="28" t="s">
        <v>1335</v>
      </c>
      <c r="C720" s="28" t="str">
        <f aca="false">IFERROR(INDEX(Cadencier!$C$5:$C$441,MATCH(B720,Cadencier!$A$5:$A$441,0)),"code inconnu")</f>
        <v>Vinaigre balsamique</v>
      </c>
      <c r="D720" s="29" t="n">
        <f aca="false">IFERROR(INDEX(Cadencier!$J$5:$J$441,MATCH(B720,Cadencier!$A$5:$A$441,0)),0)</f>
        <v>3.5</v>
      </c>
    </row>
    <row r="721" customFormat="false" ht="15" hidden="false" customHeight="false" outlineLevel="0" collapsed="false">
      <c r="A721" s="28" t="s">
        <v>1979</v>
      </c>
      <c r="B721" s="28" t="s">
        <v>1337</v>
      </c>
      <c r="C721" s="28" t="str">
        <f aca="false">IFERROR(INDEX(Cadencier!$C$5:$C$441,MATCH(B721,Cadencier!$A$5:$A$441,0)),"code inconnu")</f>
        <v>Vinaigre blanc (alcool)</v>
      </c>
      <c r="D721" s="29" t="n">
        <f aca="false">IFERROR(INDEX(Cadencier!$J$5:$J$441,MATCH(B721,Cadencier!$A$5:$A$441,0)),0)</f>
        <v>1</v>
      </c>
    </row>
    <row r="722" customFormat="false" ht="15" hidden="false" customHeight="false" outlineLevel="0" collapsed="false">
      <c r="A722" s="28" t="s">
        <v>1340</v>
      </c>
      <c r="B722" s="28" t="s">
        <v>1339</v>
      </c>
      <c r="C722" s="28" t="str">
        <f aca="false">IFERROR(INDEX(Cadencier!$C$5:$C$441,MATCH(B722,Cadencier!$A$5:$A$441,0)),"code inconnu")</f>
        <v>Vinaigre de cidre</v>
      </c>
      <c r="D722" s="29" t="n">
        <f aca="false">IFERROR(INDEX(Cadencier!$J$5:$J$441,MATCH(B722,Cadencier!$A$5:$A$441,0)),0)</f>
        <v>1.8</v>
      </c>
    </row>
    <row r="723" customFormat="false" ht="15" hidden="false" customHeight="false" outlineLevel="0" collapsed="false">
      <c r="A723" s="28" t="s">
        <v>1980</v>
      </c>
      <c r="B723" s="28" t="s">
        <v>1341</v>
      </c>
      <c r="C723" s="28" t="str">
        <f aca="false">IFERROR(INDEX(Cadencier!$C$5:$C$441,MATCH(B723,Cadencier!$A$5:$A$441,0)),"code inconnu")</f>
        <v>Vinaigre de riz</v>
      </c>
      <c r="D723" s="29" t="n">
        <f aca="false">IFERROR(INDEX(Cadencier!$J$5:$J$441,MATCH(B723,Cadencier!$A$5:$A$441,0)),0)</f>
        <v>4</v>
      </c>
    </row>
    <row r="724" customFormat="false" ht="15" hidden="false" customHeight="false" outlineLevel="0" collapsed="false">
      <c r="A724" s="28" t="s">
        <v>1981</v>
      </c>
      <c r="B724" s="28" t="s">
        <v>1341</v>
      </c>
      <c r="C724" s="28" t="str">
        <f aca="false">IFERROR(INDEX(Cadencier!$C$5:$C$441,MATCH(B724,Cadencier!$A$5:$A$441,0)),"code inconnu")</f>
        <v>Vinaigre de riz</v>
      </c>
      <c r="D724" s="29" t="n">
        <f aca="false">IFERROR(INDEX(Cadencier!$J$5:$J$441,MATCH(B724,Cadencier!$A$5:$A$441,0)),0)</f>
        <v>4</v>
      </c>
    </row>
    <row r="725" customFormat="false" ht="15" hidden="false" customHeight="false" outlineLevel="0" collapsed="false">
      <c r="A725" s="28" t="s">
        <v>1982</v>
      </c>
      <c r="B725" s="28" t="s">
        <v>1345</v>
      </c>
      <c r="C725" s="28" t="str">
        <f aca="false">IFERROR(INDEX(Cadencier!$C$5:$C$441,MATCH(B725,Cadencier!$A$5:$A$441,0)),"code inconnu")</f>
        <v>Vinaigre de vin rouge</v>
      </c>
      <c r="D725" s="29" t="n">
        <f aca="false">IFERROR(INDEX(Cadencier!$J$5:$J$441,MATCH(B725,Cadencier!$A$5:$A$441,0)),0)</f>
        <v>1.5</v>
      </c>
    </row>
    <row r="726" customFormat="false" ht="15" hidden="false" customHeight="false" outlineLevel="0" collapsed="false">
      <c r="A726" s="28" t="s">
        <v>1344</v>
      </c>
      <c r="B726" s="28" t="s">
        <v>1343</v>
      </c>
      <c r="C726" s="28" t="str">
        <f aca="false">IFERROR(INDEX(Cadencier!$C$5:$C$441,MATCH(B726,Cadencier!$A$5:$A$441,0)),"code inconnu")</f>
        <v>Vinaigre de vin blanc</v>
      </c>
      <c r="D726" s="29" t="n">
        <f aca="false">IFERROR(INDEX(Cadencier!$J$5:$J$441,MATCH(B726,Cadencier!$A$5:$A$441,0)),0)</f>
        <v>1.6</v>
      </c>
    </row>
    <row r="727" customFormat="false" ht="15" hidden="false" customHeight="false" outlineLevel="0" collapsed="false">
      <c r="A727" s="28" t="s">
        <v>1983</v>
      </c>
      <c r="B727" s="28" t="s">
        <v>1347</v>
      </c>
      <c r="C727" s="28" t="str">
        <f aca="false">IFERROR(INDEX(Cadencier!$C$5:$C$441,MATCH(B727,Cadencier!$A$5:$A$441,0)),"code inconnu")</f>
        <v>Vinaigre de xérès</v>
      </c>
      <c r="D727" s="29" t="n">
        <f aca="false">IFERROR(INDEX(Cadencier!$J$5:$J$441,MATCH(B727,Cadencier!$A$5:$A$441,0)),0)</f>
        <v>6</v>
      </c>
    </row>
    <row r="728" customFormat="false" ht="15" hidden="false" customHeight="false" outlineLevel="0" collapsed="false">
      <c r="A728" s="28" t="s">
        <v>1348</v>
      </c>
      <c r="B728" s="28" t="s">
        <v>1347</v>
      </c>
      <c r="C728" s="28" t="str">
        <f aca="false">IFERROR(INDEX(Cadencier!$C$5:$C$441,MATCH(B728,Cadencier!$A$5:$A$441,0)),"code inconnu")</f>
        <v>Vinaigre de xérès</v>
      </c>
      <c r="D728" s="29" t="n">
        <f aca="false">IFERROR(INDEX(Cadencier!$J$5:$J$441,MATCH(B728,Cadencier!$A$5:$A$441,0)),0)</f>
        <v>6</v>
      </c>
    </row>
    <row r="729" customFormat="false" ht="15" hidden="false" customHeight="false" outlineLevel="0" collapsed="false">
      <c r="A729" s="28" t="s">
        <v>1984</v>
      </c>
      <c r="B729" s="28" t="s">
        <v>1349</v>
      </c>
      <c r="C729" s="28" t="str">
        <f aca="false">IFERROR(INDEX(Cadencier!$C$5:$C$441,MATCH(B729,Cadencier!$A$5:$A$441,0)),"code inconnu")</f>
        <v>Vinaigrette prête à l'emploi</v>
      </c>
      <c r="D729" s="29" t="n">
        <f aca="false">IFERROR(INDEX(Cadencier!$J$5:$J$441,MATCH(B729,Cadencier!$A$5:$A$441,0)),0)</f>
        <v>3</v>
      </c>
    </row>
    <row r="730" customFormat="false" ht="15" hidden="false" customHeight="false" outlineLevel="0" collapsed="false">
      <c r="A730" s="28" t="s">
        <v>747</v>
      </c>
      <c r="B730" s="28" t="s">
        <v>746</v>
      </c>
      <c r="C730" s="28" t="str">
        <f aca="false">IFERROR(INDEX(Cadencier!$C$5:$C$441,MATCH(B730,Cadencier!$A$5:$A$441,0)),"code inconnu")</f>
        <v>Yaourt nature</v>
      </c>
      <c r="D730" s="29" t="n">
        <f aca="false">IFERROR(INDEX(Cadencier!$J$5:$J$441,MATCH(B730,Cadencier!$A$5:$A$441,0)),0)</f>
        <v>2.5</v>
      </c>
    </row>
    <row r="731" customFormat="false" ht="15" hidden="false" customHeight="false" outlineLevel="0" collapsed="false">
      <c r="A731" s="28" t="s">
        <v>1985</v>
      </c>
      <c r="B731" s="28" t="s">
        <v>836</v>
      </c>
      <c r="C731" s="28" t="str">
        <f aca="false">IFERROR(INDEX(Cadencier!$C$5:$C$441,MATCH(B731,Cadencier!$A$5:$A$441,0)),"code inconnu")</f>
        <v>Oranges</v>
      </c>
      <c r="D731" s="29" t="n">
        <f aca="false">IFERROR(INDEX(Cadencier!$J$5:$J$441,MATCH(B731,Cadencier!$A$5:$A$441,0)),0)</f>
        <v>1.6</v>
      </c>
    </row>
    <row r="732" customFormat="false" ht="15" hidden="false" customHeight="false" outlineLevel="0" collapsed="false">
      <c r="A732" s="28" t="s">
        <v>1986</v>
      </c>
      <c r="B732" s="28" t="s">
        <v>836</v>
      </c>
      <c r="C732" s="28" t="str">
        <f aca="false">IFERROR(INDEX(Cadencier!$C$5:$C$441,MATCH(B732,Cadencier!$A$5:$A$441,0)),"code inconnu")</f>
        <v>Oranges</v>
      </c>
      <c r="D732" s="29" t="n">
        <f aca="false">IFERROR(INDEX(Cadencier!$J$5:$J$441,MATCH(B732,Cadencier!$A$5:$A$441,0)),0)</f>
        <v>1.6</v>
      </c>
    </row>
    <row r="733" customFormat="false" ht="15" hidden="false" customHeight="false" outlineLevel="0" collapsed="false">
      <c r="A733" s="28" t="s">
        <v>1987</v>
      </c>
      <c r="B733" s="28" t="s">
        <v>946</v>
      </c>
      <c r="C733" s="28" t="str">
        <f aca="false">IFERROR(INDEX(Cadencier!$C$5:$C$441,MATCH(B733,Cadencier!$A$5:$A$441,0)),"code inconnu")</f>
        <v>Échalotes ciselées surgelées</v>
      </c>
      <c r="D733" s="29" t="n">
        <f aca="false">IFERROR(INDEX(Cadencier!$J$5:$J$441,MATCH(B733,Cadencier!$A$5:$A$441,0)),0)</f>
        <v>4.5</v>
      </c>
    </row>
    <row r="734" customFormat="false" ht="15" hidden="false" customHeight="false" outlineLevel="0" collapsed="false">
      <c r="A734" s="28" t="s">
        <v>947</v>
      </c>
      <c r="B734" s="28" t="s">
        <v>946</v>
      </c>
      <c r="C734" s="28" t="str">
        <f aca="false">IFERROR(INDEX(Cadencier!$C$5:$C$441,MATCH(B734,Cadencier!$A$5:$A$441,0)),"code inconnu")</f>
        <v>Échalotes ciselées surgelées</v>
      </c>
      <c r="D734" s="29" t="n">
        <f aca="false">IFERROR(INDEX(Cadencier!$J$5:$J$441,MATCH(B734,Cadencier!$A$5:$A$441,0)),0)</f>
        <v>4.5</v>
      </c>
    </row>
    <row r="735" customFormat="false" ht="15" hidden="false" customHeight="false" outlineLevel="0" collapsed="false">
      <c r="A735" s="28" t="s">
        <v>1988</v>
      </c>
      <c r="B735" s="28" t="s">
        <v>946</v>
      </c>
      <c r="C735" s="28" t="str">
        <f aca="false">IFERROR(INDEX(Cadencier!$C$5:$C$441,MATCH(B735,Cadencier!$A$5:$A$441,0)),"code inconnu")</f>
        <v>Échalotes ciselées surgelées</v>
      </c>
      <c r="D735" s="29" t="n">
        <f aca="false">IFERROR(INDEX(Cadencier!$J$5:$J$441,MATCH(B735,Cadencier!$A$5:$A$441,0)),0)</f>
        <v>4.5</v>
      </c>
    </row>
    <row r="736" customFormat="false" ht="15" hidden="false" customHeight="false" outlineLevel="0" collapsed="false">
      <c r="A736" s="28" t="s">
        <v>1989</v>
      </c>
      <c r="B736" s="28" t="s">
        <v>946</v>
      </c>
      <c r="C736" s="28" t="str">
        <f aca="false">IFERROR(INDEX(Cadencier!$C$5:$C$441,MATCH(B736,Cadencier!$A$5:$A$441,0)),"code inconnu")</f>
        <v>Échalotes ciselées surgelées</v>
      </c>
      <c r="D736" s="29" t="n">
        <f aca="false">IFERROR(INDEX(Cadencier!$J$5:$J$441,MATCH(B736,Cadencier!$A$5:$A$441,0)),0)</f>
        <v>4.5</v>
      </c>
    </row>
    <row r="737" customFormat="false" ht="15" hidden="false" customHeight="false" outlineLevel="0" collapsed="false">
      <c r="A737" s="28" t="s">
        <v>1990</v>
      </c>
      <c r="B737" s="28" t="s">
        <v>449</v>
      </c>
      <c r="C737" s="28" t="str">
        <f aca="false">IFERROR(INDEX(Cadencier!$C$5:$C$441,MATCH(B737,Cadencier!$A$5:$A$441,0)),"code inconnu")</f>
        <v>Égrené de bœuf</v>
      </c>
      <c r="D737" s="29" t="n">
        <f aca="false">IFERROR(INDEX(Cadencier!$J$5:$J$441,MATCH(B737,Cadencier!$A$5:$A$441,0)),0)</f>
        <v>8</v>
      </c>
    </row>
    <row r="738" customFormat="false" ht="15" hidden="false" customHeight="false" outlineLevel="0" collapsed="false">
      <c r="A738" s="28" t="s">
        <v>1991</v>
      </c>
      <c r="B738" s="28" t="s">
        <v>1326</v>
      </c>
      <c r="C738" s="28" t="str">
        <f aca="false">IFERROR(INDEX(Cadencier!$C$5:$C$441,MATCH(B738,Cadencier!$A$5:$A$441,0)),"code inconnu")</f>
        <v>Ras el hanout (épices couscous)</v>
      </c>
      <c r="D738" s="29" t="n">
        <f aca="false">IFERROR(INDEX(Cadencier!$J$5:$J$441,MATCH(B738,Cadencier!$A$5:$A$441,0)),0)</f>
        <v>14</v>
      </c>
    </row>
    <row r="739" customFormat="false" ht="15" hidden="false" customHeight="false" outlineLevel="0" collapsed="false">
      <c r="A739" s="28" t="s">
        <v>1992</v>
      </c>
      <c r="B739" s="28" t="s">
        <v>1272</v>
      </c>
      <c r="C739" s="28" t="str">
        <f aca="false">IFERROR(INDEX(Cadencier!$C$5:$C$441,MATCH(B739,Cadencier!$A$5:$A$441,0)),"code inconnu")</f>
        <v>Épices paëlla (mélange)</v>
      </c>
      <c r="D739" s="29" t="n">
        <f aca="false">IFERROR(INDEX(Cadencier!$J$5:$J$441,MATCH(B739,Cadencier!$A$5:$A$441,0)),0)</f>
        <v>18</v>
      </c>
    </row>
    <row r="740" customFormat="false" ht="15" hidden="false" customHeight="false" outlineLevel="0" collapsed="false">
      <c r="A740" s="28" t="s">
        <v>1993</v>
      </c>
      <c r="B740" s="28" t="s">
        <v>948</v>
      </c>
      <c r="C740" s="28" t="str">
        <f aca="false">IFERROR(INDEX(Cadencier!$C$5:$C$441,MATCH(B740,Cadencier!$A$5:$A$441,0)),"code inconnu")</f>
        <v>Épinards branches surgelés</v>
      </c>
      <c r="D740" s="29" t="n">
        <f aca="false">IFERROR(INDEX(Cadencier!$J$5:$J$441,MATCH(B740,Cadencier!$A$5:$A$441,0)),0)</f>
        <v>2.4</v>
      </c>
    </row>
    <row r="741" customFormat="false" ht="15" hidden="false" customHeight="false" outlineLevel="0" collapsed="false">
      <c r="A741" s="28" t="s">
        <v>949</v>
      </c>
      <c r="B741" s="28" t="s">
        <v>948</v>
      </c>
      <c r="C741" s="28" t="str">
        <f aca="false">IFERROR(INDEX(Cadencier!$C$5:$C$441,MATCH(B741,Cadencier!$A$5:$A$441,0)),"code inconnu")</f>
        <v>Épinards branches surgelés</v>
      </c>
      <c r="D741" s="29" t="n">
        <f aca="false">IFERROR(INDEX(Cadencier!$J$5:$J$441,MATCH(B741,Cadencier!$A$5:$A$441,0)),0)</f>
        <v>2.4</v>
      </c>
    </row>
    <row r="742" customFormat="false" ht="15" hidden="false" customHeight="false" outlineLevel="0" collapsed="false">
      <c r="A742" s="28" t="s">
        <v>951</v>
      </c>
      <c r="B742" s="28" t="s">
        <v>950</v>
      </c>
      <c r="C742" s="28" t="str">
        <f aca="false">IFERROR(INDEX(Cadencier!$C$5:$C$441,MATCH(B742,Cadencier!$A$5:$A$441,0)),"code inconnu")</f>
        <v>Épinards hachés surgelés</v>
      </c>
      <c r="D742" s="29" t="n">
        <f aca="false">IFERROR(INDEX(Cadencier!$J$5:$J$441,MATCH(B742,Cadencier!$A$5:$A$441,0)),0)</f>
        <v>2.2</v>
      </c>
    </row>
    <row r="743" customFormat="false" ht="15" hidden="false" customHeight="false" outlineLevel="0" collapsed="false">
      <c r="A743" s="28" t="s">
        <v>1994</v>
      </c>
      <c r="B743" s="28" t="s">
        <v>736</v>
      </c>
      <c r="C743" s="28" t="str">
        <f aca="false">IFERROR(INDEX(Cadencier!$C$5:$C$441,MATCH(B743,Cadencier!$A$5:$A$441,0)),"code inconnu")</f>
        <v>Œufs coquille calibre moyen</v>
      </c>
      <c r="D743" s="29" t="n">
        <f aca="false">IFERROR(INDEX(Cadencier!$J$5:$J$441,MATCH(B743,Cadencier!$A$5:$A$441,0)),0)</f>
        <v>3</v>
      </c>
    </row>
    <row r="744" customFormat="false" ht="15" hidden="false" customHeight="false" outlineLevel="0" collapsed="false">
      <c r="A744" s="28" t="s">
        <v>1995</v>
      </c>
      <c r="B744" s="28" t="s">
        <v>740</v>
      </c>
      <c r="C744" s="28" t="str">
        <f aca="false">IFERROR(INDEX(Cadencier!$C$5:$C$441,MATCH(B744,Cadencier!$A$5:$A$441,0)),"code inconnu")</f>
        <v>Œufs durs écalés pasteurisés</v>
      </c>
      <c r="D744" s="29" t="n">
        <f aca="false">IFERROR(INDEX(Cadencier!$J$5:$J$441,MATCH(B744,Cadencier!$A$5:$A$441,0)),0)</f>
        <v>5.6</v>
      </c>
    </row>
    <row r="745" customFormat="false" ht="15" hidden="false" customHeight="false" outlineLevel="0" collapsed="false">
      <c r="A745" s="28" t="s">
        <v>1996</v>
      </c>
      <c r="B745" s="28" t="s">
        <v>740</v>
      </c>
      <c r="C745" s="28" t="str">
        <f aca="false">IFERROR(INDEX(Cadencier!$C$5:$C$441,MATCH(B745,Cadencier!$A$5:$A$441,0)),"code inconnu")</f>
        <v>Œufs durs écalés pasteurisés</v>
      </c>
      <c r="D745" s="29" t="n">
        <f aca="false">IFERROR(INDEX(Cadencier!$J$5:$J$441,MATCH(B745,Cadencier!$A$5:$A$441,0)),0)</f>
        <v>5.6</v>
      </c>
    </row>
    <row r="746" customFormat="false" ht="15" hidden="false" customHeight="false" outlineLevel="0" collapsed="false">
      <c r="A746" s="28" t="s">
        <v>741</v>
      </c>
      <c r="B746" s="28" t="s">
        <v>740</v>
      </c>
      <c r="C746" s="28" t="str">
        <f aca="false">IFERROR(INDEX(Cadencier!$C$5:$C$441,MATCH(B746,Cadencier!$A$5:$A$441,0)),"code inconnu")</f>
        <v>Œufs durs écalés pasteurisés</v>
      </c>
      <c r="D746" s="29" t="n">
        <f aca="false">IFERROR(INDEX(Cadencier!$J$5:$J$441,MATCH(B746,Cadencier!$A$5:$A$441,0)),0)</f>
        <v>5.6</v>
      </c>
    </row>
    <row r="747" customFormat="false" ht="15" hidden="false" customHeight="false" outlineLevel="0" collapsed="false">
      <c r="A747" s="28" t="s">
        <v>1997</v>
      </c>
      <c r="B747" s="28" t="s">
        <v>740</v>
      </c>
      <c r="C747" s="28" t="str">
        <f aca="false">IFERROR(INDEX(Cadencier!$C$5:$C$441,MATCH(B747,Cadencier!$A$5:$A$441,0)),"code inconnu")</f>
        <v>Œufs durs écalés pasteurisés</v>
      </c>
      <c r="D747" s="29" t="n">
        <f aca="false">IFERROR(INDEX(Cadencier!$J$5:$J$441,MATCH(B747,Cadencier!$A$5:$A$441,0)),0)</f>
        <v>5.6</v>
      </c>
    </row>
    <row r="748" customFormat="false" ht="15" hidden="false" customHeight="false" outlineLevel="0" collapsed="false">
      <c r="A748" s="28" t="s">
        <v>1998</v>
      </c>
      <c r="B748" s="28" t="s">
        <v>740</v>
      </c>
      <c r="C748" s="28" t="str">
        <f aca="false">IFERROR(INDEX(Cadencier!$C$5:$C$441,MATCH(B748,Cadencier!$A$5:$A$441,0)),"code inconnu")</f>
        <v>Œufs durs écalés pasteurisés</v>
      </c>
      <c r="D748" s="29" t="n">
        <f aca="false">IFERROR(INDEX(Cadencier!$J$5:$J$441,MATCH(B748,Cadencier!$A$5:$A$441,0)),0)</f>
        <v>5.6</v>
      </c>
    </row>
    <row r="749" customFormat="false" ht="15" hidden="false" customHeight="false" outlineLevel="0" collapsed="false">
      <c r="A749" s="28" t="s">
        <v>745</v>
      </c>
      <c r="B749" s="28" t="s">
        <v>744</v>
      </c>
      <c r="C749" s="28" t="str">
        <f aca="false">IFERROR(INDEX(Cadencier!$C$5:$C$441,MATCH(B749,Cadencier!$A$5:$A$441,0)),"code inconnu")</f>
        <v>Œufs entiers liquides pasteurisés</v>
      </c>
      <c r="D749" s="29" t="n">
        <f aca="false">IFERROR(INDEX(Cadencier!$J$5:$J$441,MATCH(B749,Cadencier!$A$5:$A$441,0)),0)</f>
        <v>3.8</v>
      </c>
    </row>
    <row r="750" customFormat="false" ht="15" hidden="false" customHeight="false" outlineLevel="0" collapsed="false">
      <c r="A750" s="28" t="s">
        <v>1999</v>
      </c>
      <c r="B750" s="28" t="s">
        <v>744</v>
      </c>
      <c r="C750" s="28" t="str">
        <f aca="false">IFERROR(INDEX(Cadencier!$C$5:$C$441,MATCH(B750,Cadencier!$A$5:$A$441,0)),"code inconnu")</f>
        <v>Œufs entiers liquides pasteurisés</v>
      </c>
      <c r="D750" s="29" t="n">
        <f aca="false">IFERROR(INDEX(Cadencier!$J$5:$J$441,MATCH(B750,Cadencier!$A$5:$A$441,0)),0)</f>
        <v>3.8</v>
      </c>
    </row>
    <row r="751" customFormat="false" ht="15" hidden="false" customHeight="false" outlineLevel="0" collapsed="false">
      <c r="A751" s="28" t="s">
        <v>2000</v>
      </c>
      <c r="B751" s="28" t="s">
        <v>744</v>
      </c>
      <c r="C751" s="28" t="str">
        <f aca="false">IFERROR(INDEX(Cadencier!$C$5:$C$441,MATCH(B751,Cadencier!$A$5:$A$441,0)),"code inconnu")</f>
        <v>Œufs entiers liquides pasteurisés</v>
      </c>
      <c r="D751" s="29" t="n">
        <f aca="false">IFERROR(INDEX(Cadencier!$J$5:$J$441,MATCH(B751,Cadencier!$A$5:$A$441,0)),0)</f>
        <v>3.8</v>
      </c>
    </row>
    <row r="752" customFormat="false" ht="15" hidden="false" customHeight="false" outlineLevel="0" collapsed="false">
      <c r="A752" s="28" t="s">
        <v>2001</v>
      </c>
      <c r="B752" s="28" t="s">
        <v>744</v>
      </c>
      <c r="C752" s="28" t="str">
        <f aca="false">IFERROR(INDEX(Cadencier!$C$5:$C$441,MATCH(B752,Cadencier!$A$5:$A$441,0)),"code inconnu")</f>
        <v>Œufs entiers liquides pasteurisés</v>
      </c>
      <c r="D752" s="29" t="n">
        <f aca="false">IFERROR(INDEX(Cadencier!$J$5:$J$441,MATCH(B752,Cadencier!$A$5:$A$441,0)),0)</f>
        <v>3.8</v>
      </c>
    </row>
    <row r="753" customFormat="false" ht="15" hidden="false" customHeight="false" outlineLevel="0" collapsed="false">
      <c r="A753" s="28" t="s">
        <v>2002</v>
      </c>
      <c r="B753" s="28" t="s">
        <v>744</v>
      </c>
      <c r="C753" s="28" t="str">
        <f aca="false">IFERROR(INDEX(Cadencier!$C$5:$C$441,MATCH(B753,Cadencier!$A$5:$A$441,0)),"code inconnu")</f>
        <v>Œufs entiers liquides pasteurisés</v>
      </c>
      <c r="D753" s="29" t="n">
        <f aca="false">IFERROR(INDEX(Cadencier!$J$5:$J$441,MATCH(B753,Cadencier!$A$5:$A$441,0)),0)</f>
        <v>3.8</v>
      </c>
    </row>
  </sheetData>
  <autoFilter ref="A2:D75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7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2109375" defaultRowHeight="15" zeroHeight="false" outlineLevelRow="0" outlineLevelCol="0"/>
  <cols>
    <col collapsed="false" customWidth="true" hidden="false" outlineLevel="0" max="1" min="1" style="0" width="14"/>
    <col collapsed="false" customWidth="true" hidden="false" outlineLevel="0" max="2" min="2" style="0" width="10"/>
    <col collapsed="false" customWidth="true" hidden="false" outlineLevel="0" max="3" min="3" style="0" width="8"/>
    <col collapsed="false" customWidth="true" hidden="false" outlineLevel="0" max="6" min="4" style="0" width="26"/>
    <col collapsed="false" customWidth="true" hidden="false" outlineLevel="0" max="7" min="7" style="0" width="28"/>
    <col collapsed="false" customWidth="true" hidden="false" outlineLevel="0" max="8" min="8" style="0" width="24"/>
    <col collapsed="false" customWidth="true" hidden="false" outlineLevel="0" max="9" min="9" style="0" width="26"/>
    <col collapsed="false" customWidth="true" hidden="false" outlineLevel="0" max="10" min="10" style="0" width="18"/>
    <col collapsed="false" customWidth="true" hidden="false" outlineLevel="0" max="11" min="11" style="0" width="24"/>
  </cols>
  <sheetData>
    <row r="1" customFormat="false" ht="15" hidden="false" customHeight="false" outlineLevel="0" collapsed="false">
      <c r="A1" s="20" t="s">
        <v>2003</v>
      </c>
      <c r="B1" s="20" t="s">
        <v>2004</v>
      </c>
      <c r="C1" s="20" t="s">
        <v>2005</v>
      </c>
      <c r="D1" s="20" t="s">
        <v>2006</v>
      </c>
      <c r="E1" s="20" t="s">
        <v>2007</v>
      </c>
      <c r="F1" s="20" t="s">
        <v>2008</v>
      </c>
      <c r="G1" s="20" t="s">
        <v>2009</v>
      </c>
      <c r="H1" s="20" t="s">
        <v>2010</v>
      </c>
      <c r="I1" s="20" t="s">
        <v>2011</v>
      </c>
      <c r="J1" s="20" t="s">
        <v>2012</v>
      </c>
      <c r="K1" s="20" t="s">
        <v>2013</v>
      </c>
    </row>
    <row r="2" customFormat="false" ht="15" hidden="false" customHeight="false" outlineLevel="0" collapsed="false">
      <c r="A2" s="30" t="s">
        <v>2014</v>
      </c>
      <c r="B2" s="30" t="s">
        <v>2015</v>
      </c>
      <c r="C2" s="30" t="s">
        <v>2016</v>
      </c>
      <c r="D2" s="30" t="s">
        <v>16</v>
      </c>
      <c r="E2" s="31" t="s">
        <v>16</v>
      </c>
      <c r="F2" s="30" t="s">
        <v>2017</v>
      </c>
      <c r="G2" s="31" t="s">
        <v>133</v>
      </c>
      <c r="H2" s="30" t="s">
        <v>2018</v>
      </c>
      <c r="I2" s="31" t="s">
        <v>363</v>
      </c>
      <c r="J2" s="30" t="s">
        <v>2019</v>
      </c>
      <c r="K2" s="30"/>
    </row>
    <row r="3" customFormat="false" ht="15" hidden="false" customHeight="false" outlineLevel="0" collapsed="false">
      <c r="A3" s="30" t="s">
        <v>2014</v>
      </c>
      <c r="B3" s="30" t="s">
        <v>2015</v>
      </c>
      <c r="C3" s="30" t="s">
        <v>2020</v>
      </c>
      <c r="D3" s="30" t="s">
        <v>2021</v>
      </c>
      <c r="E3" s="31" t="s">
        <v>43</v>
      </c>
      <c r="F3" s="30" t="s">
        <v>2022</v>
      </c>
      <c r="G3" s="31" t="s">
        <v>124</v>
      </c>
      <c r="H3" s="30" t="s">
        <v>2023</v>
      </c>
      <c r="I3" s="31" t="s">
        <v>342</v>
      </c>
      <c r="J3" s="30" t="s">
        <v>2019</v>
      </c>
      <c r="K3" s="30"/>
    </row>
    <row r="4" customFormat="false" ht="15" hidden="false" customHeight="false" outlineLevel="0" collapsed="false">
      <c r="A4" s="30" t="s">
        <v>2014</v>
      </c>
      <c r="B4" s="30" t="s">
        <v>2024</v>
      </c>
      <c r="C4" s="30" t="s">
        <v>2016</v>
      </c>
      <c r="D4" s="30" t="s">
        <v>2025</v>
      </c>
      <c r="E4" s="31" t="s">
        <v>32</v>
      </c>
      <c r="F4" s="30" t="s">
        <v>2026</v>
      </c>
      <c r="G4" s="31" t="s">
        <v>206</v>
      </c>
      <c r="H4" s="30"/>
      <c r="I4" s="30"/>
      <c r="J4" s="30" t="s">
        <v>384</v>
      </c>
      <c r="K4" s="30"/>
    </row>
    <row r="5" customFormat="false" ht="15" hidden="false" customHeight="false" outlineLevel="0" collapsed="false">
      <c r="A5" s="30" t="s">
        <v>2014</v>
      </c>
      <c r="B5" s="30" t="s">
        <v>2024</v>
      </c>
      <c r="C5" s="30" t="s">
        <v>2020</v>
      </c>
      <c r="D5" s="30" t="s">
        <v>2027</v>
      </c>
      <c r="E5" s="31" t="s">
        <v>11</v>
      </c>
      <c r="F5" s="30" t="s">
        <v>2028</v>
      </c>
      <c r="G5" s="31" t="s">
        <v>114</v>
      </c>
      <c r="H5" s="30" t="s">
        <v>2029</v>
      </c>
      <c r="I5" s="31" t="s">
        <v>310</v>
      </c>
      <c r="J5" s="30" t="s">
        <v>2019</v>
      </c>
      <c r="K5" s="30"/>
    </row>
    <row r="6" customFormat="false" ht="15" hidden="false" customHeight="false" outlineLevel="0" collapsed="false">
      <c r="A6" s="30" t="s">
        <v>2014</v>
      </c>
      <c r="B6" s="30" t="s">
        <v>2030</v>
      </c>
      <c r="C6" s="30" t="s">
        <v>2016</v>
      </c>
      <c r="D6" s="30" t="s">
        <v>2031</v>
      </c>
      <c r="E6" s="31" t="s">
        <v>35</v>
      </c>
      <c r="F6" s="30" t="s">
        <v>187</v>
      </c>
      <c r="G6" s="31" t="s">
        <v>187</v>
      </c>
      <c r="H6" s="30" t="s">
        <v>309</v>
      </c>
      <c r="I6" s="31" t="s">
        <v>64</v>
      </c>
      <c r="J6" s="30" t="s">
        <v>2019</v>
      </c>
      <c r="K6" s="30"/>
    </row>
    <row r="7" customFormat="false" ht="15" hidden="false" customHeight="false" outlineLevel="0" collapsed="false">
      <c r="A7" s="30" t="s">
        <v>2014</v>
      </c>
      <c r="B7" s="30" t="s">
        <v>2030</v>
      </c>
      <c r="C7" s="30" t="s">
        <v>2020</v>
      </c>
      <c r="D7" s="30" t="s">
        <v>2032</v>
      </c>
      <c r="E7" s="31" t="s">
        <v>104</v>
      </c>
      <c r="F7" s="30" t="s">
        <v>2033</v>
      </c>
      <c r="G7" s="31" t="s">
        <v>300</v>
      </c>
      <c r="H7" s="30" t="s">
        <v>2034</v>
      </c>
      <c r="I7" s="31" t="s">
        <v>314</v>
      </c>
      <c r="J7" s="30" t="s">
        <v>390</v>
      </c>
      <c r="K7" s="31" t="s">
        <v>390</v>
      </c>
    </row>
    <row r="8" customFormat="false" ht="15" hidden="false" customHeight="false" outlineLevel="0" collapsed="false">
      <c r="A8" s="30" t="s">
        <v>2014</v>
      </c>
      <c r="B8" s="30" t="s">
        <v>2035</v>
      </c>
      <c r="C8" s="30" t="s">
        <v>2016</v>
      </c>
      <c r="D8" s="30" t="s">
        <v>2036</v>
      </c>
      <c r="E8" s="31" t="s">
        <v>110</v>
      </c>
      <c r="F8" s="30" t="s">
        <v>2037</v>
      </c>
      <c r="G8" s="31" t="s">
        <v>231</v>
      </c>
      <c r="H8" s="30" t="s">
        <v>382</v>
      </c>
      <c r="I8" s="31" t="s">
        <v>382</v>
      </c>
      <c r="J8" s="30" t="s">
        <v>2038</v>
      </c>
      <c r="K8" s="31" t="s">
        <v>391</v>
      </c>
    </row>
    <row r="9" customFormat="false" ht="15" hidden="false" customHeight="false" outlineLevel="0" collapsed="false">
      <c r="A9" s="30" t="s">
        <v>2014</v>
      </c>
      <c r="B9" s="30" t="s">
        <v>2035</v>
      </c>
      <c r="C9" s="30" t="s">
        <v>2020</v>
      </c>
      <c r="D9" s="30" t="s">
        <v>109</v>
      </c>
      <c r="E9" s="31" t="s">
        <v>109</v>
      </c>
      <c r="F9" s="30" t="s">
        <v>17</v>
      </c>
      <c r="G9" s="31" t="s">
        <v>17</v>
      </c>
      <c r="H9" s="30" t="s">
        <v>383</v>
      </c>
      <c r="I9" s="31" t="s">
        <v>383</v>
      </c>
      <c r="J9" s="30" t="s">
        <v>2019</v>
      </c>
      <c r="K9" s="30"/>
    </row>
    <row r="10" customFormat="false" ht="15" hidden="false" customHeight="false" outlineLevel="0" collapsed="false">
      <c r="A10" s="30" t="s">
        <v>2014</v>
      </c>
      <c r="B10" s="30" t="s">
        <v>2039</v>
      </c>
      <c r="C10" s="30" t="s">
        <v>2016</v>
      </c>
      <c r="D10" s="30" t="s">
        <v>2040</v>
      </c>
      <c r="E10" s="31" t="s">
        <v>60</v>
      </c>
      <c r="F10" s="30" t="s">
        <v>2041</v>
      </c>
      <c r="G10" s="31" t="s">
        <v>137</v>
      </c>
      <c r="H10" s="30" t="s">
        <v>2042</v>
      </c>
      <c r="I10" s="31" t="s">
        <v>306</v>
      </c>
      <c r="J10" s="30" t="s">
        <v>2019</v>
      </c>
      <c r="K10" s="30"/>
    </row>
    <row r="11" customFormat="false" ht="15" hidden="false" customHeight="false" outlineLevel="0" collapsed="false">
      <c r="A11" s="30" t="s">
        <v>2014</v>
      </c>
      <c r="B11" s="30" t="s">
        <v>2039</v>
      </c>
      <c r="C11" s="30" t="s">
        <v>2020</v>
      </c>
      <c r="D11" s="30" t="s">
        <v>38</v>
      </c>
      <c r="E11" s="31" t="s">
        <v>38</v>
      </c>
      <c r="F11" s="30" t="s">
        <v>2043</v>
      </c>
      <c r="G11" s="31" t="s">
        <v>228</v>
      </c>
      <c r="H11" s="30" t="s">
        <v>2044</v>
      </c>
      <c r="I11" s="31" t="s">
        <v>314</v>
      </c>
      <c r="J11" s="30" t="s">
        <v>2019</v>
      </c>
      <c r="K11" s="30"/>
    </row>
    <row r="12" customFormat="false" ht="15" hidden="false" customHeight="false" outlineLevel="0" collapsed="false">
      <c r="A12" s="30" t="s">
        <v>2014</v>
      </c>
      <c r="B12" s="30" t="s">
        <v>2045</v>
      </c>
      <c r="C12" s="30" t="s">
        <v>2016</v>
      </c>
      <c r="D12" s="30" t="s">
        <v>2046</v>
      </c>
      <c r="E12" s="31" t="s">
        <v>55</v>
      </c>
      <c r="F12" s="30" t="s">
        <v>2047</v>
      </c>
      <c r="G12" s="31" t="s">
        <v>141</v>
      </c>
      <c r="H12" s="30" t="s">
        <v>2048</v>
      </c>
      <c r="I12" s="31" t="s">
        <v>329</v>
      </c>
      <c r="J12" s="30" t="s">
        <v>2019</v>
      </c>
      <c r="K12" s="30"/>
    </row>
    <row r="13" customFormat="false" ht="15" hidden="false" customHeight="false" outlineLevel="0" collapsed="false">
      <c r="A13" s="30" t="s">
        <v>2014</v>
      </c>
      <c r="B13" s="30" t="s">
        <v>2045</v>
      </c>
      <c r="C13" s="30" t="s">
        <v>2020</v>
      </c>
      <c r="D13" s="30" t="s">
        <v>2027</v>
      </c>
      <c r="E13" s="31" t="s">
        <v>11</v>
      </c>
      <c r="F13" s="30" t="s">
        <v>2049</v>
      </c>
      <c r="G13" s="31" t="s">
        <v>179</v>
      </c>
      <c r="H13" s="30"/>
      <c r="I13" s="30"/>
      <c r="J13" s="30" t="s">
        <v>2019</v>
      </c>
      <c r="K13" s="30"/>
    </row>
    <row r="14" customFormat="false" ht="15" hidden="false" customHeight="false" outlineLevel="0" collapsed="false">
      <c r="A14" s="30" t="s">
        <v>2014</v>
      </c>
      <c r="B14" s="30" t="s">
        <v>2050</v>
      </c>
      <c r="C14" s="30" t="s">
        <v>2016</v>
      </c>
      <c r="D14" s="30" t="s">
        <v>2051</v>
      </c>
      <c r="E14" s="31" t="s">
        <v>9</v>
      </c>
      <c r="F14" s="30" t="s">
        <v>2052</v>
      </c>
      <c r="G14" s="31" t="s">
        <v>132</v>
      </c>
      <c r="H14" s="30" t="s">
        <v>2053</v>
      </c>
      <c r="I14" s="31" t="s">
        <v>308</v>
      </c>
      <c r="J14" s="30" t="s">
        <v>384</v>
      </c>
      <c r="K14" s="30"/>
    </row>
    <row r="15" customFormat="false" ht="15" hidden="false" customHeight="false" outlineLevel="0" collapsed="false">
      <c r="A15" s="30" t="s">
        <v>2014</v>
      </c>
      <c r="B15" s="30" t="s">
        <v>2050</v>
      </c>
      <c r="C15" s="30" t="s">
        <v>2020</v>
      </c>
      <c r="D15" s="30" t="s">
        <v>2054</v>
      </c>
      <c r="E15" s="31" t="s">
        <v>45</v>
      </c>
      <c r="F15" s="30" t="s">
        <v>2055</v>
      </c>
      <c r="G15" s="31" t="s">
        <v>156</v>
      </c>
      <c r="H15" s="30" t="s">
        <v>2056</v>
      </c>
      <c r="I15" s="31" t="s">
        <v>341</v>
      </c>
      <c r="J15" s="30" t="s">
        <v>2019</v>
      </c>
      <c r="K15" s="30"/>
    </row>
    <row r="16" customFormat="false" ht="15" hidden="false" customHeight="false" outlineLevel="0" collapsed="false">
      <c r="A16" s="30" t="s">
        <v>2057</v>
      </c>
      <c r="B16" s="30" t="s">
        <v>2015</v>
      </c>
      <c r="C16" s="30" t="s">
        <v>2016</v>
      </c>
      <c r="D16" s="30" t="s">
        <v>9</v>
      </c>
      <c r="E16" s="31" t="s">
        <v>9</v>
      </c>
      <c r="F16" s="30" t="s">
        <v>2058</v>
      </c>
      <c r="G16" s="31" t="s">
        <v>165</v>
      </c>
      <c r="H16" s="30" t="s">
        <v>356</v>
      </c>
      <c r="I16" s="31" t="s">
        <v>356</v>
      </c>
      <c r="J16" s="30" t="s">
        <v>2019</v>
      </c>
      <c r="K16" s="30"/>
    </row>
    <row r="17" customFormat="false" ht="15" hidden="false" customHeight="false" outlineLevel="0" collapsed="false">
      <c r="A17" s="30" t="s">
        <v>2057</v>
      </c>
      <c r="B17" s="30" t="s">
        <v>2015</v>
      </c>
      <c r="C17" s="30" t="s">
        <v>2020</v>
      </c>
      <c r="D17" s="30" t="s">
        <v>2059</v>
      </c>
      <c r="E17" s="31" t="s">
        <v>72</v>
      </c>
      <c r="F17" s="30" t="s">
        <v>2060</v>
      </c>
      <c r="G17" s="31" t="s">
        <v>199</v>
      </c>
      <c r="H17" s="30"/>
      <c r="I17" s="30"/>
      <c r="J17" s="30" t="s">
        <v>2019</v>
      </c>
      <c r="K17" s="30"/>
    </row>
    <row r="18" customFormat="false" ht="15" hidden="false" customHeight="false" outlineLevel="0" collapsed="false">
      <c r="A18" s="30" t="s">
        <v>2057</v>
      </c>
      <c r="B18" s="30" t="s">
        <v>2024</v>
      </c>
      <c r="C18" s="30" t="s">
        <v>2016</v>
      </c>
      <c r="D18" s="30" t="s">
        <v>2061</v>
      </c>
      <c r="E18" s="31" t="s">
        <v>49</v>
      </c>
      <c r="F18" s="30" t="s">
        <v>207</v>
      </c>
      <c r="G18" s="31" t="s">
        <v>207</v>
      </c>
      <c r="H18" s="30"/>
      <c r="I18" s="30"/>
      <c r="J18" s="30" t="s">
        <v>384</v>
      </c>
      <c r="K18" s="30"/>
    </row>
    <row r="19" customFormat="false" ht="15" hidden="false" customHeight="false" outlineLevel="0" collapsed="false">
      <c r="A19" s="30" t="s">
        <v>2057</v>
      </c>
      <c r="B19" s="30" t="s">
        <v>2024</v>
      </c>
      <c r="C19" s="30" t="s">
        <v>2020</v>
      </c>
      <c r="D19" s="30" t="s">
        <v>2027</v>
      </c>
      <c r="E19" s="31" t="s">
        <v>11</v>
      </c>
      <c r="F19" s="30" t="s">
        <v>148</v>
      </c>
      <c r="G19" s="31" t="s">
        <v>148</v>
      </c>
      <c r="H19" s="30" t="s">
        <v>2062</v>
      </c>
      <c r="I19" s="31" t="s">
        <v>332</v>
      </c>
      <c r="J19" s="30" t="s">
        <v>2019</v>
      </c>
      <c r="K19" s="30"/>
    </row>
    <row r="20" customFormat="false" ht="15" hidden="false" customHeight="false" outlineLevel="0" collapsed="false">
      <c r="A20" s="30" t="s">
        <v>2057</v>
      </c>
      <c r="B20" s="30" t="s">
        <v>2030</v>
      </c>
      <c r="C20" s="30" t="s">
        <v>2016</v>
      </c>
      <c r="D20" s="30" t="s">
        <v>16</v>
      </c>
      <c r="E20" s="31" t="s">
        <v>16</v>
      </c>
      <c r="F20" s="30" t="s">
        <v>2063</v>
      </c>
      <c r="G20" s="31" t="s">
        <v>233</v>
      </c>
      <c r="H20" s="30" t="s">
        <v>2064</v>
      </c>
      <c r="I20" s="31" t="s">
        <v>373</v>
      </c>
      <c r="J20" s="30" t="s">
        <v>2019</v>
      </c>
      <c r="K20" s="30"/>
    </row>
    <row r="21" customFormat="false" ht="15" hidden="false" customHeight="false" outlineLevel="0" collapsed="false">
      <c r="A21" s="30" t="s">
        <v>2057</v>
      </c>
      <c r="B21" s="30" t="s">
        <v>2030</v>
      </c>
      <c r="C21" s="30" t="s">
        <v>2020</v>
      </c>
      <c r="D21" s="30" t="s">
        <v>2065</v>
      </c>
      <c r="E21" s="31" t="s">
        <v>42</v>
      </c>
      <c r="F21" s="30" t="s">
        <v>171</v>
      </c>
      <c r="G21" s="31" t="s">
        <v>171</v>
      </c>
      <c r="H21" s="30"/>
      <c r="I21" s="30"/>
      <c r="J21" s="30" t="s">
        <v>2019</v>
      </c>
      <c r="K21" s="30"/>
    </row>
    <row r="22" customFormat="false" ht="15" hidden="false" customHeight="false" outlineLevel="0" collapsed="false">
      <c r="A22" s="30" t="s">
        <v>2057</v>
      </c>
      <c r="B22" s="30" t="s">
        <v>2035</v>
      </c>
      <c r="C22" s="30" t="s">
        <v>2016</v>
      </c>
      <c r="D22" s="30" t="s">
        <v>2066</v>
      </c>
      <c r="E22" s="31" t="s">
        <v>50</v>
      </c>
      <c r="F22" s="30" t="s">
        <v>2067</v>
      </c>
      <c r="G22" s="31" t="s">
        <v>146</v>
      </c>
      <c r="H22" s="30" t="s">
        <v>365</v>
      </c>
      <c r="I22" s="31" t="s">
        <v>365</v>
      </c>
      <c r="J22" s="30" t="s">
        <v>2019</v>
      </c>
      <c r="K22" s="30"/>
    </row>
    <row r="23" customFormat="false" ht="15" hidden="false" customHeight="false" outlineLevel="0" collapsed="false">
      <c r="A23" s="30" t="s">
        <v>2057</v>
      </c>
      <c r="B23" s="30" t="s">
        <v>2035</v>
      </c>
      <c r="C23" s="30" t="s">
        <v>2020</v>
      </c>
      <c r="D23" s="30" t="s">
        <v>2068</v>
      </c>
      <c r="E23" s="31" t="s">
        <v>14</v>
      </c>
      <c r="F23" s="30" t="s">
        <v>2069</v>
      </c>
      <c r="G23" s="31" t="s">
        <v>208</v>
      </c>
      <c r="H23" s="30" t="s">
        <v>318</v>
      </c>
      <c r="I23" s="31" t="s">
        <v>318</v>
      </c>
      <c r="J23" s="30" t="s">
        <v>2019</v>
      </c>
      <c r="K23" s="30"/>
    </row>
    <row r="24" customFormat="false" ht="15" hidden="false" customHeight="false" outlineLevel="0" collapsed="false">
      <c r="A24" s="30" t="s">
        <v>2057</v>
      </c>
      <c r="B24" s="30" t="s">
        <v>2039</v>
      </c>
      <c r="C24" s="30" t="s">
        <v>2016</v>
      </c>
      <c r="D24" s="30" t="s">
        <v>2070</v>
      </c>
      <c r="E24" s="31" t="s">
        <v>75</v>
      </c>
      <c r="F24" s="30" t="s">
        <v>2071</v>
      </c>
      <c r="G24" s="31" t="s">
        <v>139</v>
      </c>
      <c r="H24" s="30" t="s">
        <v>2072</v>
      </c>
      <c r="I24" s="31" t="s">
        <v>329</v>
      </c>
      <c r="J24" s="30" t="s">
        <v>2019</v>
      </c>
      <c r="K24" s="30"/>
    </row>
    <row r="25" customFormat="false" ht="15" hidden="false" customHeight="false" outlineLevel="0" collapsed="false">
      <c r="A25" s="30" t="s">
        <v>2057</v>
      </c>
      <c r="B25" s="30" t="s">
        <v>2039</v>
      </c>
      <c r="C25" s="30" t="s">
        <v>2020</v>
      </c>
      <c r="D25" s="30" t="s">
        <v>19</v>
      </c>
      <c r="E25" s="31" t="s">
        <v>19</v>
      </c>
      <c r="F25" s="30" t="s">
        <v>210</v>
      </c>
      <c r="G25" s="31" t="s">
        <v>210</v>
      </c>
      <c r="H25" s="30"/>
      <c r="I25" s="30"/>
      <c r="J25" s="30" t="s">
        <v>2019</v>
      </c>
      <c r="K25" s="30"/>
    </row>
    <row r="26" customFormat="false" ht="15" hidden="false" customHeight="false" outlineLevel="0" collapsed="false">
      <c r="A26" s="30" t="s">
        <v>2057</v>
      </c>
      <c r="B26" s="30" t="s">
        <v>2045</v>
      </c>
      <c r="C26" s="30" t="s">
        <v>2016</v>
      </c>
      <c r="D26" s="30" t="s">
        <v>2073</v>
      </c>
      <c r="E26" s="31" t="s">
        <v>45</v>
      </c>
      <c r="F26" s="30" t="s">
        <v>2074</v>
      </c>
      <c r="G26" s="31" t="s">
        <v>212</v>
      </c>
      <c r="H26" s="30"/>
      <c r="I26" s="30"/>
      <c r="J26" s="30" t="s">
        <v>2019</v>
      </c>
      <c r="K26" s="30"/>
    </row>
    <row r="27" customFormat="false" ht="15" hidden="false" customHeight="false" outlineLevel="0" collapsed="false">
      <c r="A27" s="30" t="s">
        <v>2057</v>
      </c>
      <c r="B27" s="30" t="s">
        <v>2045</v>
      </c>
      <c r="C27" s="30" t="s">
        <v>2020</v>
      </c>
      <c r="D27" s="30" t="s">
        <v>2027</v>
      </c>
      <c r="E27" s="31" t="s">
        <v>11</v>
      </c>
      <c r="F27" s="30" t="s">
        <v>2075</v>
      </c>
      <c r="G27" s="31" t="s">
        <v>184</v>
      </c>
      <c r="H27" s="30"/>
      <c r="I27" s="30"/>
      <c r="J27" s="30" t="s">
        <v>2019</v>
      </c>
      <c r="K27" s="30"/>
    </row>
    <row r="28" customFormat="false" ht="15" hidden="false" customHeight="false" outlineLevel="0" collapsed="false">
      <c r="A28" s="30" t="s">
        <v>2057</v>
      </c>
      <c r="B28" s="30" t="s">
        <v>2050</v>
      </c>
      <c r="C28" s="30" t="s">
        <v>2016</v>
      </c>
      <c r="D28" s="30" t="s">
        <v>9</v>
      </c>
      <c r="E28" s="31" t="s">
        <v>9</v>
      </c>
      <c r="F28" s="30" t="s">
        <v>2076</v>
      </c>
      <c r="G28" s="31" t="s">
        <v>121</v>
      </c>
      <c r="H28" s="30" t="s">
        <v>330</v>
      </c>
      <c r="I28" s="31" t="s">
        <v>330</v>
      </c>
      <c r="J28" s="30" t="s">
        <v>384</v>
      </c>
      <c r="K28" s="30"/>
    </row>
    <row r="29" customFormat="false" ht="15" hidden="false" customHeight="false" outlineLevel="0" collapsed="false">
      <c r="A29" s="30" t="s">
        <v>2057</v>
      </c>
      <c r="B29" s="30" t="s">
        <v>2050</v>
      </c>
      <c r="C29" s="30" t="s">
        <v>2020</v>
      </c>
      <c r="D29" s="30" t="s">
        <v>2077</v>
      </c>
      <c r="E29" s="31" t="s">
        <v>22</v>
      </c>
      <c r="F29" s="30" t="s">
        <v>2078</v>
      </c>
      <c r="G29" s="31" t="s">
        <v>87</v>
      </c>
      <c r="H29" s="30" t="s">
        <v>2079</v>
      </c>
      <c r="I29" s="31" t="s">
        <v>368</v>
      </c>
      <c r="J29" s="30" t="s">
        <v>2019</v>
      </c>
      <c r="K29" s="30"/>
    </row>
    <row r="30" customFormat="false" ht="15" hidden="false" customHeight="false" outlineLevel="0" collapsed="false">
      <c r="A30" s="30" t="s">
        <v>2080</v>
      </c>
      <c r="B30" s="30" t="s">
        <v>2015</v>
      </c>
      <c r="C30" s="30" t="s">
        <v>2016</v>
      </c>
      <c r="D30" s="30" t="s">
        <v>2081</v>
      </c>
      <c r="E30" s="31" t="s">
        <v>61</v>
      </c>
      <c r="F30" s="30" t="s">
        <v>2082</v>
      </c>
      <c r="G30" s="31" t="s">
        <v>137</v>
      </c>
      <c r="H30" s="30" t="s">
        <v>2083</v>
      </c>
      <c r="I30" s="31" t="s">
        <v>359</v>
      </c>
      <c r="J30" s="30" t="s">
        <v>2019</v>
      </c>
      <c r="K30" s="30"/>
    </row>
    <row r="31" customFormat="false" ht="15" hidden="false" customHeight="false" outlineLevel="0" collapsed="false">
      <c r="A31" s="30" t="s">
        <v>2080</v>
      </c>
      <c r="B31" s="30" t="s">
        <v>2015</v>
      </c>
      <c r="C31" s="30" t="s">
        <v>2020</v>
      </c>
      <c r="D31" s="30" t="s">
        <v>32</v>
      </c>
      <c r="E31" s="31" t="s">
        <v>32</v>
      </c>
      <c r="F31" s="30" t="s">
        <v>132</v>
      </c>
      <c r="G31" s="31" t="s">
        <v>132</v>
      </c>
      <c r="H31" s="30" t="s">
        <v>2042</v>
      </c>
      <c r="I31" s="31" t="s">
        <v>306</v>
      </c>
      <c r="J31" s="30" t="s">
        <v>2019</v>
      </c>
      <c r="K31" s="30"/>
    </row>
    <row r="32" customFormat="false" ht="15" hidden="false" customHeight="false" outlineLevel="0" collapsed="false">
      <c r="A32" s="30" t="s">
        <v>2080</v>
      </c>
      <c r="B32" s="30" t="s">
        <v>2024</v>
      </c>
      <c r="C32" s="30" t="s">
        <v>2016</v>
      </c>
      <c r="D32" s="30" t="s">
        <v>2084</v>
      </c>
      <c r="E32" s="31" t="s">
        <v>34</v>
      </c>
      <c r="F32" s="30" t="s">
        <v>2085</v>
      </c>
      <c r="G32" s="31" t="s">
        <v>181</v>
      </c>
      <c r="H32" s="30"/>
      <c r="I32" s="30"/>
      <c r="J32" s="30" t="s">
        <v>384</v>
      </c>
      <c r="K32" s="30"/>
    </row>
    <row r="33" customFormat="false" ht="15" hidden="false" customHeight="false" outlineLevel="0" collapsed="false">
      <c r="A33" s="30" t="s">
        <v>2080</v>
      </c>
      <c r="B33" s="30" t="s">
        <v>2024</v>
      </c>
      <c r="C33" s="30" t="s">
        <v>2020</v>
      </c>
      <c r="D33" s="30" t="s">
        <v>2027</v>
      </c>
      <c r="E33" s="31" t="s">
        <v>11</v>
      </c>
      <c r="F33" s="30" t="s">
        <v>2086</v>
      </c>
      <c r="G33" s="31" t="s">
        <v>183</v>
      </c>
      <c r="H33" s="30"/>
      <c r="I33" s="30"/>
      <c r="J33" s="30" t="s">
        <v>2019</v>
      </c>
      <c r="K33" s="30"/>
    </row>
    <row r="34" customFormat="false" ht="15" hidden="false" customHeight="false" outlineLevel="0" collapsed="false">
      <c r="A34" s="30" t="s">
        <v>2080</v>
      </c>
      <c r="B34" s="30" t="s">
        <v>2030</v>
      </c>
      <c r="C34" s="30" t="s">
        <v>2016</v>
      </c>
      <c r="D34" s="30" t="s">
        <v>17</v>
      </c>
      <c r="E34" s="31" t="s">
        <v>17</v>
      </c>
      <c r="F34" s="30" t="s">
        <v>2087</v>
      </c>
      <c r="G34" s="31" t="s">
        <v>187</v>
      </c>
      <c r="H34" s="30" t="s">
        <v>2088</v>
      </c>
      <c r="I34" s="31" t="s">
        <v>312</v>
      </c>
      <c r="J34" s="30" t="s">
        <v>2019</v>
      </c>
      <c r="K34" s="30"/>
    </row>
    <row r="35" customFormat="false" ht="15" hidden="false" customHeight="false" outlineLevel="0" collapsed="false">
      <c r="A35" s="30" t="s">
        <v>2080</v>
      </c>
      <c r="B35" s="30" t="s">
        <v>2030</v>
      </c>
      <c r="C35" s="30" t="s">
        <v>2020</v>
      </c>
      <c r="D35" s="30" t="s">
        <v>16</v>
      </c>
      <c r="E35" s="31" t="s">
        <v>16</v>
      </c>
      <c r="F35" s="30" t="s">
        <v>2089</v>
      </c>
      <c r="G35" s="31" t="s">
        <v>189</v>
      </c>
      <c r="H35" s="30" t="s">
        <v>2090</v>
      </c>
      <c r="I35" s="31" t="s">
        <v>360</v>
      </c>
      <c r="J35" s="30" t="s">
        <v>2019</v>
      </c>
      <c r="K35" s="30"/>
    </row>
    <row r="36" customFormat="false" ht="15" hidden="false" customHeight="false" outlineLevel="0" collapsed="false">
      <c r="A36" s="30" t="s">
        <v>2080</v>
      </c>
      <c r="B36" s="30" t="s">
        <v>2035</v>
      </c>
      <c r="C36" s="30" t="s">
        <v>2016</v>
      </c>
      <c r="D36" s="30" t="s">
        <v>2091</v>
      </c>
      <c r="E36" s="31" t="s">
        <v>19</v>
      </c>
      <c r="F36" s="30" t="s">
        <v>2092</v>
      </c>
      <c r="G36" s="31" t="s">
        <v>191</v>
      </c>
      <c r="H36" s="30"/>
      <c r="I36" s="30"/>
      <c r="J36" s="30" t="s">
        <v>2019</v>
      </c>
      <c r="K36" s="30"/>
    </row>
    <row r="37" customFormat="false" ht="15" hidden="false" customHeight="false" outlineLevel="0" collapsed="false">
      <c r="A37" s="30" t="s">
        <v>2080</v>
      </c>
      <c r="B37" s="30" t="s">
        <v>2035</v>
      </c>
      <c r="C37" s="30" t="s">
        <v>2020</v>
      </c>
      <c r="D37" s="30" t="s">
        <v>2068</v>
      </c>
      <c r="E37" s="31" t="s">
        <v>14</v>
      </c>
      <c r="F37" s="30" t="s">
        <v>193</v>
      </c>
      <c r="G37" s="31" t="s">
        <v>193</v>
      </c>
      <c r="H37" s="30" t="s">
        <v>2093</v>
      </c>
      <c r="I37" s="31" t="s">
        <v>314</v>
      </c>
      <c r="J37" s="30" t="s">
        <v>2019</v>
      </c>
      <c r="K37" s="30"/>
    </row>
    <row r="38" customFormat="false" ht="15" hidden="false" customHeight="false" outlineLevel="0" collapsed="false">
      <c r="A38" s="30" t="s">
        <v>2080</v>
      </c>
      <c r="B38" s="30" t="s">
        <v>2039</v>
      </c>
      <c r="C38" s="30" t="s">
        <v>2016</v>
      </c>
      <c r="D38" s="30" t="s">
        <v>2094</v>
      </c>
      <c r="E38" s="31" t="s">
        <v>28</v>
      </c>
      <c r="F38" s="30" t="s">
        <v>194</v>
      </c>
      <c r="G38" s="31" t="s">
        <v>194</v>
      </c>
      <c r="H38" s="30" t="s">
        <v>2095</v>
      </c>
      <c r="I38" s="31" t="s">
        <v>309</v>
      </c>
      <c r="J38" s="30" t="s">
        <v>2019</v>
      </c>
      <c r="K38" s="30"/>
    </row>
    <row r="39" customFormat="false" ht="15" hidden="false" customHeight="false" outlineLevel="0" collapsed="false">
      <c r="A39" s="30" t="s">
        <v>2080</v>
      </c>
      <c r="B39" s="30" t="s">
        <v>2039</v>
      </c>
      <c r="C39" s="30" t="s">
        <v>2020</v>
      </c>
      <c r="D39" s="30" t="s">
        <v>9</v>
      </c>
      <c r="E39" s="31" t="s">
        <v>9</v>
      </c>
      <c r="F39" s="30" t="s">
        <v>2096</v>
      </c>
      <c r="G39" s="31" t="s">
        <v>93</v>
      </c>
      <c r="H39" s="30" t="s">
        <v>2097</v>
      </c>
      <c r="I39" s="31" t="s">
        <v>322</v>
      </c>
      <c r="J39" s="30" t="s">
        <v>2019</v>
      </c>
      <c r="K39" s="30"/>
    </row>
    <row r="40" customFormat="false" ht="15" hidden="false" customHeight="false" outlineLevel="0" collapsed="false">
      <c r="A40" s="30" t="s">
        <v>2080</v>
      </c>
      <c r="B40" s="30" t="s">
        <v>2045</v>
      </c>
      <c r="C40" s="30" t="s">
        <v>2016</v>
      </c>
      <c r="D40" s="30" t="s">
        <v>31</v>
      </c>
      <c r="E40" s="31" t="s">
        <v>31</v>
      </c>
      <c r="F40" s="30" t="s">
        <v>2098</v>
      </c>
      <c r="G40" s="31" t="s">
        <v>130</v>
      </c>
      <c r="H40" s="30" t="s">
        <v>2099</v>
      </c>
      <c r="I40" s="31" t="s">
        <v>346</v>
      </c>
      <c r="J40" s="30" t="s">
        <v>2019</v>
      </c>
      <c r="K40" s="30"/>
    </row>
    <row r="41" customFormat="false" ht="15" hidden="false" customHeight="false" outlineLevel="0" collapsed="false">
      <c r="A41" s="30" t="s">
        <v>2080</v>
      </c>
      <c r="B41" s="30" t="s">
        <v>2045</v>
      </c>
      <c r="C41" s="30" t="s">
        <v>2020</v>
      </c>
      <c r="D41" s="30" t="s">
        <v>2027</v>
      </c>
      <c r="E41" s="31" t="s">
        <v>11</v>
      </c>
      <c r="F41" s="30" t="s">
        <v>2100</v>
      </c>
      <c r="G41" s="31" t="s">
        <v>195</v>
      </c>
      <c r="H41" s="30" t="s">
        <v>310</v>
      </c>
      <c r="I41" s="31" t="s">
        <v>310</v>
      </c>
      <c r="J41" s="30" t="s">
        <v>2019</v>
      </c>
      <c r="K41" s="30"/>
    </row>
    <row r="42" customFormat="false" ht="15" hidden="false" customHeight="false" outlineLevel="0" collapsed="false">
      <c r="A42" s="30" t="s">
        <v>2080</v>
      </c>
      <c r="B42" s="30" t="s">
        <v>2050</v>
      </c>
      <c r="C42" s="30" t="s">
        <v>2016</v>
      </c>
      <c r="D42" s="30" t="s">
        <v>9</v>
      </c>
      <c r="E42" s="31" t="s">
        <v>9</v>
      </c>
      <c r="F42" s="30" t="s">
        <v>2101</v>
      </c>
      <c r="G42" s="31" t="s">
        <v>133</v>
      </c>
      <c r="H42" s="30" t="s">
        <v>2042</v>
      </c>
      <c r="I42" s="31" t="s">
        <v>306</v>
      </c>
      <c r="J42" s="30" t="s">
        <v>384</v>
      </c>
      <c r="K42" s="30"/>
    </row>
    <row r="43" customFormat="false" ht="15" hidden="false" customHeight="false" outlineLevel="0" collapsed="false">
      <c r="A43" s="30" t="s">
        <v>2080</v>
      </c>
      <c r="B43" s="30" t="s">
        <v>2050</v>
      </c>
      <c r="C43" s="30" t="s">
        <v>2020</v>
      </c>
      <c r="D43" s="30" t="s">
        <v>2102</v>
      </c>
      <c r="E43" s="31" t="s">
        <v>23</v>
      </c>
      <c r="F43" s="30" t="s">
        <v>2022</v>
      </c>
      <c r="G43" s="31" t="s">
        <v>124</v>
      </c>
      <c r="H43" s="30" t="s">
        <v>2103</v>
      </c>
      <c r="I43" s="31" t="s">
        <v>337</v>
      </c>
      <c r="J43" s="30" t="s">
        <v>2019</v>
      </c>
      <c r="K43" s="30"/>
    </row>
    <row r="44" customFormat="false" ht="15" hidden="false" customHeight="false" outlineLevel="0" collapsed="false">
      <c r="A44" s="30" t="s">
        <v>2104</v>
      </c>
      <c r="B44" s="30" t="s">
        <v>2015</v>
      </c>
      <c r="C44" s="30" t="s">
        <v>2016</v>
      </c>
      <c r="D44" s="30" t="s">
        <v>17</v>
      </c>
      <c r="E44" s="31" t="s">
        <v>17</v>
      </c>
      <c r="F44" s="30" t="s">
        <v>2105</v>
      </c>
      <c r="G44" s="31" t="s">
        <v>145</v>
      </c>
      <c r="H44" s="30" t="s">
        <v>2106</v>
      </c>
      <c r="I44" s="31" t="s">
        <v>313</v>
      </c>
      <c r="J44" s="30" t="s">
        <v>2019</v>
      </c>
      <c r="K44" s="30"/>
    </row>
    <row r="45" customFormat="false" ht="15" hidden="false" customHeight="false" outlineLevel="0" collapsed="false">
      <c r="A45" s="30" t="s">
        <v>2104</v>
      </c>
      <c r="B45" s="30" t="s">
        <v>2015</v>
      </c>
      <c r="C45" s="30" t="s">
        <v>2020</v>
      </c>
      <c r="D45" s="30" t="s">
        <v>2107</v>
      </c>
      <c r="E45" s="31" t="s">
        <v>9</v>
      </c>
      <c r="F45" s="30" t="s">
        <v>2108</v>
      </c>
      <c r="G45" s="31" t="s">
        <v>197</v>
      </c>
      <c r="H45" s="30" t="s">
        <v>2109</v>
      </c>
      <c r="I45" s="31" t="s">
        <v>342</v>
      </c>
      <c r="J45" s="30" t="s">
        <v>2019</v>
      </c>
      <c r="K45" s="30"/>
    </row>
    <row r="46" customFormat="false" ht="15" hidden="false" customHeight="false" outlineLevel="0" collapsed="false">
      <c r="A46" s="30" t="s">
        <v>2104</v>
      </c>
      <c r="B46" s="30" t="s">
        <v>2024</v>
      </c>
      <c r="C46" s="30" t="s">
        <v>2016</v>
      </c>
      <c r="D46" s="30" t="s">
        <v>2066</v>
      </c>
      <c r="E46" s="31" t="s">
        <v>50</v>
      </c>
      <c r="F46" s="30" t="s">
        <v>2110</v>
      </c>
      <c r="G46" s="31" t="s">
        <v>173</v>
      </c>
      <c r="H46" s="30" t="s">
        <v>320</v>
      </c>
      <c r="I46" s="31" t="s">
        <v>320</v>
      </c>
      <c r="J46" s="30" t="s">
        <v>384</v>
      </c>
      <c r="K46" s="30"/>
    </row>
    <row r="47" customFormat="false" ht="15" hidden="false" customHeight="false" outlineLevel="0" collapsed="false">
      <c r="A47" s="30" t="s">
        <v>2104</v>
      </c>
      <c r="B47" s="30" t="s">
        <v>2024</v>
      </c>
      <c r="C47" s="30" t="s">
        <v>2020</v>
      </c>
      <c r="D47" s="30" t="s">
        <v>2027</v>
      </c>
      <c r="E47" s="31" t="s">
        <v>11</v>
      </c>
      <c r="F47" s="30" t="s">
        <v>2111</v>
      </c>
      <c r="G47" s="31" t="s">
        <v>213</v>
      </c>
      <c r="H47" s="30" t="s">
        <v>2042</v>
      </c>
      <c r="I47" s="31" t="s">
        <v>306</v>
      </c>
      <c r="J47" s="30" t="s">
        <v>2019</v>
      </c>
      <c r="K47" s="30"/>
    </row>
    <row r="48" customFormat="false" ht="15" hidden="false" customHeight="false" outlineLevel="0" collapsed="false">
      <c r="A48" s="30" t="s">
        <v>2104</v>
      </c>
      <c r="B48" s="30" t="s">
        <v>2030</v>
      </c>
      <c r="C48" s="30" t="s">
        <v>2016</v>
      </c>
      <c r="D48" s="30" t="s">
        <v>2084</v>
      </c>
      <c r="E48" s="31" t="s">
        <v>34</v>
      </c>
      <c r="F48" s="30" t="s">
        <v>215</v>
      </c>
      <c r="G48" s="31" t="s">
        <v>215</v>
      </c>
      <c r="H48" s="30" t="s">
        <v>308</v>
      </c>
      <c r="I48" s="31" t="s">
        <v>308</v>
      </c>
      <c r="J48" s="30" t="s">
        <v>2019</v>
      </c>
      <c r="K48" s="30"/>
    </row>
    <row r="49" customFormat="false" ht="15" hidden="false" customHeight="false" outlineLevel="0" collapsed="false">
      <c r="A49" s="30" t="s">
        <v>2104</v>
      </c>
      <c r="B49" s="30" t="s">
        <v>2030</v>
      </c>
      <c r="C49" s="30" t="s">
        <v>2020</v>
      </c>
      <c r="D49" s="30" t="s">
        <v>2112</v>
      </c>
      <c r="E49" s="31" t="s">
        <v>40</v>
      </c>
      <c r="F49" s="30" t="s">
        <v>46</v>
      </c>
      <c r="G49" s="31" t="s">
        <v>46</v>
      </c>
      <c r="H49" s="30" t="s">
        <v>2107</v>
      </c>
      <c r="I49" s="31" t="s">
        <v>9</v>
      </c>
      <c r="J49" s="30" t="s">
        <v>2019</v>
      </c>
      <c r="K49" s="30"/>
    </row>
    <row r="50" customFormat="false" ht="15" hidden="false" customHeight="false" outlineLevel="0" collapsed="false">
      <c r="A50" s="30" t="s">
        <v>2104</v>
      </c>
      <c r="B50" s="30" t="s">
        <v>2035</v>
      </c>
      <c r="C50" s="30" t="s">
        <v>2016</v>
      </c>
      <c r="D50" s="30" t="s">
        <v>2077</v>
      </c>
      <c r="E50" s="31" t="s">
        <v>22</v>
      </c>
      <c r="F50" s="30" t="s">
        <v>2113</v>
      </c>
      <c r="G50" s="31" t="s">
        <v>235</v>
      </c>
      <c r="H50" s="30"/>
      <c r="I50" s="30"/>
      <c r="J50" s="30" t="s">
        <v>2019</v>
      </c>
      <c r="K50" s="30"/>
    </row>
    <row r="51" customFormat="false" ht="15" hidden="false" customHeight="false" outlineLevel="0" collapsed="false">
      <c r="A51" s="30" t="s">
        <v>2104</v>
      </c>
      <c r="B51" s="30" t="s">
        <v>2035</v>
      </c>
      <c r="C51" s="30" t="s">
        <v>2020</v>
      </c>
      <c r="D51" s="30" t="s">
        <v>2114</v>
      </c>
      <c r="E51" s="31" t="s">
        <v>11</v>
      </c>
      <c r="F51" s="30" t="s">
        <v>2115</v>
      </c>
      <c r="G51" s="31" t="s">
        <v>150</v>
      </c>
      <c r="H51" s="30"/>
      <c r="I51" s="30"/>
      <c r="J51" s="30" t="s">
        <v>2019</v>
      </c>
      <c r="K51" s="30"/>
    </row>
    <row r="52" customFormat="false" ht="15" hidden="false" customHeight="false" outlineLevel="0" collapsed="false">
      <c r="A52" s="30" t="s">
        <v>2104</v>
      </c>
      <c r="B52" s="30" t="s">
        <v>2039</v>
      </c>
      <c r="C52" s="30" t="s">
        <v>2016</v>
      </c>
      <c r="D52" s="30" t="s">
        <v>2116</v>
      </c>
      <c r="E52" s="31" t="s">
        <v>47</v>
      </c>
      <c r="F52" s="30" t="s">
        <v>2117</v>
      </c>
      <c r="G52" s="31" t="s">
        <v>154</v>
      </c>
      <c r="H52" s="30" t="s">
        <v>2118</v>
      </c>
      <c r="I52" s="31" t="s">
        <v>357</v>
      </c>
      <c r="J52" s="30" t="s">
        <v>2019</v>
      </c>
      <c r="K52" s="30"/>
    </row>
    <row r="53" customFormat="false" ht="15" hidden="false" customHeight="false" outlineLevel="0" collapsed="false">
      <c r="A53" s="30" t="s">
        <v>2104</v>
      </c>
      <c r="B53" s="30" t="s">
        <v>2039</v>
      </c>
      <c r="C53" s="30" t="s">
        <v>2020</v>
      </c>
      <c r="D53" s="30" t="s">
        <v>2091</v>
      </c>
      <c r="E53" s="31" t="s">
        <v>19</v>
      </c>
      <c r="F53" s="30" t="s">
        <v>2119</v>
      </c>
      <c r="G53" s="31" t="s">
        <v>219</v>
      </c>
      <c r="H53" s="30" t="s">
        <v>2120</v>
      </c>
      <c r="I53" s="31" t="s">
        <v>326</v>
      </c>
      <c r="J53" s="30" t="s">
        <v>2019</v>
      </c>
      <c r="K53" s="30"/>
    </row>
    <row r="54" customFormat="false" ht="15" hidden="false" customHeight="false" outlineLevel="0" collapsed="false">
      <c r="A54" s="30" t="s">
        <v>2104</v>
      </c>
      <c r="B54" s="30" t="s">
        <v>2045</v>
      </c>
      <c r="C54" s="30" t="s">
        <v>2016</v>
      </c>
      <c r="D54" s="30" t="s">
        <v>2121</v>
      </c>
      <c r="E54" s="31" t="s">
        <v>79</v>
      </c>
      <c r="F54" s="30" t="s">
        <v>2122</v>
      </c>
      <c r="G54" s="31" t="s">
        <v>237</v>
      </c>
      <c r="H54" s="30" t="s">
        <v>334</v>
      </c>
      <c r="I54" s="31" t="s">
        <v>334</v>
      </c>
      <c r="J54" s="30" t="s">
        <v>2019</v>
      </c>
      <c r="K54" s="30"/>
    </row>
    <row r="55" customFormat="false" ht="15" hidden="false" customHeight="false" outlineLevel="0" collapsed="false">
      <c r="A55" s="30" t="s">
        <v>2104</v>
      </c>
      <c r="B55" s="30" t="s">
        <v>2045</v>
      </c>
      <c r="C55" s="30" t="s">
        <v>2020</v>
      </c>
      <c r="D55" s="30" t="s">
        <v>2027</v>
      </c>
      <c r="E55" s="31" t="s">
        <v>11</v>
      </c>
      <c r="F55" s="30" t="s">
        <v>2123</v>
      </c>
      <c r="G55" s="31" t="s">
        <v>62</v>
      </c>
      <c r="H55" s="30" t="s">
        <v>327</v>
      </c>
      <c r="I55" s="31" t="s">
        <v>327</v>
      </c>
      <c r="J55" s="30" t="s">
        <v>2019</v>
      </c>
      <c r="K55" s="30"/>
    </row>
    <row r="56" customFormat="false" ht="15" hidden="false" customHeight="false" outlineLevel="0" collapsed="false">
      <c r="A56" s="30" t="s">
        <v>2104</v>
      </c>
      <c r="B56" s="30" t="s">
        <v>2050</v>
      </c>
      <c r="C56" s="30" t="s">
        <v>2016</v>
      </c>
      <c r="D56" s="30" t="s">
        <v>2124</v>
      </c>
      <c r="E56" s="31" t="s">
        <v>17</v>
      </c>
      <c r="F56" s="30" t="s">
        <v>2125</v>
      </c>
      <c r="G56" s="31" t="s">
        <v>221</v>
      </c>
      <c r="H56" s="30" t="s">
        <v>2126</v>
      </c>
      <c r="I56" s="31" t="s">
        <v>309</v>
      </c>
      <c r="J56" s="30" t="s">
        <v>384</v>
      </c>
      <c r="K56" s="30"/>
    </row>
    <row r="57" customFormat="false" ht="15" hidden="false" customHeight="false" outlineLevel="0" collapsed="false">
      <c r="A57" s="30" t="s">
        <v>2104</v>
      </c>
      <c r="B57" s="30" t="s">
        <v>2050</v>
      </c>
      <c r="C57" s="30" t="s">
        <v>2020</v>
      </c>
      <c r="D57" s="30" t="s">
        <v>2127</v>
      </c>
      <c r="E57" s="31" t="s">
        <v>63</v>
      </c>
      <c r="F57" s="30" t="s">
        <v>2128</v>
      </c>
      <c r="G57" s="31" t="s">
        <v>157</v>
      </c>
      <c r="H57" s="30" t="s">
        <v>2129</v>
      </c>
      <c r="I57" s="31" t="s">
        <v>336</v>
      </c>
      <c r="J57" s="30" t="s">
        <v>2019</v>
      </c>
      <c r="K57" s="30"/>
    </row>
    <row r="58" customFormat="false" ht="15" hidden="false" customHeight="false" outlineLevel="0" collapsed="false">
      <c r="A58" s="30" t="s">
        <v>2130</v>
      </c>
      <c r="B58" s="30" t="s">
        <v>2015</v>
      </c>
      <c r="C58" s="30" t="s">
        <v>2016</v>
      </c>
      <c r="D58" s="30" t="s">
        <v>2131</v>
      </c>
      <c r="E58" s="31" t="s">
        <v>83</v>
      </c>
      <c r="F58" s="30" t="s">
        <v>2076</v>
      </c>
      <c r="G58" s="31" t="s">
        <v>121</v>
      </c>
      <c r="H58" s="30" t="s">
        <v>2132</v>
      </c>
      <c r="I58" s="31" t="s">
        <v>356</v>
      </c>
      <c r="J58" s="30" t="s">
        <v>2019</v>
      </c>
      <c r="K58" s="30"/>
    </row>
    <row r="59" customFormat="false" ht="15" hidden="false" customHeight="false" outlineLevel="0" collapsed="false">
      <c r="A59" s="30" t="s">
        <v>2130</v>
      </c>
      <c r="B59" s="30" t="s">
        <v>2015</v>
      </c>
      <c r="C59" s="30" t="s">
        <v>2020</v>
      </c>
      <c r="D59" s="30" t="s">
        <v>2133</v>
      </c>
      <c r="E59" s="31" t="s">
        <v>32</v>
      </c>
      <c r="F59" s="30" t="s">
        <v>2134</v>
      </c>
      <c r="G59" s="31" t="s">
        <v>129</v>
      </c>
      <c r="H59" s="30" t="s">
        <v>2135</v>
      </c>
      <c r="I59" s="31" t="s">
        <v>342</v>
      </c>
      <c r="J59" s="30" t="s">
        <v>2019</v>
      </c>
      <c r="K59" s="30"/>
    </row>
    <row r="60" customFormat="false" ht="15" hidden="false" customHeight="false" outlineLevel="0" collapsed="false">
      <c r="A60" s="30" t="s">
        <v>2130</v>
      </c>
      <c r="B60" s="30" t="s">
        <v>2024</v>
      </c>
      <c r="C60" s="30" t="s">
        <v>2016</v>
      </c>
      <c r="D60" s="30" t="s">
        <v>2107</v>
      </c>
      <c r="E60" s="31" t="s">
        <v>9</v>
      </c>
      <c r="F60" s="30" t="s">
        <v>225</v>
      </c>
      <c r="G60" s="31" t="s">
        <v>225</v>
      </c>
      <c r="H60" s="30" t="s">
        <v>338</v>
      </c>
      <c r="I60" s="31" t="s">
        <v>338</v>
      </c>
      <c r="J60" s="30" t="s">
        <v>384</v>
      </c>
      <c r="K60" s="30"/>
    </row>
    <row r="61" customFormat="false" ht="15" hidden="false" customHeight="false" outlineLevel="0" collapsed="false">
      <c r="A61" s="30" t="s">
        <v>2130</v>
      </c>
      <c r="B61" s="30" t="s">
        <v>2024</v>
      </c>
      <c r="C61" s="30" t="s">
        <v>2020</v>
      </c>
      <c r="D61" s="30" t="s">
        <v>2027</v>
      </c>
      <c r="E61" s="31" t="s">
        <v>11</v>
      </c>
      <c r="F61" s="30" t="s">
        <v>2136</v>
      </c>
      <c r="G61" s="31" t="s">
        <v>245</v>
      </c>
      <c r="H61" s="30" t="s">
        <v>1525</v>
      </c>
      <c r="I61" s="31" t="s">
        <v>314</v>
      </c>
      <c r="J61" s="30" t="s">
        <v>2019</v>
      </c>
      <c r="K61" s="30"/>
    </row>
    <row r="62" customFormat="false" ht="15" hidden="false" customHeight="false" outlineLevel="0" collapsed="false">
      <c r="A62" s="30" t="s">
        <v>2130</v>
      </c>
      <c r="B62" s="30" t="s">
        <v>2030</v>
      </c>
      <c r="C62" s="30" t="s">
        <v>2016</v>
      </c>
      <c r="D62" s="30" t="s">
        <v>46</v>
      </c>
      <c r="E62" s="31" t="s">
        <v>46</v>
      </c>
      <c r="F62" s="30" t="s">
        <v>2137</v>
      </c>
      <c r="G62" s="31" t="s">
        <v>137</v>
      </c>
      <c r="H62" s="30" t="s">
        <v>2138</v>
      </c>
      <c r="I62" s="31" t="s">
        <v>319</v>
      </c>
      <c r="J62" s="30" t="s">
        <v>2019</v>
      </c>
      <c r="K62" s="30"/>
    </row>
    <row r="63" customFormat="false" ht="15" hidden="false" customHeight="false" outlineLevel="0" collapsed="false">
      <c r="A63" s="30" t="s">
        <v>2130</v>
      </c>
      <c r="B63" s="30" t="s">
        <v>2030</v>
      </c>
      <c r="C63" s="30" t="s">
        <v>2020</v>
      </c>
      <c r="D63" s="30" t="s">
        <v>2139</v>
      </c>
      <c r="E63" s="31" t="s">
        <v>35</v>
      </c>
      <c r="F63" s="30" t="s">
        <v>2140</v>
      </c>
      <c r="G63" s="31" t="s">
        <v>263</v>
      </c>
      <c r="H63" s="30" t="s">
        <v>2141</v>
      </c>
      <c r="I63" s="31" t="s">
        <v>377</v>
      </c>
      <c r="J63" s="30" t="s">
        <v>2019</v>
      </c>
      <c r="K63" s="30"/>
    </row>
    <row r="64" customFormat="false" ht="15" hidden="false" customHeight="false" outlineLevel="0" collapsed="false">
      <c r="A64" s="30" t="s">
        <v>2130</v>
      </c>
      <c r="B64" s="30" t="s">
        <v>2035</v>
      </c>
      <c r="C64" s="30" t="s">
        <v>2016</v>
      </c>
      <c r="D64" s="30" t="s">
        <v>2091</v>
      </c>
      <c r="E64" s="31" t="s">
        <v>19</v>
      </c>
      <c r="F64" s="30" t="s">
        <v>247</v>
      </c>
      <c r="G64" s="31" t="s">
        <v>247</v>
      </c>
      <c r="H64" s="30"/>
      <c r="I64" s="30"/>
      <c r="J64" s="30" t="s">
        <v>2019</v>
      </c>
      <c r="K64" s="30"/>
    </row>
    <row r="65" customFormat="false" ht="15" hidden="false" customHeight="false" outlineLevel="0" collapsed="false">
      <c r="A65" s="30" t="s">
        <v>2130</v>
      </c>
      <c r="B65" s="30" t="s">
        <v>2035</v>
      </c>
      <c r="C65" s="30" t="s">
        <v>2020</v>
      </c>
      <c r="D65" s="30" t="s">
        <v>2068</v>
      </c>
      <c r="E65" s="31" t="s">
        <v>14</v>
      </c>
      <c r="F65" s="30" t="s">
        <v>2142</v>
      </c>
      <c r="G65" s="31" t="s">
        <v>209</v>
      </c>
      <c r="H65" s="30"/>
      <c r="I65" s="30"/>
      <c r="J65" s="30" t="s">
        <v>2019</v>
      </c>
      <c r="K65" s="30"/>
    </row>
    <row r="66" customFormat="false" ht="15" hidden="false" customHeight="false" outlineLevel="0" collapsed="false">
      <c r="A66" s="30" t="s">
        <v>2130</v>
      </c>
      <c r="B66" s="30" t="s">
        <v>2039</v>
      </c>
      <c r="C66" s="30" t="s">
        <v>2016</v>
      </c>
      <c r="D66" s="30" t="s">
        <v>2143</v>
      </c>
      <c r="E66" s="31" t="s">
        <v>65</v>
      </c>
      <c r="F66" s="30" t="s">
        <v>153</v>
      </c>
      <c r="G66" s="31" t="s">
        <v>153</v>
      </c>
      <c r="H66" s="30"/>
      <c r="I66" s="30"/>
      <c r="J66" s="30" t="s">
        <v>2019</v>
      </c>
      <c r="K66" s="30"/>
    </row>
    <row r="67" customFormat="false" ht="15" hidden="false" customHeight="false" outlineLevel="0" collapsed="false">
      <c r="A67" s="30" t="s">
        <v>2130</v>
      </c>
      <c r="B67" s="30" t="s">
        <v>2039</v>
      </c>
      <c r="C67" s="30" t="s">
        <v>2020</v>
      </c>
      <c r="D67" s="30" t="s">
        <v>2107</v>
      </c>
      <c r="E67" s="31" t="s">
        <v>9</v>
      </c>
      <c r="F67" s="30" t="s">
        <v>2144</v>
      </c>
      <c r="G67" s="31" t="s">
        <v>212</v>
      </c>
      <c r="H67" s="30" t="s">
        <v>2145</v>
      </c>
      <c r="I67" s="31" t="s">
        <v>372</v>
      </c>
      <c r="J67" s="30" t="s">
        <v>2019</v>
      </c>
      <c r="K67" s="30"/>
    </row>
    <row r="68" customFormat="false" ht="15" hidden="false" customHeight="false" outlineLevel="0" collapsed="false">
      <c r="A68" s="30" t="s">
        <v>2130</v>
      </c>
      <c r="B68" s="30" t="s">
        <v>2045</v>
      </c>
      <c r="C68" s="30" t="s">
        <v>2016</v>
      </c>
      <c r="D68" s="30" t="s">
        <v>2146</v>
      </c>
      <c r="E68" s="31" t="s">
        <v>62</v>
      </c>
      <c r="F68" s="30" t="s">
        <v>2147</v>
      </c>
      <c r="G68" s="31" t="s">
        <v>249</v>
      </c>
      <c r="H68" s="30" t="s">
        <v>2088</v>
      </c>
      <c r="I68" s="31" t="s">
        <v>312</v>
      </c>
      <c r="J68" s="30" t="s">
        <v>2019</v>
      </c>
      <c r="K68" s="30"/>
    </row>
    <row r="69" customFormat="false" ht="15" hidden="false" customHeight="false" outlineLevel="0" collapsed="false">
      <c r="A69" s="30" t="s">
        <v>2130</v>
      </c>
      <c r="B69" s="30" t="s">
        <v>2045</v>
      </c>
      <c r="C69" s="30" t="s">
        <v>2020</v>
      </c>
      <c r="D69" s="30" t="s">
        <v>2027</v>
      </c>
      <c r="E69" s="31" t="s">
        <v>11</v>
      </c>
      <c r="F69" s="30" t="s">
        <v>2148</v>
      </c>
      <c r="G69" s="31" t="s">
        <v>251</v>
      </c>
      <c r="H69" s="30" t="s">
        <v>2149</v>
      </c>
      <c r="I69" s="31" t="s">
        <v>340</v>
      </c>
      <c r="J69" s="30" t="s">
        <v>2019</v>
      </c>
      <c r="K69" s="30"/>
    </row>
    <row r="70" customFormat="false" ht="15" hidden="false" customHeight="false" outlineLevel="0" collapsed="false">
      <c r="A70" s="30" t="s">
        <v>2130</v>
      </c>
      <c r="B70" s="30" t="s">
        <v>2050</v>
      </c>
      <c r="C70" s="30" t="s">
        <v>2016</v>
      </c>
      <c r="D70" s="30" t="s">
        <v>2150</v>
      </c>
      <c r="E70" s="31" t="s">
        <v>23</v>
      </c>
      <c r="F70" s="30" t="s">
        <v>2151</v>
      </c>
      <c r="G70" s="31" t="s">
        <v>159</v>
      </c>
      <c r="H70" s="30" t="s">
        <v>2042</v>
      </c>
      <c r="I70" s="31" t="s">
        <v>306</v>
      </c>
      <c r="J70" s="30" t="s">
        <v>384</v>
      </c>
      <c r="K70" s="30"/>
    </row>
    <row r="71" customFormat="false" ht="15" hidden="false" customHeight="false" outlineLevel="0" collapsed="false">
      <c r="A71" s="30" t="s">
        <v>2130</v>
      </c>
      <c r="B71" s="30" t="s">
        <v>2050</v>
      </c>
      <c r="C71" s="30" t="s">
        <v>2020</v>
      </c>
      <c r="D71" s="30" t="s">
        <v>2061</v>
      </c>
      <c r="E71" s="31" t="s">
        <v>49</v>
      </c>
      <c r="F71" s="30" t="s">
        <v>2152</v>
      </c>
      <c r="G71" s="31" t="s">
        <v>185</v>
      </c>
      <c r="H71" s="30"/>
      <c r="I71" s="30"/>
      <c r="J71" s="30" t="s">
        <v>2019</v>
      </c>
      <c r="K71" s="30"/>
    </row>
    <row r="72" customFormat="false" ht="15" hidden="false" customHeight="false" outlineLevel="0" collapsed="false">
      <c r="A72" s="30" t="s">
        <v>2153</v>
      </c>
      <c r="B72" s="30" t="s">
        <v>2015</v>
      </c>
      <c r="C72" s="30" t="s">
        <v>2016</v>
      </c>
      <c r="D72" s="30" t="s">
        <v>16</v>
      </c>
      <c r="E72" s="31" t="s">
        <v>16</v>
      </c>
      <c r="F72" s="30" t="s">
        <v>2101</v>
      </c>
      <c r="G72" s="31" t="s">
        <v>133</v>
      </c>
      <c r="H72" s="30" t="s">
        <v>2154</v>
      </c>
      <c r="I72" s="31" t="s">
        <v>364</v>
      </c>
      <c r="J72" s="30" t="s">
        <v>2019</v>
      </c>
      <c r="K72" s="30"/>
    </row>
    <row r="73" customFormat="false" ht="15" hidden="false" customHeight="false" outlineLevel="0" collapsed="false">
      <c r="A73" s="30" t="s">
        <v>2153</v>
      </c>
      <c r="B73" s="30" t="s">
        <v>2015</v>
      </c>
      <c r="C73" s="30" t="s">
        <v>2020</v>
      </c>
      <c r="D73" s="30" t="s">
        <v>2091</v>
      </c>
      <c r="E73" s="31" t="s">
        <v>19</v>
      </c>
      <c r="F73" s="30" t="s">
        <v>2022</v>
      </c>
      <c r="G73" s="31" t="s">
        <v>124</v>
      </c>
      <c r="H73" s="30" t="s">
        <v>2135</v>
      </c>
      <c r="I73" s="31" t="s">
        <v>342</v>
      </c>
      <c r="J73" s="30" t="s">
        <v>2019</v>
      </c>
      <c r="K73" s="30"/>
    </row>
    <row r="74" customFormat="false" ht="15" hidden="false" customHeight="false" outlineLevel="0" collapsed="false">
      <c r="A74" s="30" t="s">
        <v>2153</v>
      </c>
      <c r="B74" s="30" t="s">
        <v>2024</v>
      </c>
      <c r="C74" s="30" t="s">
        <v>2016</v>
      </c>
      <c r="D74" s="30" t="s">
        <v>9</v>
      </c>
      <c r="E74" s="31" t="s">
        <v>9</v>
      </c>
      <c r="F74" s="30" t="s">
        <v>2155</v>
      </c>
      <c r="G74" s="31" t="s">
        <v>84</v>
      </c>
      <c r="H74" s="30"/>
      <c r="I74" s="30"/>
      <c r="J74" s="30" t="s">
        <v>2156</v>
      </c>
      <c r="K74" s="31" t="s">
        <v>388</v>
      </c>
    </row>
    <row r="75" customFormat="false" ht="15" hidden="false" customHeight="false" outlineLevel="0" collapsed="false">
      <c r="A75" s="30" t="s">
        <v>2153</v>
      </c>
      <c r="B75" s="30" t="s">
        <v>2024</v>
      </c>
      <c r="C75" s="30" t="s">
        <v>2020</v>
      </c>
      <c r="D75" s="30" t="s">
        <v>2027</v>
      </c>
      <c r="E75" s="31" t="s">
        <v>11</v>
      </c>
      <c r="F75" s="30" t="s">
        <v>2157</v>
      </c>
      <c r="G75" s="31" t="s">
        <v>114</v>
      </c>
      <c r="H75" s="30" t="s">
        <v>310</v>
      </c>
      <c r="I75" s="31" t="s">
        <v>310</v>
      </c>
      <c r="J75" s="30" t="s">
        <v>2019</v>
      </c>
      <c r="K75" s="30"/>
    </row>
    <row r="76" customFormat="false" ht="15" hidden="false" customHeight="false" outlineLevel="0" collapsed="false">
      <c r="A76" s="30" t="s">
        <v>2153</v>
      </c>
      <c r="B76" s="30" t="s">
        <v>2030</v>
      </c>
      <c r="C76" s="30" t="s">
        <v>2016</v>
      </c>
      <c r="D76" s="30" t="s">
        <v>2139</v>
      </c>
      <c r="E76" s="31" t="s">
        <v>35</v>
      </c>
      <c r="F76" s="30" t="s">
        <v>2158</v>
      </c>
      <c r="G76" s="31" t="s">
        <v>163</v>
      </c>
      <c r="H76" s="30" t="s">
        <v>2159</v>
      </c>
      <c r="I76" s="31" t="s">
        <v>309</v>
      </c>
      <c r="J76" s="30" t="s">
        <v>2019</v>
      </c>
      <c r="K76" s="30"/>
    </row>
    <row r="77" customFormat="false" ht="15" hidden="false" customHeight="false" outlineLevel="0" collapsed="false">
      <c r="A77" s="30" t="s">
        <v>2153</v>
      </c>
      <c r="B77" s="30" t="s">
        <v>2030</v>
      </c>
      <c r="C77" s="30" t="s">
        <v>2020</v>
      </c>
      <c r="D77" s="30" t="s">
        <v>2150</v>
      </c>
      <c r="E77" s="31" t="s">
        <v>23</v>
      </c>
      <c r="F77" s="30" t="s">
        <v>227</v>
      </c>
      <c r="G77" s="31" t="s">
        <v>227</v>
      </c>
      <c r="H77" s="30" t="s">
        <v>2097</v>
      </c>
      <c r="I77" s="31" t="s">
        <v>322</v>
      </c>
      <c r="J77" s="30" t="s">
        <v>2019</v>
      </c>
      <c r="K77" s="30"/>
    </row>
    <row r="78" customFormat="false" ht="15" hidden="false" customHeight="false" outlineLevel="0" collapsed="false">
      <c r="A78" s="30" t="s">
        <v>2153</v>
      </c>
      <c r="B78" s="30" t="s">
        <v>2035</v>
      </c>
      <c r="C78" s="30" t="s">
        <v>2016</v>
      </c>
      <c r="D78" s="30" t="s">
        <v>2040</v>
      </c>
      <c r="E78" s="31" t="s">
        <v>60</v>
      </c>
      <c r="F78" s="30" t="s">
        <v>2160</v>
      </c>
      <c r="G78" s="31" t="s">
        <v>169</v>
      </c>
      <c r="H78" s="30" t="s">
        <v>2161</v>
      </c>
      <c r="I78" s="31" t="s">
        <v>344</v>
      </c>
      <c r="J78" s="30" t="s">
        <v>2019</v>
      </c>
      <c r="K78" s="30"/>
    </row>
    <row r="79" customFormat="false" ht="15" hidden="false" customHeight="false" outlineLevel="0" collapsed="false">
      <c r="A79" s="30" t="s">
        <v>2153</v>
      </c>
      <c r="B79" s="30" t="s">
        <v>2035</v>
      </c>
      <c r="C79" s="30" t="s">
        <v>2020</v>
      </c>
      <c r="D79" s="30" t="s">
        <v>2068</v>
      </c>
      <c r="E79" s="31" t="s">
        <v>14</v>
      </c>
      <c r="F79" s="30" t="s">
        <v>2162</v>
      </c>
      <c r="G79" s="31" t="s">
        <v>123</v>
      </c>
      <c r="H79" s="30" t="s">
        <v>2163</v>
      </c>
      <c r="I79" s="31" t="s">
        <v>327</v>
      </c>
      <c r="J79" s="30" t="s">
        <v>2019</v>
      </c>
      <c r="K79" s="30"/>
    </row>
    <row r="80" customFormat="false" ht="15" hidden="false" customHeight="false" outlineLevel="0" collapsed="false">
      <c r="A80" s="30" t="s">
        <v>2153</v>
      </c>
      <c r="B80" s="30" t="s">
        <v>2039</v>
      </c>
      <c r="C80" s="30" t="s">
        <v>2016</v>
      </c>
      <c r="D80" s="30" t="s">
        <v>2084</v>
      </c>
      <c r="E80" s="31" t="s">
        <v>34</v>
      </c>
      <c r="F80" s="30" t="s">
        <v>2082</v>
      </c>
      <c r="G80" s="31" t="s">
        <v>137</v>
      </c>
      <c r="H80" s="30" t="s">
        <v>2042</v>
      </c>
      <c r="I80" s="31" t="s">
        <v>306</v>
      </c>
      <c r="J80" s="30" t="s">
        <v>2019</v>
      </c>
      <c r="K80" s="30"/>
    </row>
    <row r="81" customFormat="false" ht="15" hidden="false" customHeight="false" outlineLevel="0" collapsed="false">
      <c r="A81" s="30" t="s">
        <v>2153</v>
      </c>
      <c r="B81" s="30" t="s">
        <v>2039</v>
      </c>
      <c r="C81" s="30" t="s">
        <v>2020</v>
      </c>
      <c r="D81" s="30" t="s">
        <v>2164</v>
      </c>
      <c r="E81" s="31" t="s">
        <v>38</v>
      </c>
      <c r="F81" s="30" t="s">
        <v>2165</v>
      </c>
      <c r="G81" s="31" t="s">
        <v>228</v>
      </c>
      <c r="H81" s="30" t="s">
        <v>2044</v>
      </c>
      <c r="I81" s="31" t="s">
        <v>314</v>
      </c>
      <c r="J81" s="30" t="s">
        <v>2019</v>
      </c>
      <c r="K81" s="30"/>
    </row>
    <row r="82" customFormat="false" ht="15" hidden="false" customHeight="false" outlineLevel="0" collapsed="false">
      <c r="A82" s="30" t="s">
        <v>2153</v>
      </c>
      <c r="B82" s="30" t="s">
        <v>2045</v>
      </c>
      <c r="C82" s="30" t="s">
        <v>2016</v>
      </c>
      <c r="D82" s="30" t="s">
        <v>2166</v>
      </c>
      <c r="E82" s="31" t="s">
        <v>55</v>
      </c>
      <c r="F82" s="30" t="s">
        <v>2167</v>
      </c>
      <c r="G82" s="31" t="s">
        <v>141</v>
      </c>
      <c r="H82" s="30" t="s">
        <v>329</v>
      </c>
      <c r="I82" s="31" t="s">
        <v>329</v>
      </c>
      <c r="J82" s="30" t="s">
        <v>2019</v>
      </c>
      <c r="K82" s="30"/>
    </row>
    <row r="83" customFormat="false" ht="15" hidden="false" customHeight="false" outlineLevel="0" collapsed="false">
      <c r="A83" s="30" t="s">
        <v>2153</v>
      </c>
      <c r="B83" s="30" t="s">
        <v>2045</v>
      </c>
      <c r="C83" s="30" t="s">
        <v>2020</v>
      </c>
      <c r="D83" s="30" t="s">
        <v>2027</v>
      </c>
      <c r="E83" s="31" t="s">
        <v>11</v>
      </c>
      <c r="F83" s="30" t="s">
        <v>2168</v>
      </c>
      <c r="G83" s="31" t="s">
        <v>179</v>
      </c>
      <c r="H83" s="30"/>
      <c r="I83" s="30"/>
      <c r="J83" s="30" t="s">
        <v>2019</v>
      </c>
      <c r="K83" s="30"/>
    </row>
    <row r="84" customFormat="false" ht="15" hidden="false" customHeight="false" outlineLevel="0" collapsed="false">
      <c r="A84" s="30" t="s">
        <v>2153</v>
      </c>
      <c r="B84" s="30" t="s">
        <v>2050</v>
      </c>
      <c r="C84" s="30" t="s">
        <v>2016</v>
      </c>
      <c r="D84" s="30" t="s">
        <v>2051</v>
      </c>
      <c r="E84" s="31" t="s">
        <v>9</v>
      </c>
      <c r="F84" s="30" t="s">
        <v>2169</v>
      </c>
      <c r="G84" s="31" t="s">
        <v>265</v>
      </c>
      <c r="H84" s="30" t="s">
        <v>2053</v>
      </c>
      <c r="I84" s="31" t="s">
        <v>308</v>
      </c>
      <c r="J84" s="30" t="s">
        <v>384</v>
      </c>
      <c r="K84" s="30"/>
    </row>
    <row r="85" customFormat="false" ht="15" hidden="false" customHeight="false" outlineLevel="0" collapsed="false">
      <c r="A85" s="30" t="s">
        <v>2153</v>
      </c>
      <c r="B85" s="30" t="s">
        <v>2050</v>
      </c>
      <c r="C85" s="30" t="s">
        <v>2020</v>
      </c>
      <c r="D85" s="30" t="s">
        <v>2073</v>
      </c>
      <c r="E85" s="31" t="s">
        <v>45</v>
      </c>
      <c r="F85" s="30" t="s">
        <v>2170</v>
      </c>
      <c r="G85" s="31" t="s">
        <v>156</v>
      </c>
      <c r="H85" s="30" t="s">
        <v>2171</v>
      </c>
      <c r="I85" s="31" t="s">
        <v>341</v>
      </c>
      <c r="J85" s="30" t="s">
        <v>2019</v>
      </c>
      <c r="K85" s="30"/>
    </row>
    <row r="86" customFormat="false" ht="15" hidden="false" customHeight="false" outlineLevel="0" collapsed="false">
      <c r="A86" s="30" t="s">
        <v>2172</v>
      </c>
      <c r="B86" s="30" t="s">
        <v>2015</v>
      </c>
      <c r="C86" s="30" t="s">
        <v>2016</v>
      </c>
      <c r="D86" s="30" t="s">
        <v>9</v>
      </c>
      <c r="E86" s="31" t="s">
        <v>9</v>
      </c>
      <c r="F86" s="30" t="s">
        <v>2058</v>
      </c>
      <c r="G86" s="31" t="s">
        <v>165</v>
      </c>
      <c r="H86" s="30" t="s">
        <v>356</v>
      </c>
      <c r="I86" s="31" t="s">
        <v>356</v>
      </c>
      <c r="J86" s="30" t="s">
        <v>2019</v>
      </c>
      <c r="K86" s="30"/>
    </row>
    <row r="87" customFormat="false" ht="15" hidden="false" customHeight="false" outlineLevel="0" collapsed="false">
      <c r="A87" s="30" t="s">
        <v>2172</v>
      </c>
      <c r="B87" s="30" t="s">
        <v>2015</v>
      </c>
      <c r="C87" s="30" t="s">
        <v>2020</v>
      </c>
      <c r="D87" s="30" t="s">
        <v>2059</v>
      </c>
      <c r="E87" s="31" t="s">
        <v>72</v>
      </c>
      <c r="F87" s="30" t="s">
        <v>2060</v>
      </c>
      <c r="G87" s="31" t="s">
        <v>199</v>
      </c>
      <c r="H87" s="30"/>
      <c r="I87" s="30"/>
      <c r="J87" s="30" t="s">
        <v>2019</v>
      </c>
      <c r="K87" s="30"/>
    </row>
    <row r="88" customFormat="false" ht="15" hidden="false" customHeight="false" outlineLevel="0" collapsed="false">
      <c r="A88" s="30" t="s">
        <v>2172</v>
      </c>
      <c r="B88" s="30" t="s">
        <v>2024</v>
      </c>
      <c r="C88" s="30" t="s">
        <v>2016</v>
      </c>
      <c r="D88" s="30" t="s">
        <v>2061</v>
      </c>
      <c r="E88" s="31" t="s">
        <v>49</v>
      </c>
      <c r="F88" s="30" t="s">
        <v>207</v>
      </c>
      <c r="G88" s="31" t="s">
        <v>207</v>
      </c>
      <c r="H88" s="30"/>
      <c r="I88" s="30"/>
      <c r="J88" s="30" t="s">
        <v>384</v>
      </c>
      <c r="K88" s="30"/>
    </row>
    <row r="89" customFormat="false" ht="15" hidden="false" customHeight="false" outlineLevel="0" collapsed="false">
      <c r="A89" s="30" t="s">
        <v>2172</v>
      </c>
      <c r="B89" s="30" t="s">
        <v>2024</v>
      </c>
      <c r="C89" s="30" t="s">
        <v>2020</v>
      </c>
      <c r="D89" s="30" t="s">
        <v>2027</v>
      </c>
      <c r="E89" s="31" t="s">
        <v>11</v>
      </c>
      <c r="F89" s="30" t="s">
        <v>148</v>
      </c>
      <c r="G89" s="31" t="s">
        <v>148</v>
      </c>
      <c r="H89" s="30" t="s">
        <v>2062</v>
      </c>
      <c r="I89" s="31" t="s">
        <v>332</v>
      </c>
      <c r="J89" s="30" t="s">
        <v>2019</v>
      </c>
      <c r="K89" s="30"/>
    </row>
    <row r="90" customFormat="false" ht="15" hidden="false" customHeight="false" outlineLevel="0" collapsed="false">
      <c r="A90" s="30" t="s">
        <v>2172</v>
      </c>
      <c r="B90" s="30" t="s">
        <v>2030</v>
      </c>
      <c r="C90" s="30" t="s">
        <v>2016</v>
      </c>
      <c r="D90" s="30" t="s">
        <v>16</v>
      </c>
      <c r="E90" s="31" t="s">
        <v>16</v>
      </c>
      <c r="F90" s="30" t="s">
        <v>2063</v>
      </c>
      <c r="G90" s="31" t="s">
        <v>233</v>
      </c>
      <c r="H90" s="30" t="s">
        <v>2064</v>
      </c>
      <c r="I90" s="31" t="s">
        <v>373</v>
      </c>
      <c r="J90" s="30" t="s">
        <v>2019</v>
      </c>
      <c r="K90" s="30"/>
    </row>
    <row r="91" customFormat="false" ht="15" hidden="false" customHeight="false" outlineLevel="0" collapsed="false">
      <c r="A91" s="30" t="s">
        <v>2172</v>
      </c>
      <c r="B91" s="30" t="s">
        <v>2030</v>
      </c>
      <c r="C91" s="30" t="s">
        <v>2020</v>
      </c>
      <c r="D91" s="30" t="s">
        <v>2065</v>
      </c>
      <c r="E91" s="31" t="s">
        <v>42</v>
      </c>
      <c r="F91" s="30" t="s">
        <v>171</v>
      </c>
      <c r="G91" s="31" t="s">
        <v>171</v>
      </c>
      <c r="H91" s="30"/>
      <c r="I91" s="30"/>
      <c r="J91" s="30" t="s">
        <v>2019</v>
      </c>
      <c r="K91" s="30"/>
    </row>
    <row r="92" customFormat="false" ht="15" hidden="false" customHeight="false" outlineLevel="0" collapsed="false">
      <c r="A92" s="30" t="s">
        <v>2172</v>
      </c>
      <c r="B92" s="30" t="s">
        <v>2035</v>
      </c>
      <c r="C92" s="30" t="s">
        <v>2016</v>
      </c>
      <c r="D92" s="30" t="s">
        <v>2066</v>
      </c>
      <c r="E92" s="31" t="s">
        <v>50</v>
      </c>
      <c r="F92" s="30" t="s">
        <v>2067</v>
      </c>
      <c r="G92" s="31" t="s">
        <v>146</v>
      </c>
      <c r="H92" s="30" t="s">
        <v>365</v>
      </c>
      <c r="I92" s="31" t="s">
        <v>365</v>
      </c>
      <c r="J92" s="30" t="s">
        <v>2019</v>
      </c>
      <c r="K92" s="30"/>
    </row>
    <row r="93" customFormat="false" ht="15" hidden="false" customHeight="false" outlineLevel="0" collapsed="false">
      <c r="A93" s="30" t="s">
        <v>2172</v>
      </c>
      <c r="B93" s="30" t="s">
        <v>2035</v>
      </c>
      <c r="C93" s="30" t="s">
        <v>2020</v>
      </c>
      <c r="D93" s="30" t="s">
        <v>2068</v>
      </c>
      <c r="E93" s="31" t="s">
        <v>14</v>
      </c>
      <c r="F93" s="30" t="s">
        <v>2069</v>
      </c>
      <c r="G93" s="31" t="s">
        <v>208</v>
      </c>
      <c r="H93" s="30" t="s">
        <v>318</v>
      </c>
      <c r="I93" s="31" t="s">
        <v>318</v>
      </c>
      <c r="J93" s="30" t="s">
        <v>2019</v>
      </c>
      <c r="K93" s="30"/>
    </row>
    <row r="94" customFormat="false" ht="15" hidden="false" customHeight="false" outlineLevel="0" collapsed="false">
      <c r="A94" s="30" t="s">
        <v>2172</v>
      </c>
      <c r="B94" s="30" t="s">
        <v>2039</v>
      </c>
      <c r="C94" s="30" t="s">
        <v>2016</v>
      </c>
      <c r="D94" s="30" t="s">
        <v>2070</v>
      </c>
      <c r="E94" s="31" t="s">
        <v>75</v>
      </c>
      <c r="F94" s="30" t="s">
        <v>2071</v>
      </c>
      <c r="G94" s="31" t="s">
        <v>139</v>
      </c>
      <c r="H94" s="30" t="s">
        <v>2072</v>
      </c>
      <c r="I94" s="31" t="s">
        <v>329</v>
      </c>
      <c r="J94" s="30" t="s">
        <v>2019</v>
      </c>
      <c r="K94" s="30"/>
    </row>
    <row r="95" customFormat="false" ht="15" hidden="false" customHeight="false" outlineLevel="0" collapsed="false">
      <c r="A95" s="30" t="s">
        <v>2172</v>
      </c>
      <c r="B95" s="30" t="s">
        <v>2039</v>
      </c>
      <c r="C95" s="30" t="s">
        <v>2020</v>
      </c>
      <c r="D95" s="30" t="s">
        <v>19</v>
      </c>
      <c r="E95" s="31" t="s">
        <v>19</v>
      </c>
      <c r="F95" s="30" t="s">
        <v>210</v>
      </c>
      <c r="G95" s="31" t="s">
        <v>210</v>
      </c>
      <c r="H95" s="30"/>
      <c r="I95" s="30"/>
      <c r="J95" s="30" t="s">
        <v>2019</v>
      </c>
      <c r="K95" s="30"/>
    </row>
    <row r="96" customFormat="false" ht="15" hidden="false" customHeight="false" outlineLevel="0" collapsed="false">
      <c r="A96" s="30" t="s">
        <v>2172</v>
      </c>
      <c r="B96" s="30" t="s">
        <v>2045</v>
      </c>
      <c r="C96" s="30" t="s">
        <v>2016</v>
      </c>
      <c r="D96" s="30" t="s">
        <v>2073</v>
      </c>
      <c r="E96" s="31" t="s">
        <v>45</v>
      </c>
      <c r="F96" s="30" t="s">
        <v>2074</v>
      </c>
      <c r="G96" s="31" t="s">
        <v>212</v>
      </c>
      <c r="H96" s="30"/>
      <c r="I96" s="30"/>
      <c r="J96" s="30" t="s">
        <v>2019</v>
      </c>
      <c r="K96" s="30"/>
    </row>
    <row r="97" customFormat="false" ht="15" hidden="false" customHeight="false" outlineLevel="0" collapsed="false">
      <c r="A97" s="30" t="s">
        <v>2172</v>
      </c>
      <c r="B97" s="30" t="s">
        <v>2045</v>
      </c>
      <c r="C97" s="30" t="s">
        <v>2020</v>
      </c>
      <c r="D97" s="30" t="s">
        <v>2027</v>
      </c>
      <c r="E97" s="31" t="s">
        <v>11</v>
      </c>
      <c r="F97" s="30" t="s">
        <v>2075</v>
      </c>
      <c r="G97" s="31" t="s">
        <v>184</v>
      </c>
      <c r="H97" s="30"/>
      <c r="I97" s="30"/>
      <c r="J97" s="30" t="s">
        <v>2019</v>
      </c>
      <c r="K97" s="30"/>
    </row>
    <row r="98" customFormat="false" ht="15" hidden="false" customHeight="false" outlineLevel="0" collapsed="false">
      <c r="A98" s="30" t="s">
        <v>2172</v>
      </c>
      <c r="B98" s="30" t="s">
        <v>2050</v>
      </c>
      <c r="C98" s="30" t="s">
        <v>2016</v>
      </c>
      <c r="D98" s="30" t="s">
        <v>9</v>
      </c>
      <c r="E98" s="31" t="s">
        <v>9</v>
      </c>
      <c r="F98" s="30" t="s">
        <v>2076</v>
      </c>
      <c r="G98" s="31" t="s">
        <v>121</v>
      </c>
      <c r="H98" s="30" t="s">
        <v>330</v>
      </c>
      <c r="I98" s="31" t="s">
        <v>330</v>
      </c>
      <c r="J98" s="30" t="s">
        <v>384</v>
      </c>
      <c r="K98" s="30"/>
    </row>
    <row r="99" customFormat="false" ht="15" hidden="false" customHeight="false" outlineLevel="0" collapsed="false">
      <c r="A99" s="30" t="s">
        <v>2172</v>
      </c>
      <c r="B99" s="30" t="s">
        <v>2050</v>
      </c>
      <c r="C99" s="30" t="s">
        <v>2020</v>
      </c>
      <c r="D99" s="30" t="s">
        <v>2077</v>
      </c>
      <c r="E99" s="31" t="s">
        <v>22</v>
      </c>
      <c r="F99" s="30" t="s">
        <v>2078</v>
      </c>
      <c r="G99" s="31" t="s">
        <v>87</v>
      </c>
      <c r="H99" s="30" t="s">
        <v>2079</v>
      </c>
      <c r="I99" s="31" t="s">
        <v>368</v>
      </c>
      <c r="J99" s="30" t="s">
        <v>2019</v>
      </c>
      <c r="K99" s="30"/>
    </row>
    <row r="100" customFormat="false" ht="15" hidden="false" customHeight="false" outlineLevel="0" collapsed="false">
      <c r="A100" s="30" t="s">
        <v>2173</v>
      </c>
      <c r="B100" s="30" t="s">
        <v>2015</v>
      </c>
      <c r="C100" s="30" t="s">
        <v>2016</v>
      </c>
      <c r="D100" s="30" t="s">
        <v>2081</v>
      </c>
      <c r="E100" s="31" t="s">
        <v>61</v>
      </c>
      <c r="F100" s="30" t="s">
        <v>2082</v>
      </c>
      <c r="G100" s="31" t="s">
        <v>137</v>
      </c>
      <c r="H100" s="30" t="s">
        <v>2083</v>
      </c>
      <c r="I100" s="31" t="s">
        <v>359</v>
      </c>
      <c r="J100" s="30" t="s">
        <v>2019</v>
      </c>
      <c r="K100" s="30"/>
    </row>
    <row r="101" customFormat="false" ht="15" hidden="false" customHeight="false" outlineLevel="0" collapsed="false">
      <c r="A101" s="30" t="s">
        <v>2173</v>
      </c>
      <c r="B101" s="30" t="s">
        <v>2015</v>
      </c>
      <c r="C101" s="30" t="s">
        <v>2020</v>
      </c>
      <c r="D101" s="30" t="s">
        <v>32</v>
      </c>
      <c r="E101" s="31" t="s">
        <v>32</v>
      </c>
      <c r="F101" s="30" t="s">
        <v>132</v>
      </c>
      <c r="G101" s="31" t="s">
        <v>132</v>
      </c>
      <c r="H101" s="30" t="s">
        <v>2042</v>
      </c>
      <c r="I101" s="31" t="s">
        <v>306</v>
      </c>
      <c r="J101" s="30" t="s">
        <v>2019</v>
      </c>
      <c r="K101" s="30"/>
    </row>
    <row r="102" customFormat="false" ht="15" hidden="false" customHeight="false" outlineLevel="0" collapsed="false">
      <c r="A102" s="30" t="s">
        <v>2173</v>
      </c>
      <c r="B102" s="30" t="s">
        <v>2024</v>
      </c>
      <c r="C102" s="30" t="s">
        <v>2016</v>
      </c>
      <c r="D102" s="30" t="s">
        <v>2084</v>
      </c>
      <c r="E102" s="31" t="s">
        <v>34</v>
      </c>
      <c r="F102" s="30" t="s">
        <v>2085</v>
      </c>
      <c r="G102" s="31" t="s">
        <v>181</v>
      </c>
      <c r="H102" s="30"/>
      <c r="I102" s="30"/>
      <c r="J102" s="30" t="s">
        <v>384</v>
      </c>
      <c r="K102" s="30"/>
    </row>
    <row r="103" customFormat="false" ht="15" hidden="false" customHeight="false" outlineLevel="0" collapsed="false">
      <c r="A103" s="30" t="s">
        <v>2173</v>
      </c>
      <c r="B103" s="30" t="s">
        <v>2024</v>
      </c>
      <c r="C103" s="30" t="s">
        <v>2020</v>
      </c>
      <c r="D103" s="30" t="s">
        <v>2027</v>
      </c>
      <c r="E103" s="31" t="s">
        <v>11</v>
      </c>
      <c r="F103" s="30" t="s">
        <v>2086</v>
      </c>
      <c r="G103" s="31" t="s">
        <v>183</v>
      </c>
      <c r="H103" s="30"/>
      <c r="I103" s="30"/>
      <c r="J103" s="30" t="s">
        <v>2019</v>
      </c>
      <c r="K103" s="30"/>
    </row>
    <row r="104" customFormat="false" ht="15" hidden="false" customHeight="false" outlineLevel="0" collapsed="false">
      <c r="A104" s="30" t="s">
        <v>2173</v>
      </c>
      <c r="B104" s="30" t="s">
        <v>2030</v>
      </c>
      <c r="C104" s="30" t="s">
        <v>2016</v>
      </c>
      <c r="D104" s="30" t="s">
        <v>17</v>
      </c>
      <c r="E104" s="31" t="s">
        <v>17</v>
      </c>
      <c r="F104" s="30" t="s">
        <v>2087</v>
      </c>
      <c r="G104" s="31" t="s">
        <v>187</v>
      </c>
      <c r="H104" s="30" t="s">
        <v>2088</v>
      </c>
      <c r="I104" s="31" t="s">
        <v>312</v>
      </c>
      <c r="J104" s="30" t="s">
        <v>2019</v>
      </c>
      <c r="K104" s="30"/>
    </row>
    <row r="105" customFormat="false" ht="15" hidden="false" customHeight="false" outlineLevel="0" collapsed="false">
      <c r="A105" s="30" t="s">
        <v>2173</v>
      </c>
      <c r="B105" s="30" t="s">
        <v>2030</v>
      </c>
      <c r="C105" s="30" t="s">
        <v>2020</v>
      </c>
      <c r="D105" s="30" t="s">
        <v>16</v>
      </c>
      <c r="E105" s="31" t="s">
        <v>16</v>
      </c>
      <c r="F105" s="30" t="s">
        <v>2089</v>
      </c>
      <c r="G105" s="31" t="s">
        <v>189</v>
      </c>
      <c r="H105" s="30" t="s">
        <v>2090</v>
      </c>
      <c r="I105" s="31" t="s">
        <v>360</v>
      </c>
      <c r="J105" s="30" t="s">
        <v>2019</v>
      </c>
      <c r="K105" s="30"/>
    </row>
    <row r="106" customFormat="false" ht="15" hidden="false" customHeight="false" outlineLevel="0" collapsed="false">
      <c r="A106" s="30" t="s">
        <v>2173</v>
      </c>
      <c r="B106" s="30" t="s">
        <v>2035</v>
      </c>
      <c r="C106" s="30" t="s">
        <v>2016</v>
      </c>
      <c r="D106" s="30" t="s">
        <v>2091</v>
      </c>
      <c r="E106" s="31" t="s">
        <v>19</v>
      </c>
      <c r="F106" s="30" t="s">
        <v>2092</v>
      </c>
      <c r="G106" s="31" t="s">
        <v>191</v>
      </c>
      <c r="H106" s="30"/>
      <c r="I106" s="30"/>
      <c r="J106" s="30" t="s">
        <v>2019</v>
      </c>
      <c r="K106" s="30"/>
    </row>
    <row r="107" customFormat="false" ht="15" hidden="false" customHeight="false" outlineLevel="0" collapsed="false">
      <c r="A107" s="30" t="s">
        <v>2173</v>
      </c>
      <c r="B107" s="30" t="s">
        <v>2035</v>
      </c>
      <c r="C107" s="30" t="s">
        <v>2020</v>
      </c>
      <c r="D107" s="30" t="s">
        <v>2068</v>
      </c>
      <c r="E107" s="31" t="s">
        <v>14</v>
      </c>
      <c r="F107" s="30" t="s">
        <v>193</v>
      </c>
      <c r="G107" s="31" t="s">
        <v>193</v>
      </c>
      <c r="H107" s="30" t="s">
        <v>2093</v>
      </c>
      <c r="I107" s="31" t="s">
        <v>314</v>
      </c>
      <c r="J107" s="30" t="s">
        <v>2019</v>
      </c>
      <c r="K107" s="30"/>
    </row>
    <row r="108" customFormat="false" ht="15" hidden="false" customHeight="false" outlineLevel="0" collapsed="false">
      <c r="A108" s="30" t="s">
        <v>2173</v>
      </c>
      <c r="B108" s="30" t="s">
        <v>2039</v>
      </c>
      <c r="C108" s="30" t="s">
        <v>2016</v>
      </c>
      <c r="D108" s="30" t="s">
        <v>2094</v>
      </c>
      <c r="E108" s="31" t="s">
        <v>28</v>
      </c>
      <c r="F108" s="30" t="s">
        <v>194</v>
      </c>
      <c r="G108" s="31" t="s">
        <v>194</v>
      </c>
      <c r="H108" s="30" t="s">
        <v>2095</v>
      </c>
      <c r="I108" s="31" t="s">
        <v>309</v>
      </c>
      <c r="J108" s="30" t="s">
        <v>2019</v>
      </c>
      <c r="K108" s="30"/>
    </row>
    <row r="109" customFormat="false" ht="15" hidden="false" customHeight="false" outlineLevel="0" collapsed="false">
      <c r="A109" s="30" t="s">
        <v>2173</v>
      </c>
      <c r="B109" s="30" t="s">
        <v>2039</v>
      </c>
      <c r="C109" s="30" t="s">
        <v>2020</v>
      </c>
      <c r="D109" s="30" t="s">
        <v>9</v>
      </c>
      <c r="E109" s="31" t="s">
        <v>9</v>
      </c>
      <c r="F109" s="30" t="s">
        <v>2096</v>
      </c>
      <c r="G109" s="31" t="s">
        <v>93</v>
      </c>
      <c r="H109" s="30" t="s">
        <v>2097</v>
      </c>
      <c r="I109" s="31" t="s">
        <v>322</v>
      </c>
      <c r="J109" s="30" t="s">
        <v>2019</v>
      </c>
      <c r="K109" s="30"/>
    </row>
    <row r="110" customFormat="false" ht="15" hidden="false" customHeight="false" outlineLevel="0" collapsed="false">
      <c r="A110" s="30" t="s">
        <v>2173</v>
      </c>
      <c r="B110" s="30" t="s">
        <v>2045</v>
      </c>
      <c r="C110" s="30" t="s">
        <v>2016</v>
      </c>
      <c r="D110" s="30" t="s">
        <v>31</v>
      </c>
      <c r="E110" s="31" t="s">
        <v>31</v>
      </c>
      <c r="F110" s="30" t="s">
        <v>2098</v>
      </c>
      <c r="G110" s="31" t="s">
        <v>130</v>
      </c>
      <c r="H110" s="30" t="s">
        <v>2099</v>
      </c>
      <c r="I110" s="31" t="s">
        <v>346</v>
      </c>
      <c r="J110" s="30" t="s">
        <v>2019</v>
      </c>
      <c r="K110" s="30"/>
    </row>
    <row r="111" customFormat="false" ht="15" hidden="false" customHeight="false" outlineLevel="0" collapsed="false">
      <c r="A111" s="30" t="s">
        <v>2173</v>
      </c>
      <c r="B111" s="30" t="s">
        <v>2045</v>
      </c>
      <c r="C111" s="30" t="s">
        <v>2020</v>
      </c>
      <c r="D111" s="30" t="s">
        <v>2027</v>
      </c>
      <c r="E111" s="31" t="s">
        <v>11</v>
      </c>
      <c r="F111" s="30" t="s">
        <v>2100</v>
      </c>
      <c r="G111" s="31" t="s">
        <v>195</v>
      </c>
      <c r="H111" s="30" t="s">
        <v>310</v>
      </c>
      <c r="I111" s="31" t="s">
        <v>310</v>
      </c>
      <c r="J111" s="30" t="s">
        <v>2019</v>
      </c>
      <c r="K111" s="30"/>
    </row>
    <row r="112" customFormat="false" ht="15" hidden="false" customHeight="false" outlineLevel="0" collapsed="false">
      <c r="A112" s="30" t="s">
        <v>2173</v>
      </c>
      <c r="B112" s="30" t="s">
        <v>2050</v>
      </c>
      <c r="C112" s="30" t="s">
        <v>2016</v>
      </c>
      <c r="D112" s="30" t="s">
        <v>9</v>
      </c>
      <c r="E112" s="31" t="s">
        <v>9</v>
      </c>
      <c r="F112" s="30" t="s">
        <v>2174</v>
      </c>
      <c r="G112" s="31" t="s">
        <v>135</v>
      </c>
      <c r="H112" s="30" t="s">
        <v>2042</v>
      </c>
      <c r="I112" s="31" t="s">
        <v>306</v>
      </c>
      <c r="J112" s="30" t="s">
        <v>384</v>
      </c>
      <c r="K112" s="30"/>
    </row>
    <row r="113" customFormat="false" ht="15" hidden="false" customHeight="false" outlineLevel="0" collapsed="false">
      <c r="A113" s="30" t="s">
        <v>2173</v>
      </c>
      <c r="B113" s="30" t="s">
        <v>2050</v>
      </c>
      <c r="C113" s="30" t="s">
        <v>2020</v>
      </c>
      <c r="D113" s="30" t="s">
        <v>2102</v>
      </c>
      <c r="E113" s="31" t="s">
        <v>23</v>
      </c>
      <c r="F113" s="30" t="s">
        <v>2022</v>
      </c>
      <c r="G113" s="31" t="s">
        <v>124</v>
      </c>
      <c r="H113" s="30" t="s">
        <v>2175</v>
      </c>
      <c r="I113" s="31" t="s">
        <v>340</v>
      </c>
      <c r="J113" s="30" t="s">
        <v>2019</v>
      </c>
      <c r="K113" s="30"/>
    </row>
    <row r="114" customFormat="false" ht="15" hidden="false" customHeight="false" outlineLevel="0" collapsed="false">
      <c r="A114" s="30" t="s">
        <v>2176</v>
      </c>
      <c r="B114" s="30" t="s">
        <v>2015</v>
      </c>
      <c r="C114" s="30" t="s">
        <v>2016</v>
      </c>
      <c r="D114" s="30" t="s">
        <v>17</v>
      </c>
      <c r="E114" s="31" t="s">
        <v>17</v>
      </c>
      <c r="F114" s="30" t="s">
        <v>2105</v>
      </c>
      <c r="G114" s="31" t="s">
        <v>145</v>
      </c>
      <c r="H114" s="30" t="s">
        <v>2106</v>
      </c>
      <c r="I114" s="31" t="s">
        <v>313</v>
      </c>
      <c r="J114" s="30" t="s">
        <v>2019</v>
      </c>
      <c r="K114" s="30"/>
    </row>
    <row r="115" customFormat="false" ht="15" hidden="false" customHeight="false" outlineLevel="0" collapsed="false">
      <c r="A115" s="30" t="s">
        <v>2176</v>
      </c>
      <c r="B115" s="30" t="s">
        <v>2015</v>
      </c>
      <c r="C115" s="30" t="s">
        <v>2020</v>
      </c>
      <c r="D115" s="30" t="s">
        <v>2107</v>
      </c>
      <c r="E115" s="31" t="s">
        <v>9</v>
      </c>
      <c r="F115" s="30" t="s">
        <v>2177</v>
      </c>
      <c r="G115" s="31" t="s">
        <v>179</v>
      </c>
      <c r="H115" s="30"/>
      <c r="I115" s="30"/>
      <c r="J115" s="30" t="s">
        <v>2019</v>
      </c>
      <c r="K115" s="30"/>
    </row>
    <row r="116" customFormat="false" ht="15" hidden="false" customHeight="false" outlineLevel="0" collapsed="false">
      <c r="A116" s="30" t="s">
        <v>2176</v>
      </c>
      <c r="B116" s="30" t="s">
        <v>2024</v>
      </c>
      <c r="C116" s="30" t="s">
        <v>2016</v>
      </c>
      <c r="D116" s="30" t="s">
        <v>2178</v>
      </c>
      <c r="E116" s="31" t="s">
        <v>23</v>
      </c>
      <c r="F116" s="30" t="s">
        <v>2110</v>
      </c>
      <c r="G116" s="31" t="s">
        <v>173</v>
      </c>
      <c r="H116" s="30" t="s">
        <v>320</v>
      </c>
      <c r="I116" s="31" t="s">
        <v>320</v>
      </c>
      <c r="J116" s="30" t="s">
        <v>384</v>
      </c>
      <c r="K116" s="30"/>
    </row>
    <row r="117" customFormat="false" ht="15" hidden="false" customHeight="false" outlineLevel="0" collapsed="false">
      <c r="A117" s="30" t="s">
        <v>2176</v>
      </c>
      <c r="B117" s="30" t="s">
        <v>2024</v>
      </c>
      <c r="C117" s="30" t="s">
        <v>2020</v>
      </c>
      <c r="D117" s="30" t="s">
        <v>2027</v>
      </c>
      <c r="E117" s="31" t="s">
        <v>11</v>
      </c>
      <c r="F117" s="30" t="s">
        <v>2111</v>
      </c>
      <c r="G117" s="31" t="s">
        <v>213</v>
      </c>
      <c r="H117" s="30" t="s">
        <v>2042</v>
      </c>
      <c r="I117" s="31" t="s">
        <v>306</v>
      </c>
      <c r="J117" s="30" t="s">
        <v>2019</v>
      </c>
      <c r="K117" s="30"/>
    </row>
    <row r="118" customFormat="false" ht="15" hidden="false" customHeight="false" outlineLevel="0" collapsed="false">
      <c r="A118" s="30" t="s">
        <v>2176</v>
      </c>
      <c r="B118" s="30" t="s">
        <v>2030</v>
      </c>
      <c r="C118" s="30" t="s">
        <v>2016</v>
      </c>
      <c r="D118" s="30" t="s">
        <v>38</v>
      </c>
      <c r="E118" s="31" t="s">
        <v>38</v>
      </c>
      <c r="F118" s="30" t="s">
        <v>215</v>
      </c>
      <c r="G118" s="31" t="s">
        <v>215</v>
      </c>
      <c r="H118" s="30" t="s">
        <v>308</v>
      </c>
      <c r="I118" s="31" t="s">
        <v>308</v>
      </c>
      <c r="J118" s="30" t="s">
        <v>2019</v>
      </c>
      <c r="K118" s="30"/>
    </row>
    <row r="119" customFormat="false" ht="15" hidden="false" customHeight="false" outlineLevel="0" collapsed="false">
      <c r="A119" s="30" t="s">
        <v>2176</v>
      </c>
      <c r="B119" s="30" t="s">
        <v>2030</v>
      </c>
      <c r="C119" s="30" t="s">
        <v>2020</v>
      </c>
      <c r="D119" s="30" t="s">
        <v>2112</v>
      </c>
      <c r="E119" s="31" t="s">
        <v>40</v>
      </c>
      <c r="F119" s="30" t="s">
        <v>46</v>
      </c>
      <c r="G119" s="31" t="s">
        <v>46</v>
      </c>
      <c r="H119" s="30" t="s">
        <v>2107</v>
      </c>
      <c r="I119" s="31" t="s">
        <v>9</v>
      </c>
      <c r="J119" s="30" t="s">
        <v>2019</v>
      </c>
      <c r="K119" s="30"/>
    </row>
    <row r="120" customFormat="false" ht="15" hidden="false" customHeight="false" outlineLevel="0" collapsed="false">
      <c r="A120" s="30" t="s">
        <v>2176</v>
      </c>
      <c r="B120" s="30" t="s">
        <v>2035</v>
      </c>
      <c r="C120" s="30" t="s">
        <v>2016</v>
      </c>
      <c r="D120" s="30" t="s">
        <v>2077</v>
      </c>
      <c r="E120" s="31" t="s">
        <v>22</v>
      </c>
      <c r="F120" s="30" t="s">
        <v>2113</v>
      </c>
      <c r="G120" s="31" t="s">
        <v>235</v>
      </c>
      <c r="H120" s="30"/>
      <c r="I120" s="30"/>
      <c r="J120" s="30" t="s">
        <v>2019</v>
      </c>
      <c r="K120" s="30"/>
    </row>
    <row r="121" customFormat="false" ht="15" hidden="false" customHeight="false" outlineLevel="0" collapsed="false">
      <c r="A121" s="30" t="s">
        <v>2176</v>
      </c>
      <c r="B121" s="30" t="s">
        <v>2035</v>
      </c>
      <c r="C121" s="30" t="s">
        <v>2020</v>
      </c>
      <c r="D121" s="30" t="s">
        <v>2114</v>
      </c>
      <c r="E121" s="31" t="s">
        <v>11</v>
      </c>
      <c r="F121" s="30" t="s">
        <v>2115</v>
      </c>
      <c r="G121" s="31" t="s">
        <v>150</v>
      </c>
      <c r="H121" s="30"/>
      <c r="I121" s="30"/>
      <c r="J121" s="30" t="s">
        <v>2019</v>
      </c>
      <c r="K121" s="30"/>
    </row>
    <row r="122" customFormat="false" ht="15" hidden="false" customHeight="false" outlineLevel="0" collapsed="false">
      <c r="A122" s="30" t="s">
        <v>2176</v>
      </c>
      <c r="B122" s="30" t="s">
        <v>2039</v>
      </c>
      <c r="C122" s="30" t="s">
        <v>2016</v>
      </c>
      <c r="D122" s="30" t="s">
        <v>2116</v>
      </c>
      <c r="E122" s="31" t="s">
        <v>47</v>
      </c>
      <c r="F122" s="30" t="s">
        <v>2117</v>
      </c>
      <c r="G122" s="31" t="s">
        <v>154</v>
      </c>
      <c r="H122" s="30" t="s">
        <v>2118</v>
      </c>
      <c r="I122" s="31" t="s">
        <v>357</v>
      </c>
      <c r="J122" s="30" t="s">
        <v>2019</v>
      </c>
      <c r="K122" s="30"/>
    </row>
    <row r="123" customFormat="false" ht="15" hidden="false" customHeight="false" outlineLevel="0" collapsed="false">
      <c r="A123" s="30" t="s">
        <v>2176</v>
      </c>
      <c r="B123" s="30" t="s">
        <v>2039</v>
      </c>
      <c r="C123" s="30" t="s">
        <v>2020</v>
      </c>
      <c r="D123" s="30" t="s">
        <v>45</v>
      </c>
      <c r="E123" s="31" t="s">
        <v>45</v>
      </c>
      <c r="F123" s="30" t="s">
        <v>2119</v>
      </c>
      <c r="G123" s="31" t="s">
        <v>219</v>
      </c>
      <c r="H123" s="30" t="s">
        <v>2120</v>
      </c>
      <c r="I123" s="31" t="s">
        <v>326</v>
      </c>
      <c r="J123" s="30" t="s">
        <v>2019</v>
      </c>
      <c r="K123" s="30"/>
    </row>
    <row r="124" customFormat="false" ht="15" hidden="false" customHeight="false" outlineLevel="0" collapsed="false">
      <c r="A124" s="30" t="s">
        <v>2176</v>
      </c>
      <c r="B124" s="30" t="s">
        <v>2045</v>
      </c>
      <c r="C124" s="30" t="s">
        <v>2016</v>
      </c>
      <c r="D124" s="30" t="s">
        <v>2179</v>
      </c>
      <c r="E124" s="31" t="s">
        <v>79</v>
      </c>
      <c r="F124" s="30" t="s">
        <v>2180</v>
      </c>
      <c r="G124" s="31" t="s">
        <v>146</v>
      </c>
      <c r="H124" s="30" t="s">
        <v>334</v>
      </c>
      <c r="I124" s="31" t="s">
        <v>334</v>
      </c>
      <c r="J124" s="30" t="s">
        <v>2019</v>
      </c>
      <c r="K124" s="30"/>
    </row>
    <row r="125" customFormat="false" ht="15" hidden="false" customHeight="false" outlineLevel="0" collapsed="false">
      <c r="A125" s="30" t="s">
        <v>2176</v>
      </c>
      <c r="B125" s="30" t="s">
        <v>2045</v>
      </c>
      <c r="C125" s="30" t="s">
        <v>2020</v>
      </c>
      <c r="D125" s="30" t="s">
        <v>2027</v>
      </c>
      <c r="E125" s="31" t="s">
        <v>11</v>
      </c>
      <c r="F125" s="30" t="s">
        <v>2123</v>
      </c>
      <c r="G125" s="31" t="s">
        <v>62</v>
      </c>
      <c r="H125" s="30" t="s">
        <v>327</v>
      </c>
      <c r="I125" s="31" t="s">
        <v>327</v>
      </c>
      <c r="J125" s="30" t="s">
        <v>2019</v>
      </c>
      <c r="K125" s="30"/>
    </row>
    <row r="126" customFormat="false" ht="15" hidden="false" customHeight="false" outlineLevel="0" collapsed="false">
      <c r="A126" s="30" t="s">
        <v>2176</v>
      </c>
      <c r="B126" s="30" t="s">
        <v>2050</v>
      </c>
      <c r="C126" s="30" t="s">
        <v>2016</v>
      </c>
      <c r="D126" s="30" t="s">
        <v>2124</v>
      </c>
      <c r="E126" s="31" t="s">
        <v>17</v>
      </c>
      <c r="F126" s="30" t="s">
        <v>2125</v>
      </c>
      <c r="G126" s="31" t="s">
        <v>221</v>
      </c>
      <c r="H126" s="30" t="s">
        <v>2126</v>
      </c>
      <c r="I126" s="31" t="s">
        <v>309</v>
      </c>
      <c r="J126" s="30" t="s">
        <v>384</v>
      </c>
      <c r="K126" s="30"/>
    </row>
    <row r="127" customFormat="false" ht="15" hidden="false" customHeight="false" outlineLevel="0" collapsed="false">
      <c r="A127" s="30" t="s">
        <v>2176</v>
      </c>
      <c r="B127" s="30" t="s">
        <v>2050</v>
      </c>
      <c r="C127" s="30" t="s">
        <v>2020</v>
      </c>
      <c r="D127" s="30" t="s">
        <v>2127</v>
      </c>
      <c r="E127" s="31" t="s">
        <v>63</v>
      </c>
      <c r="F127" s="30" t="s">
        <v>2128</v>
      </c>
      <c r="G127" s="31" t="s">
        <v>157</v>
      </c>
      <c r="H127" s="30" t="s">
        <v>2129</v>
      </c>
      <c r="I127" s="31" t="s">
        <v>336</v>
      </c>
      <c r="J127" s="30" t="s">
        <v>2019</v>
      </c>
      <c r="K127" s="30"/>
    </row>
    <row r="128" customFormat="false" ht="15" hidden="false" customHeight="false" outlineLevel="0" collapsed="false">
      <c r="A128" s="30" t="s">
        <v>2181</v>
      </c>
      <c r="B128" s="30" t="s">
        <v>2015</v>
      </c>
      <c r="C128" s="30" t="s">
        <v>2016</v>
      </c>
      <c r="D128" s="30" t="s">
        <v>2131</v>
      </c>
      <c r="E128" s="31" t="s">
        <v>83</v>
      </c>
      <c r="F128" s="30" t="s">
        <v>2076</v>
      </c>
      <c r="G128" s="31" t="s">
        <v>121</v>
      </c>
      <c r="H128" s="30" t="s">
        <v>2132</v>
      </c>
      <c r="I128" s="31" t="s">
        <v>356</v>
      </c>
      <c r="J128" s="30" t="s">
        <v>2019</v>
      </c>
      <c r="K128" s="30"/>
    </row>
    <row r="129" customFormat="false" ht="15" hidden="false" customHeight="false" outlineLevel="0" collapsed="false">
      <c r="A129" s="30" t="s">
        <v>2181</v>
      </c>
      <c r="B129" s="30" t="s">
        <v>2015</v>
      </c>
      <c r="C129" s="30" t="s">
        <v>2020</v>
      </c>
      <c r="D129" s="30" t="s">
        <v>2133</v>
      </c>
      <c r="E129" s="31" t="s">
        <v>32</v>
      </c>
      <c r="F129" s="30" t="s">
        <v>2134</v>
      </c>
      <c r="G129" s="31" t="s">
        <v>129</v>
      </c>
      <c r="H129" s="30" t="s">
        <v>2182</v>
      </c>
      <c r="I129" s="31" t="s">
        <v>342</v>
      </c>
      <c r="J129" s="30" t="s">
        <v>2019</v>
      </c>
      <c r="K129" s="30"/>
    </row>
    <row r="130" customFormat="false" ht="15" hidden="false" customHeight="false" outlineLevel="0" collapsed="false">
      <c r="A130" s="30" t="s">
        <v>2181</v>
      </c>
      <c r="B130" s="30" t="s">
        <v>2024</v>
      </c>
      <c r="C130" s="30" t="s">
        <v>2016</v>
      </c>
      <c r="D130" s="30" t="s">
        <v>2107</v>
      </c>
      <c r="E130" s="31" t="s">
        <v>9</v>
      </c>
      <c r="F130" s="30" t="s">
        <v>225</v>
      </c>
      <c r="G130" s="31" t="s">
        <v>225</v>
      </c>
      <c r="H130" s="30" t="s">
        <v>338</v>
      </c>
      <c r="I130" s="31" t="s">
        <v>338</v>
      </c>
      <c r="J130" s="30" t="s">
        <v>384</v>
      </c>
      <c r="K130" s="30"/>
    </row>
    <row r="131" customFormat="false" ht="15" hidden="false" customHeight="false" outlineLevel="0" collapsed="false">
      <c r="A131" s="30" t="s">
        <v>2181</v>
      </c>
      <c r="B131" s="30" t="s">
        <v>2024</v>
      </c>
      <c r="C131" s="30" t="s">
        <v>2020</v>
      </c>
      <c r="D131" s="30" t="s">
        <v>2027</v>
      </c>
      <c r="E131" s="31" t="s">
        <v>11</v>
      </c>
      <c r="F131" s="30" t="s">
        <v>2136</v>
      </c>
      <c r="G131" s="31" t="s">
        <v>245</v>
      </c>
      <c r="H131" s="30" t="s">
        <v>1525</v>
      </c>
      <c r="I131" s="31" t="s">
        <v>314</v>
      </c>
      <c r="J131" s="30" t="s">
        <v>2019</v>
      </c>
      <c r="K131" s="30"/>
    </row>
    <row r="132" customFormat="false" ht="15" hidden="false" customHeight="false" outlineLevel="0" collapsed="false">
      <c r="A132" s="30" t="s">
        <v>2181</v>
      </c>
      <c r="B132" s="30" t="s">
        <v>2030</v>
      </c>
      <c r="C132" s="30" t="s">
        <v>2016</v>
      </c>
      <c r="D132" s="30" t="s">
        <v>46</v>
      </c>
      <c r="E132" s="31" t="s">
        <v>46</v>
      </c>
      <c r="F132" s="30" t="s">
        <v>2137</v>
      </c>
      <c r="G132" s="31" t="s">
        <v>137</v>
      </c>
      <c r="H132" s="30" t="s">
        <v>2138</v>
      </c>
      <c r="I132" s="31" t="s">
        <v>319</v>
      </c>
      <c r="J132" s="30" t="s">
        <v>2019</v>
      </c>
      <c r="K132" s="30"/>
    </row>
    <row r="133" customFormat="false" ht="15" hidden="false" customHeight="false" outlineLevel="0" collapsed="false">
      <c r="A133" s="30" t="s">
        <v>2181</v>
      </c>
      <c r="B133" s="30" t="s">
        <v>2030</v>
      </c>
      <c r="C133" s="30" t="s">
        <v>2020</v>
      </c>
      <c r="D133" s="30" t="s">
        <v>2139</v>
      </c>
      <c r="E133" s="31" t="s">
        <v>35</v>
      </c>
      <c r="F133" s="30" t="s">
        <v>2140</v>
      </c>
      <c r="G133" s="31" t="s">
        <v>263</v>
      </c>
      <c r="H133" s="30" t="s">
        <v>2141</v>
      </c>
      <c r="I133" s="31" t="s">
        <v>377</v>
      </c>
      <c r="J133" s="30" t="s">
        <v>2019</v>
      </c>
      <c r="K133" s="30"/>
    </row>
    <row r="134" customFormat="false" ht="15" hidden="false" customHeight="false" outlineLevel="0" collapsed="false">
      <c r="A134" s="30" t="s">
        <v>2181</v>
      </c>
      <c r="B134" s="30" t="s">
        <v>2035</v>
      </c>
      <c r="C134" s="30" t="s">
        <v>2016</v>
      </c>
      <c r="D134" s="30" t="s">
        <v>2091</v>
      </c>
      <c r="E134" s="31" t="s">
        <v>19</v>
      </c>
      <c r="F134" s="30" t="s">
        <v>247</v>
      </c>
      <c r="G134" s="31" t="s">
        <v>247</v>
      </c>
      <c r="H134" s="30"/>
      <c r="I134" s="30"/>
      <c r="J134" s="30" t="s">
        <v>2019</v>
      </c>
      <c r="K134" s="30"/>
    </row>
    <row r="135" customFormat="false" ht="15" hidden="false" customHeight="false" outlineLevel="0" collapsed="false">
      <c r="A135" s="30" t="s">
        <v>2181</v>
      </c>
      <c r="B135" s="30" t="s">
        <v>2035</v>
      </c>
      <c r="C135" s="30" t="s">
        <v>2020</v>
      </c>
      <c r="D135" s="30" t="s">
        <v>2068</v>
      </c>
      <c r="E135" s="31" t="s">
        <v>14</v>
      </c>
      <c r="F135" s="30" t="s">
        <v>2142</v>
      </c>
      <c r="G135" s="31" t="s">
        <v>209</v>
      </c>
      <c r="H135" s="30"/>
      <c r="I135" s="30"/>
      <c r="J135" s="30" t="s">
        <v>2019</v>
      </c>
      <c r="K135" s="30"/>
    </row>
    <row r="136" customFormat="false" ht="15" hidden="false" customHeight="false" outlineLevel="0" collapsed="false">
      <c r="A136" s="30" t="s">
        <v>2181</v>
      </c>
      <c r="B136" s="30" t="s">
        <v>2039</v>
      </c>
      <c r="C136" s="30" t="s">
        <v>2016</v>
      </c>
      <c r="D136" s="30" t="s">
        <v>2143</v>
      </c>
      <c r="E136" s="31" t="s">
        <v>65</v>
      </c>
      <c r="F136" s="30" t="s">
        <v>153</v>
      </c>
      <c r="G136" s="31" t="s">
        <v>153</v>
      </c>
      <c r="H136" s="30"/>
      <c r="I136" s="30"/>
      <c r="J136" s="30" t="s">
        <v>2019</v>
      </c>
      <c r="K136" s="30"/>
    </row>
    <row r="137" customFormat="false" ht="15" hidden="false" customHeight="false" outlineLevel="0" collapsed="false">
      <c r="A137" s="30" t="s">
        <v>2181</v>
      </c>
      <c r="B137" s="30" t="s">
        <v>2039</v>
      </c>
      <c r="C137" s="30" t="s">
        <v>2020</v>
      </c>
      <c r="D137" s="30" t="s">
        <v>2107</v>
      </c>
      <c r="E137" s="31" t="s">
        <v>9</v>
      </c>
      <c r="F137" s="30" t="s">
        <v>2144</v>
      </c>
      <c r="G137" s="31" t="s">
        <v>212</v>
      </c>
      <c r="H137" s="30" t="s">
        <v>2145</v>
      </c>
      <c r="I137" s="31" t="s">
        <v>372</v>
      </c>
      <c r="J137" s="30" t="s">
        <v>2019</v>
      </c>
      <c r="K137" s="30"/>
    </row>
    <row r="138" customFormat="false" ht="15" hidden="false" customHeight="false" outlineLevel="0" collapsed="false">
      <c r="A138" s="30" t="s">
        <v>2181</v>
      </c>
      <c r="B138" s="30" t="s">
        <v>2045</v>
      </c>
      <c r="C138" s="30" t="s">
        <v>2016</v>
      </c>
      <c r="D138" s="30" t="s">
        <v>2146</v>
      </c>
      <c r="E138" s="31" t="s">
        <v>62</v>
      </c>
      <c r="F138" s="30" t="s">
        <v>2147</v>
      </c>
      <c r="G138" s="31" t="s">
        <v>249</v>
      </c>
      <c r="H138" s="30" t="s">
        <v>2088</v>
      </c>
      <c r="I138" s="31" t="s">
        <v>312</v>
      </c>
      <c r="J138" s="30" t="s">
        <v>2019</v>
      </c>
      <c r="K138" s="30"/>
    </row>
    <row r="139" customFormat="false" ht="15" hidden="false" customHeight="false" outlineLevel="0" collapsed="false">
      <c r="A139" s="30" t="s">
        <v>2181</v>
      </c>
      <c r="B139" s="30" t="s">
        <v>2045</v>
      </c>
      <c r="C139" s="30" t="s">
        <v>2020</v>
      </c>
      <c r="D139" s="30" t="s">
        <v>2027</v>
      </c>
      <c r="E139" s="31" t="s">
        <v>11</v>
      </c>
      <c r="F139" s="30" t="s">
        <v>2148</v>
      </c>
      <c r="G139" s="31" t="s">
        <v>251</v>
      </c>
      <c r="H139" s="30" t="s">
        <v>2149</v>
      </c>
      <c r="I139" s="31" t="s">
        <v>340</v>
      </c>
      <c r="J139" s="30" t="s">
        <v>2019</v>
      </c>
      <c r="K139" s="30"/>
    </row>
    <row r="140" customFormat="false" ht="15" hidden="false" customHeight="false" outlineLevel="0" collapsed="false">
      <c r="A140" s="30" t="s">
        <v>2181</v>
      </c>
      <c r="B140" s="30" t="s">
        <v>2050</v>
      </c>
      <c r="C140" s="30" t="s">
        <v>2016</v>
      </c>
      <c r="D140" s="30" t="s">
        <v>2150</v>
      </c>
      <c r="E140" s="31" t="s">
        <v>23</v>
      </c>
      <c r="F140" s="30" t="s">
        <v>2151</v>
      </c>
      <c r="G140" s="31" t="s">
        <v>159</v>
      </c>
      <c r="H140" s="30" t="s">
        <v>2042</v>
      </c>
      <c r="I140" s="31" t="s">
        <v>306</v>
      </c>
      <c r="J140" s="30" t="s">
        <v>384</v>
      </c>
      <c r="K140" s="30"/>
    </row>
    <row r="141" customFormat="false" ht="15" hidden="false" customHeight="false" outlineLevel="0" collapsed="false">
      <c r="A141" s="30" t="s">
        <v>2181</v>
      </c>
      <c r="B141" s="30" t="s">
        <v>2050</v>
      </c>
      <c r="C141" s="30" t="s">
        <v>2020</v>
      </c>
      <c r="D141" s="30" t="s">
        <v>2061</v>
      </c>
      <c r="E141" s="31" t="s">
        <v>49</v>
      </c>
      <c r="F141" s="30" t="s">
        <v>2152</v>
      </c>
      <c r="G141" s="31" t="s">
        <v>185</v>
      </c>
      <c r="H141" s="30"/>
      <c r="I141" s="30"/>
      <c r="J141" s="30" t="s">
        <v>2019</v>
      </c>
      <c r="K141" s="30"/>
    </row>
    <row r="142" customFormat="false" ht="15" hidden="false" customHeight="false" outlineLevel="0" collapsed="false">
      <c r="A142" s="30" t="s">
        <v>2183</v>
      </c>
      <c r="B142" s="30" t="s">
        <v>2015</v>
      </c>
      <c r="C142" s="30" t="s">
        <v>2016</v>
      </c>
      <c r="D142" s="30" t="s">
        <v>16</v>
      </c>
      <c r="E142" s="31" t="s">
        <v>16</v>
      </c>
      <c r="F142" s="30" t="s">
        <v>2101</v>
      </c>
      <c r="G142" s="31" t="s">
        <v>133</v>
      </c>
      <c r="H142" s="30" t="s">
        <v>2154</v>
      </c>
      <c r="I142" s="31" t="s">
        <v>364</v>
      </c>
      <c r="J142" s="30" t="s">
        <v>2019</v>
      </c>
      <c r="K142" s="30"/>
    </row>
    <row r="143" customFormat="false" ht="15" hidden="false" customHeight="false" outlineLevel="0" collapsed="false">
      <c r="A143" s="30" t="s">
        <v>2183</v>
      </c>
      <c r="B143" s="30" t="s">
        <v>2015</v>
      </c>
      <c r="C143" s="30" t="s">
        <v>2020</v>
      </c>
      <c r="D143" s="30" t="s">
        <v>2091</v>
      </c>
      <c r="E143" s="31" t="s">
        <v>19</v>
      </c>
      <c r="F143" s="30" t="s">
        <v>2022</v>
      </c>
      <c r="G143" s="31" t="s">
        <v>124</v>
      </c>
      <c r="H143" s="30" t="s">
        <v>2135</v>
      </c>
      <c r="I143" s="31" t="s">
        <v>342</v>
      </c>
      <c r="J143" s="30" t="s">
        <v>2019</v>
      </c>
      <c r="K143" s="30"/>
    </row>
    <row r="144" customFormat="false" ht="15" hidden="false" customHeight="false" outlineLevel="0" collapsed="false">
      <c r="A144" s="30" t="s">
        <v>2183</v>
      </c>
      <c r="B144" s="30" t="s">
        <v>2024</v>
      </c>
      <c r="C144" s="30" t="s">
        <v>2016</v>
      </c>
      <c r="D144" s="30" t="s">
        <v>31</v>
      </c>
      <c r="E144" s="31" t="s">
        <v>31</v>
      </c>
      <c r="F144" s="30" t="s">
        <v>206</v>
      </c>
      <c r="G144" s="31" t="s">
        <v>206</v>
      </c>
      <c r="H144" s="30"/>
      <c r="I144" s="30"/>
      <c r="J144" s="30" t="s">
        <v>384</v>
      </c>
      <c r="K144" s="30"/>
    </row>
    <row r="145" customFormat="false" ht="15" hidden="false" customHeight="false" outlineLevel="0" collapsed="false">
      <c r="A145" s="30" t="s">
        <v>2183</v>
      </c>
      <c r="B145" s="30" t="s">
        <v>2024</v>
      </c>
      <c r="C145" s="30" t="s">
        <v>2020</v>
      </c>
      <c r="D145" s="30" t="s">
        <v>2027</v>
      </c>
      <c r="E145" s="31" t="s">
        <v>11</v>
      </c>
      <c r="F145" s="30" t="s">
        <v>2157</v>
      </c>
      <c r="G145" s="31" t="s">
        <v>114</v>
      </c>
      <c r="H145" s="30" t="s">
        <v>310</v>
      </c>
      <c r="I145" s="31" t="s">
        <v>310</v>
      </c>
      <c r="J145" s="30" t="s">
        <v>2019</v>
      </c>
      <c r="K145" s="30"/>
    </row>
    <row r="146" customFormat="false" ht="15" hidden="false" customHeight="false" outlineLevel="0" collapsed="false">
      <c r="A146" s="30" t="s">
        <v>2183</v>
      </c>
      <c r="B146" s="30" t="s">
        <v>2030</v>
      </c>
      <c r="C146" s="30" t="s">
        <v>2016</v>
      </c>
      <c r="D146" s="30" t="s">
        <v>2139</v>
      </c>
      <c r="E146" s="31" t="s">
        <v>35</v>
      </c>
      <c r="F146" s="30" t="s">
        <v>2158</v>
      </c>
      <c r="G146" s="31" t="s">
        <v>163</v>
      </c>
      <c r="H146" s="30" t="s">
        <v>2159</v>
      </c>
      <c r="I146" s="31" t="s">
        <v>309</v>
      </c>
      <c r="J146" s="30" t="s">
        <v>2019</v>
      </c>
      <c r="K146" s="30"/>
    </row>
    <row r="147" customFormat="false" ht="15" hidden="false" customHeight="false" outlineLevel="0" collapsed="false">
      <c r="A147" s="30" t="s">
        <v>2183</v>
      </c>
      <c r="B147" s="30" t="s">
        <v>2030</v>
      </c>
      <c r="C147" s="30" t="s">
        <v>2020</v>
      </c>
      <c r="D147" s="30" t="s">
        <v>2150</v>
      </c>
      <c r="E147" s="31" t="s">
        <v>23</v>
      </c>
      <c r="F147" s="30" t="s">
        <v>227</v>
      </c>
      <c r="G147" s="31" t="s">
        <v>227</v>
      </c>
      <c r="H147" s="30" t="s">
        <v>2097</v>
      </c>
      <c r="I147" s="31" t="s">
        <v>322</v>
      </c>
      <c r="J147" s="30" t="s">
        <v>2019</v>
      </c>
      <c r="K147" s="30"/>
    </row>
    <row r="148" customFormat="false" ht="15" hidden="false" customHeight="false" outlineLevel="0" collapsed="false">
      <c r="A148" s="30" t="s">
        <v>2183</v>
      </c>
      <c r="B148" s="30" t="s">
        <v>2035</v>
      </c>
      <c r="C148" s="30" t="s">
        <v>2016</v>
      </c>
      <c r="D148" s="30" t="s">
        <v>2184</v>
      </c>
      <c r="E148" s="31" t="s">
        <v>34</v>
      </c>
      <c r="F148" s="30" t="s">
        <v>2160</v>
      </c>
      <c r="G148" s="31" t="s">
        <v>169</v>
      </c>
      <c r="H148" s="30" t="s">
        <v>2161</v>
      </c>
      <c r="I148" s="31" t="s">
        <v>344</v>
      </c>
      <c r="J148" s="30" t="s">
        <v>2019</v>
      </c>
      <c r="K148" s="30"/>
    </row>
    <row r="149" customFormat="false" ht="15" hidden="false" customHeight="false" outlineLevel="0" collapsed="false">
      <c r="A149" s="30" t="s">
        <v>2183</v>
      </c>
      <c r="B149" s="30" t="s">
        <v>2035</v>
      </c>
      <c r="C149" s="30" t="s">
        <v>2020</v>
      </c>
      <c r="D149" s="30" t="s">
        <v>2068</v>
      </c>
      <c r="E149" s="31" t="s">
        <v>14</v>
      </c>
      <c r="F149" s="30" t="s">
        <v>2162</v>
      </c>
      <c r="G149" s="31" t="s">
        <v>123</v>
      </c>
      <c r="H149" s="30" t="s">
        <v>2163</v>
      </c>
      <c r="I149" s="31" t="s">
        <v>327</v>
      </c>
      <c r="J149" s="30" t="s">
        <v>2019</v>
      </c>
      <c r="K149" s="30"/>
    </row>
    <row r="150" customFormat="false" ht="15" hidden="false" customHeight="false" outlineLevel="0" collapsed="false">
      <c r="A150" s="30" t="s">
        <v>2183</v>
      </c>
      <c r="B150" s="30" t="s">
        <v>2039</v>
      </c>
      <c r="C150" s="30" t="s">
        <v>2016</v>
      </c>
      <c r="D150" s="30" t="s">
        <v>2040</v>
      </c>
      <c r="E150" s="31" t="s">
        <v>60</v>
      </c>
      <c r="F150" s="30" t="s">
        <v>2082</v>
      </c>
      <c r="G150" s="31" t="s">
        <v>137</v>
      </c>
      <c r="H150" s="30" t="s">
        <v>2042</v>
      </c>
      <c r="I150" s="31" t="s">
        <v>306</v>
      </c>
      <c r="J150" s="30" t="s">
        <v>2019</v>
      </c>
      <c r="K150" s="30"/>
    </row>
    <row r="151" customFormat="false" ht="15" hidden="false" customHeight="false" outlineLevel="0" collapsed="false">
      <c r="A151" s="30" t="s">
        <v>2183</v>
      </c>
      <c r="B151" s="30" t="s">
        <v>2039</v>
      </c>
      <c r="C151" s="30" t="s">
        <v>2020</v>
      </c>
      <c r="D151" s="30" t="s">
        <v>2164</v>
      </c>
      <c r="E151" s="31" t="s">
        <v>38</v>
      </c>
      <c r="F151" s="30" t="s">
        <v>2165</v>
      </c>
      <c r="G151" s="31" t="s">
        <v>228</v>
      </c>
      <c r="H151" s="30" t="s">
        <v>2044</v>
      </c>
      <c r="I151" s="31" t="s">
        <v>314</v>
      </c>
      <c r="J151" s="30" t="s">
        <v>2019</v>
      </c>
      <c r="K151" s="30"/>
    </row>
    <row r="152" customFormat="false" ht="15" hidden="false" customHeight="false" outlineLevel="0" collapsed="false">
      <c r="A152" s="30" t="s">
        <v>2183</v>
      </c>
      <c r="B152" s="30" t="s">
        <v>2045</v>
      </c>
      <c r="C152" s="30" t="s">
        <v>2016</v>
      </c>
      <c r="D152" s="30" t="s">
        <v>2166</v>
      </c>
      <c r="E152" s="31" t="s">
        <v>55</v>
      </c>
      <c r="F152" s="30" t="s">
        <v>2167</v>
      </c>
      <c r="G152" s="31" t="s">
        <v>141</v>
      </c>
      <c r="H152" s="30" t="s">
        <v>329</v>
      </c>
      <c r="I152" s="31" t="s">
        <v>329</v>
      </c>
      <c r="J152" s="30" t="s">
        <v>2019</v>
      </c>
      <c r="K152" s="30"/>
    </row>
    <row r="153" customFormat="false" ht="15" hidden="false" customHeight="false" outlineLevel="0" collapsed="false">
      <c r="A153" s="30" t="s">
        <v>2183</v>
      </c>
      <c r="B153" s="30" t="s">
        <v>2045</v>
      </c>
      <c r="C153" s="30" t="s">
        <v>2020</v>
      </c>
      <c r="D153" s="30" t="s">
        <v>2027</v>
      </c>
      <c r="E153" s="31" t="s">
        <v>11</v>
      </c>
      <c r="F153" s="30" t="s">
        <v>2168</v>
      </c>
      <c r="G153" s="31" t="s">
        <v>179</v>
      </c>
      <c r="H153" s="30"/>
      <c r="I153" s="30"/>
      <c r="J153" s="30" t="s">
        <v>2019</v>
      </c>
      <c r="K153" s="30"/>
    </row>
    <row r="154" customFormat="false" ht="15" hidden="false" customHeight="false" outlineLevel="0" collapsed="false">
      <c r="A154" s="30" t="s">
        <v>2183</v>
      </c>
      <c r="B154" s="30" t="s">
        <v>2050</v>
      </c>
      <c r="C154" s="30" t="s">
        <v>2016</v>
      </c>
      <c r="D154" s="30" t="s">
        <v>2051</v>
      </c>
      <c r="E154" s="31" t="s">
        <v>9</v>
      </c>
      <c r="F154" s="30" t="s">
        <v>2169</v>
      </c>
      <c r="G154" s="31" t="s">
        <v>265</v>
      </c>
      <c r="H154" s="30" t="s">
        <v>2053</v>
      </c>
      <c r="I154" s="31" t="s">
        <v>308</v>
      </c>
      <c r="J154" s="30" t="s">
        <v>384</v>
      </c>
      <c r="K154" s="30"/>
    </row>
    <row r="155" customFormat="false" ht="15" hidden="false" customHeight="false" outlineLevel="0" collapsed="false">
      <c r="A155" s="30" t="s">
        <v>2183</v>
      </c>
      <c r="B155" s="30" t="s">
        <v>2050</v>
      </c>
      <c r="C155" s="30" t="s">
        <v>2020</v>
      </c>
      <c r="D155" s="30" t="s">
        <v>2073</v>
      </c>
      <c r="E155" s="31" t="s">
        <v>45</v>
      </c>
      <c r="F155" s="30" t="s">
        <v>2170</v>
      </c>
      <c r="G155" s="31" t="s">
        <v>156</v>
      </c>
      <c r="H155" s="30" t="s">
        <v>2171</v>
      </c>
      <c r="I155" s="31" t="s">
        <v>341</v>
      </c>
      <c r="J155" s="30" t="s">
        <v>2019</v>
      </c>
      <c r="K155" s="30"/>
    </row>
    <row r="156" customFormat="false" ht="15" hidden="false" customHeight="false" outlineLevel="0" collapsed="false">
      <c r="A156" s="30" t="s">
        <v>2185</v>
      </c>
      <c r="B156" s="30" t="s">
        <v>2015</v>
      </c>
      <c r="C156" s="30" t="s">
        <v>2016</v>
      </c>
      <c r="D156" s="30" t="s">
        <v>9</v>
      </c>
      <c r="E156" s="31" t="s">
        <v>9</v>
      </c>
      <c r="F156" s="30" t="s">
        <v>2058</v>
      </c>
      <c r="G156" s="31" t="s">
        <v>165</v>
      </c>
      <c r="H156" s="30" t="s">
        <v>356</v>
      </c>
      <c r="I156" s="31" t="s">
        <v>356</v>
      </c>
      <c r="J156" s="30" t="s">
        <v>2019</v>
      </c>
      <c r="K156" s="30"/>
    </row>
    <row r="157" customFormat="false" ht="15" hidden="false" customHeight="false" outlineLevel="0" collapsed="false">
      <c r="A157" s="30" t="s">
        <v>2185</v>
      </c>
      <c r="B157" s="30" t="s">
        <v>2015</v>
      </c>
      <c r="C157" s="30" t="s">
        <v>2020</v>
      </c>
      <c r="D157" s="30" t="s">
        <v>2059</v>
      </c>
      <c r="E157" s="31" t="s">
        <v>72</v>
      </c>
      <c r="F157" s="30" t="s">
        <v>2060</v>
      </c>
      <c r="G157" s="31" t="s">
        <v>199</v>
      </c>
      <c r="H157" s="30"/>
      <c r="I157" s="30"/>
      <c r="J157" s="30" t="s">
        <v>2019</v>
      </c>
      <c r="K157" s="30"/>
    </row>
    <row r="158" customFormat="false" ht="15" hidden="false" customHeight="false" outlineLevel="0" collapsed="false">
      <c r="A158" s="30" t="s">
        <v>2185</v>
      </c>
      <c r="B158" s="30" t="s">
        <v>2024</v>
      </c>
      <c r="C158" s="30" t="s">
        <v>2016</v>
      </c>
      <c r="D158" s="30" t="s">
        <v>2061</v>
      </c>
      <c r="E158" s="31" t="s">
        <v>49</v>
      </c>
      <c r="F158" s="30" t="s">
        <v>207</v>
      </c>
      <c r="G158" s="31" t="s">
        <v>207</v>
      </c>
      <c r="H158" s="30"/>
      <c r="I158" s="30"/>
      <c r="J158" s="30" t="s">
        <v>384</v>
      </c>
      <c r="K158" s="30"/>
    </row>
    <row r="159" customFormat="false" ht="15" hidden="false" customHeight="false" outlineLevel="0" collapsed="false">
      <c r="A159" s="30" t="s">
        <v>2185</v>
      </c>
      <c r="B159" s="30" t="s">
        <v>2024</v>
      </c>
      <c r="C159" s="30" t="s">
        <v>2020</v>
      </c>
      <c r="D159" s="30" t="s">
        <v>2027</v>
      </c>
      <c r="E159" s="31" t="s">
        <v>11</v>
      </c>
      <c r="F159" s="30" t="s">
        <v>148</v>
      </c>
      <c r="G159" s="31" t="s">
        <v>148</v>
      </c>
      <c r="H159" s="30" t="s">
        <v>2062</v>
      </c>
      <c r="I159" s="31" t="s">
        <v>332</v>
      </c>
      <c r="J159" s="30" t="s">
        <v>2019</v>
      </c>
      <c r="K159" s="30"/>
    </row>
    <row r="160" customFormat="false" ht="15" hidden="false" customHeight="false" outlineLevel="0" collapsed="false">
      <c r="A160" s="30" t="s">
        <v>2185</v>
      </c>
      <c r="B160" s="30" t="s">
        <v>2030</v>
      </c>
      <c r="C160" s="30" t="s">
        <v>2016</v>
      </c>
      <c r="D160" s="30" t="s">
        <v>16</v>
      </c>
      <c r="E160" s="31" t="s">
        <v>16</v>
      </c>
      <c r="F160" s="30" t="s">
        <v>2063</v>
      </c>
      <c r="G160" s="31" t="s">
        <v>233</v>
      </c>
      <c r="H160" s="30" t="s">
        <v>2064</v>
      </c>
      <c r="I160" s="31" t="s">
        <v>373</v>
      </c>
      <c r="J160" s="30" t="s">
        <v>2019</v>
      </c>
      <c r="K160" s="30"/>
    </row>
    <row r="161" customFormat="false" ht="15" hidden="false" customHeight="false" outlineLevel="0" collapsed="false">
      <c r="A161" s="30" t="s">
        <v>2185</v>
      </c>
      <c r="B161" s="30" t="s">
        <v>2030</v>
      </c>
      <c r="C161" s="30" t="s">
        <v>2020</v>
      </c>
      <c r="D161" s="30" t="s">
        <v>2065</v>
      </c>
      <c r="E161" s="31" t="s">
        <v>42</v>
      </c>
      <c r="F161" s="30" t="s">
        <v>171</v>
      </c>
      <c r="G161" s="31" t="s">
        <v>171</v>
      </c>
      <c r="H161" s="30"/>
      <c r="I161" s="30"/>
      <c r="J161" s="30" t="s">
        <v>2019</v>
      </c>
      <c r="K161" s="30"/>
    </row>
    <row r="162" customFormat="false" ht="15" hidden="false" customHeight="false" outlineLevel="0" collapsed="false">
      <c r="A162" s="30" t="s">
        <v>2185</v>
      </c>
      <c r="B162" s="30" t="s">
        <v>2035</v>
      </c>
      <c r="C162" s="30" t="s">
        <v>2016</v>
      </c>
      <c r="D162" s="30" t="s">
        <v>2066</v>
      </c>
      <c r="E162" s="31" t="s">
        <v>50</v>
      </c>
      <c r="F162" s="30" t="s">
        <v>2067</v>
      </c>
      <c r="G162" s="31" t="s">
        <v>146</v>
      </c>
      <c r="H162" s="30" t="s">
        <v>365</v>
      </c>
      <c r="I162" s="31" t="s">
        <v>365</v>
      </c>
      <c r="J162" s="30" t="s">
        <v>2019</v>
      </c>
      <c r="K162" s="30"/>
    </row>
    <row r="163" customFormat="false" ht="15" hidden="false" customHeight="false" outlineLevel="0" collapsed="false">
      <c r="A163" s="30" t="s">
        <v>2185</v>
      </c>
      <c r="B163" s="30" t="s">
        <v>2035</v>
      </c>
      <c r="C163" s="30" t="s">
        <v>2020</v>
      </c>
      <c r="D163" s="30" t="s">
        <v>2068</v>
      </c>
      <c r="E163" s="31" t="s">
        <v>14</v>
      </c>
      <c r="F163" s="30" t="s">
        <v>2069</v>
      </c>
      <c r="G163" s="31" t="s">
        <v>208</v>
      </c>
      <c r="H163" s="30" t="s">
        <v>318</v>
      </c>
      <c r="I163" s="31" t="s">
        <v>318</v>
      </c>
      <c r="J163" s="30" t="s">
        <v>2019</v>
      </c>
      <c r="K163" s="30"/>
    </row>
    <row r="164" customFormat="false" ht="15" hidden="false" customHeight="false" outlineLevel="0" collapsed="false">
      <c r="A164" s="30" t="s">
        <v>2185</v>
      </c>
      <c r="B164" s="30" t="s">
        <v>2039</v>
      </c>
      <c r="C164" s="30" t="s">
        <v>2016</v>
      </c>
      <c r="D164" s="30" t="s">
        <v>2070</v>
      </c>
      <c r="E164" s="31" t="s">
        <v>75</v>
      </c>
      <c r="F164" s="30" t="s">
        <v>2071</v>
      </c>
      <c r="G164" s="31" t="s">
        <v>139</v>
      </c>
      <c r="H164" s="30" t="s">
        <v>2072</v>
      </c>
      <c r="I164" s="31" t="s">
        <v>329</v>
      </c>
      <c r="J164" s="30" t="s">
        <v>2019</v>
      </c>
      <c r="K164" s="30"/>
    </row>
    <row r="165" customFormat="false" ht="15" hidden="false" customHeight="false" outlineLevel="0" collapsed="false">
      <c r="A165" s="30" t="s">
        <v>2185</v>
      </c>
      <c r="B165" s="30" t="s">
        <v>2039</v>
      </c>
      <c r="C165" s="30" t="s">
        <v>2020</v>
      </c>
      <c r="D165" s="30" t="s">
        <v>19</v>
      </c>
      <c r="E165" s="31" t="s">
        <v>19</v>
      </c>
      <c r="F165" s="30" t="s">
        <v>210</v>
      </c>
      <c r="G165" s="31" t="s">
        <v>210</v>
      </c>
      <c r="H165" s="30"/>
      <c r="I165" s="30"/>
      <c r="J165" s="30" t="s">
        <v>2019</v>
      </c>
      <c r="K165" s="30"/>
    </row>
    <row r="166" customFormat="false" ht="15" hidden="false" customHeight="false" outlineLevel="0" collapsed="false">
      <c r="A166" s="30" t="s">
        <v>2185</v>
      </c>
      <c r="B166" s="30" t="s">
        <v>2045</v>
      </c>
      <c r="C166" s="30" t="s">
        <v>2016</v>
      </c>
      <c r="D166" s="30" t="s">
        <v>2073</v>
      </c>
      <c r="E166" s="31" t="s">
        <v>45</v>
      </c>
      <c r="F166" s="30" t="s">
        <v>2074</v>
      </c>
      <c r="G166" s="31" t="s">
        <v>212</v>
      </c>
      <c r="H166" s="30"/>
      <c r="I166" s="30"/>
      <c r="J166" s="30" t="s">
        <v>2019</v>
      </c>
      <c r="K166" s="30"/>
    </row>
    <row r="167" customFormat="false" ht="15" hidden="false" customHeight="false" outlineLevel="0" collapsed="false">
      <c r="A167" s="30" t="s">
        <v>2185</v>
      </c>
      <c r="B167" s="30" t="s">
        <v>2045</v>
      </c>
      <c r="C167" s="30" t="s">
        <v>2020</v>
      </c>
      <c r="D167" s="30" t="s">
        <v>2027</v>
      </c>
      <c r="E167" s="31" t="s">
        <v>11</v>
      </c>
      <c r="F167" s="30" t="s">
        <v>2075</v>
      </c>
      <c r="G167" s="31" t="s">
        <v>184</v>
      </c>
      <c r="H167" s="30"/>
      <c r="I167" s="30"/>
      <c r="J167" s="30" t="s">
        <v>2019</v>
      </c>
      <c r="K167" s="30"/>
    </row>
    <row r="168" customFormat="false" ht="15" hidden="false" customHeight="false" outlineLevel="0" collapsed="false">
      <c r="A168" s="30" t="s">
        <v>2185</v>
      </c>
      <c r="B168" s="30" t="s">
        <v>2050</v>
      </c>
      <c r="C168" s="30" t="s">
        <v>2016</v>
      </c>
      <c r="D168" s="30" t="s">
        <v>9</v>
      </c>
      <c r="E168" s="31" t="s">
        <v>9</v>
      </c>
      <c r="F168" s="30" t="s">
        <v>2076</v>
      </c>
      <c r="G168" s="31" t="s">
        <v>121</v>
      </c>
      <c r="H168" s="30" t="s">
        <v>330</v>
      </c>
      <c r="I168" s="31" t="s">
        <v>330</v>
      </c>
      <c r="J168" s="30" t="s">
        <v>384</v>
      </c>
      <c r="K168" s="30"/>
    </row>
    <row r="169" customFormat="false" ht="15" hidden="false" customHeight="false" outlineLevel="0" collapsed="false">
      <c r="A169" s="30" t="s">
        <v>2185</v>
      </c>
      <c r="B169" s="30" t="s">
        <v>2050</v>
      </c>
      <c r="C169" s="30" t="s">
        <v>2020</v>
      </c>
      <c r="D169" s="30" t="s">
        <v>2077</v>
      </c>
      <c r="E169" s="31" t="s">
        <v>22</v>
      </c>
      <c r="F169" s="30" t="s">
        <v>2078</v>
      </c>
      <c r="G169" s="31" t="s">
        <v>87</v>
      </c>
      <c r="H169" s="30" t="s">
        <v>2079</v>
      </c>
      <c r="I169" s="31" t="s">
        <v>368</v>
      </c>
      <c r="J169" s="30" t="s">
        <v>2019</v>
      </c>
      <c r="K169" s="30"/>
    </row>
    <row r="170" customFormat="false" ht="15" hidden="false" customHeight="false" outlineLevel="0" collapsed="false">
      <c r="A170" s="30" t="s">
        <v>2186</v>
      </c>
      <c r="B170" s="30" t="s">
        <v>2015</v>
      </c>
      <c r="C170" s="30" t="s">
        <v>2016</v>
      </c>
      <c r="D170" s="30" t="s">
        <v>2081</v>
      </c>
      <c r="E170" s="31" t="s">
        <v>61</v>
      </c>
      <c r="F170" s="30" t="s">
        <v>2082</v>
      </c>
      <c r="G170" s="31" t="s">
        <v>137</v>
      </c>
      <c r="H170" s="30" t="s">
        <v>2083</v>
      </c>
      <c r="I170" s="31" t="s">
        <v>359</v>
      </c>
      <c r="J170" s="30" t="s">
        <v>2019</v>
      </c>
      <c r="K170" s="30"/>
    </row>
    <row r="171" customFormat="false" ht="15" hidden="false" customHeight="false" outlineLevel="0" collapsed="false">
      <c r="A171" s="30" t="s">
        <v>2186</v>
      </c>
      <c r="B171" s="30" t="s">
        <v>2015</v>
      </c>
      <c r="C171" s="30" t="s">
        <v>2020</v>
      </c>
      <c r="D171" s="30" t="s">
        <v>32</v>
      </c>
      <c r="E171" s="31" t="s">
        <v>32</v>
      </c>
      <c r="F171" s="30" t="s">
        <v>132</v>
      </c>
      <c r="G171" s="31" t="s">
        <v>132</v>
      </c>
      <c r="H171" s="30" t="s">
        <v>2042</v>
      </c>
      <c r="I171" s="31" t="s">
        <v>306</v>
      </c>
      <c r="J171" s="30" t="s">
        <v>2019</v>
      </c>
      <c r="K171" s="30"/>
    </row>
    <row r="172" customFormat="false" ht="15" hidden="false" customHeight="false" outlineLevel="0" collapsed="false">
      <c r="A172" s="30" t="s">
        <v>2186</v>
      </c>
      <c r="B172" s="30" t="s">
        <v>2024</v>
      </c>
      <c r="C172" s="30" t="s">
        <v>2016</v>
      </c>
      <c r="D172" s="30" t="s">
        <v>2084</v>
      </c>
      <c r="E172" s="31" t="s">
        <v>34</v>
      </c>
      <c r="F172" s="30" t="s">
        <v>2085</v>
      </c>
      <c r="G172" s="31" t="s">
        <v>181</v>
      </c>
      <c r="H172" s="30"/>
      <c r="I172" s="30"/>
      <c r="J172" s="30" t="s">
        <v>384</v>
      </c>
      <c r="K172" s="30"/>
    </row>
    <row r="173" customFormat="false" ht="15" hidden="false" customHeight="false" outlineLevel="0" collapsed="false">
      <c r="A173" s="30" t="s">
        <v>2186</v>
      </c>
      <c r="B173" s="30" t="s">
        <v>2024</v>
      </c>
      <c r="C173" s="30" t="s">
        <v>2020</v>
      </c>
      <c r="D173" s="30" t="s">
        <v>2027</v>
      </c>
      <c r="E173" s="31" t="s">
        <v>11</v>
      </c>
      <c r="F173" s="30" t="s">
        <v>2086</v>
      </c>
      <c r="G173" s="31" t="s">
        <v>183</v>
      </c>
      <c r="H173" s="30"/>
      <c r="I173" s="30"/>
      <c r="J173" s="30" t="s">
        <v>2019</v>
      </c>
      <c r="K173" s="30"/>
    </row>
    <row r="174" customFormat="false" ht="15" hidden="false" customHeight="false" outlineLevel="0" collapsed="false">
      <c r="A174" s="30" t="s">
        <v>2186</v>
      </c>
      <c r="B174" s="30" t="s">
        <v>2030</v>
      </c>
      <c r="C174" s="30" t="s">
        <v>2016</v>
      </c>
      <c r="D174" s="30" t="s">
        <v>17</v>
      </c>
      <c r="E174" s="31" t="s">
        <v>17</v>
      </c>
      <c r="F174" s="30" t="s">
        <v>2087</v>
      </c>
      <c r="G174" s="31" t="s">
        <v>187</v>
      </c>
      <c r="H174" s="30" t="s">
        <v>2088</v>
      </c>
      <c r="I174" s="31" t="s">
        <v>312</v>
      </c>
      <c r="J174" s="30" t="s">
        <v>2019</v>
      </c>
      <c r="K174" s="30"/>
    </row>
    <row r="175" customFormat="false" ht="15" hidden="false" customHeight="false" outlineLevel="0" collapsed="false">
      <c r="A175" s="30" t="s">
        <v>2186</v>
      </c>
      <c r="B175" s="30" t="s">
        <v>2030</v>
      </c>
      <c r="C175" s="30" t="s">
        <v>2020</v>
      </c>
      <c r="D175" s="30" t="s">
        <v>16</v>
      </c>
      <c r="E175" s="31" t="s">
        <v>16</v>
      </c>
      <c r="F175" s="30" t="s">
        <v>2089</v>
      </c>
      <c r="G175" s="31" t="s">
        <v>189</v>
      </c>
      <c r="H175" s="30" t="s">
        <v>2090</v>
      </c>
      <c r="I175" s="31" t="s">
        <v>360</v>
      </c>
      <c r="J175" s="30" t="s">
        <v>2019</v>
      </c>
      <c r="K175" s="30"/>
    </row>
    <row r="176" customFormat="false" ht="15" hidden="false" customHeight="false" outlineLevel="0" collapsed="false">
      <c r="A176" s="30" t="s">
        <v>2186</v>
      </c>
      <c r="B176" s="30" t="s">
        <v>2035</v>
      </c>
      <c r="C176" s="30" t="s">
        <v>2016</v>
      </c>
      <c r="D176" s="30" t="s">
        <v>2091</v>
      </c>
      <c r="E176" s="31" t="s">
        <v>19</v>
      </c>
      <c r="F176" s="30" t="s">
        <v>2092</v>
      </c>
      <c r="G176" s="31" t="s">
        <v>191</v>
      </c>
      <c r="H176" s="30"/>
      <c r="I176" s="30"/>
      <c r="J176" s="30" t="s">
        <v>2019</v>
      </c>
      <c r="K176" s="30"/>
    </row>
    <row r="177" customFormat="false" ht="15" hidden="false" customHeight="false" outlineLevel="0" collapsed="false">
      <c r="A177" s="30" t="s">
        <v>2186</v>
      </c>
      <c r="B177" s="30" t="s">
        <v>2035</v>
      </c>
      <c r="C177" s="30" t="s">
        <v>2020</v>
      </c>
      <c r="D177" s="30" t="s">
        <v>2068</v>
      </c>
      <c r="E177" s="31" t="s">
        <v>14</v>
      </c>
      <c r="F177" s="30" t="s">
        <v>193</v>
      </c>
      <c r="G177" s="31" t="s">
        <v>193</v>
      </c>
      <c r="H177" s="30" t="s">
        <v>2093</v>
      </c>
      <c r="I177" s="31" t="s">
        <v>314</v>
      </c>
      <c r="J177" s="30" t="s">
        <v>2019</v>
      </c>
      <c r="K177" s="30"/>
    </row>
    <row r="178" customFormat="false" ht="15" hidden="false" customHeight="false" outlineLevel="0" collapsed="false">
      <c r="A178" s="30" t="s">
        <v>2186</v>
      </c>
      <c r="B178" s="30" t="s">
        <v>2039</v>
      </c>
      <c r="C178" s="30" t="s">
        <v>2016</v>
      </c>
      <c r="D178" s="30" t="s">
        <v>2094</v>
      </c>
      <c r="E178" s="31" t="s">
        <v>28</v>
      </c>
      <c r="F178" s="30" t="s">
        <v>194</v>
      </c>
      <c r="G178" s="31" t="s">
        <v>194</v>
      </c>
      <c r="H178" s="30" t="s">
        <v>2095</v>
      </c>
      <c r="I178" s="31" t="s">
        <v>309</v>
      </c>
      <c r="J178" s="30" t="s">
        <v>2019</v>
      </c>
      <c r="K178" s="30"/>
    </row>
    <row r="179" customFormat="false" ht="15" hidden="false" customHeight="false" outlineLevel="0" collapsed="false">
      <c r="A179" s="30" t="s">
        <v>2186</v>
      </c>
      <c r="B179" s="30" t="s">
        <v>2039</v>
      </c>
      <c r="C179" s="30" t="s">
        <v>2020</v>
      </c>
      <c r="D179" s="30" t="s">
        <v>9</v>
      </c>
      <c r="E179" s="31" t="s">
        <v>9</v>
      </c>
      <c r="F179" s="30" t="s">
        <v>2096</v>
      </c>
      <c r="G179" s="31" t="s">
        <v>93</v>
      </c>
      <c r="H179" s="30" t="s">
        <v>2097</v>
      </c>
      <c r="I179" s="31" t="s">
        <v>322</v>
      </c>
      <c r="J179" s="30" t="s">
        <v>2019</v>
      </c>
      <c r="K179" s="30"/>
    </row>
    <row r="180" customFormat="false" ht="15" hidden="false" customHeight="false" outlineLevel="0" collapsed="false">
      <c r="A180" s="30" t="s">
        <v>2186</v>
      </c>
      <c r="B180" s="30" t="s">
        <v>2045</v>
      </c>
      <c r="C180" s="30" t="s">
        <v>2016</v>
      </c>
      <c r="D180" s="30" t="s">
        <v>31</v>
      </c>
      <c r="E180" s="31" t="s">
        <v>31</v>
      </c>
      <c r="F180" s="30" t="s">
        <v>2098</v>
      </c>
      <c r="G180" s="31" t="s">
        <v>130</v>
      </c>
      <c r="H180" s="30" t="s">
        <v>2099</v>
      </c>
      <c r="I180" s="31" t="s">
        <v>346</v>
      </c>
      <c r="J180" s="30" t="s">
        <v>2019</v>
      </c>
      <c r="K180" s="30"/>
    </row>
    <row r="181" customFormat="false" ht="15" hidden="false" customHeight="false" outlineLevel="0" collapsed="false">
      <c r="A181" s="30" t="s">
        <v>2186</v>
      </c>
      <c r="B181" s="30" t="s">
        <v>2045</v>
      </c>
      <c r="C181" s="30" t="s">
        <v>2020</v>
      </c>
      <c r="D181" s="30" t="s">
        <v>2027</v>
      </c>
      <c r="E181" s="31" t="s">
        <v>11</v>
      </c>
      <c r="F181" s="30" t="s">
        <v>2100</v>
      </c>
      <c r="G181" s="31" t="s">
        <v>195</v>
      </c>
      <c r="H181" s="30" t="s">
        <v>310</v>
      </c>
      <c r="I181" s="31" t="s">
        <v>310</v>
      </c>
      <c r="J181" s="30" t="s">
        <v>2019</v>
      </c>
      <c r="K181" s="30"/>
    </row>
    <row r="182" customFormat="false" ht="15" hidden="false" customHeight="false" outlineLevel="0" collapsed="false">
      <c r="A182" s="30" t="s">
        <v>2186</v>
      </c>
      <c r="B182" s="30" t="s">
        <v>2050</v>
      </c>
      <c r="C182" s="30" t="s">
        <v>2016</v>
      </c>
      <c r="D182" s="30" t="s">
        <v>9</v>
      </c>
      <c r="E182" s="31" t="s">
        <v>9</v>
      </c>
      <c r="F182" s="30" t="s">
        <v>2101</v>
      </c>
      <c r="G182" s="31" t="s">
        <v>133</v>
      </c>
      <c r="H182" s="30" t="s">
        <v>2042</v>
      </c>
      <c r="I182" s="31" t="s">
        <v>306</v>
      </c>
      <c r="J182" s="30" t="s">
        <v>384</v>
      </c>
      <c r="K182" s="30"/>
    </row>
    <row r="183" customFormat="false" ht="15" hidden="false" customHeight="false" outlineLevel="0" collapsed="false">
      <c r="A183" s="30" t="s">
        <v>2186</v>
      </c>
      <c r="B183" s="30" t="s">
        <v>2050</v>
      </c>
      <c r="C183" s="30" t="s">
        <v>2020</v>
      </c>
      <c r="D183" s="30" t="s">
        <v>2102</v>
      </c>
      <c r="E183" s="31" t="s">
        <v>23</v>
      </c>
      <c r="F183" s="30" t="s">
        <v>2022</v>
      </c>
      <c r="G183" s="31" t="s">
        <v>124</v>
      </c>
      <c r="H183" s="30" t="s">
        <v>2103</v>
      </c>
      <c r="I183" s="31" t="s">
        <v>337</v>
      </c>
      <c r="J183" s="30" t="s">
        <v>2019</v>
      </c>
      <c r="K183" s="30"/>
    </row>
    <row r="184" customFormat="false" ht="15" hidden="false" customHeight="false" outlineLevel="0" collapsed="false">
      <c r="A184" s="30" t="s">
        <v>2187</v>
      </c>
      <c r="B184" s="30" t="s">
        <v>2015</v>
      </c>
      <c r="C184" s="30" t="s">
        <v>2016</v>
      </c>
      <c r="D184" s="30" t="s">
        <v>17</v>
      </c>
      <c r="E184" s="31" t="s">
        <v>17</v>
      </c>
      <c r="F184" s="30" t="s">
        <v>2105</v>
      </c>
      <c r="G184" s="31" t="s">
        <v>145</v>
      </c>
      <c r="H184" s="30" t="s">
        <v>2106</v>
      </c>
      <c r="I184" s="31" t="s">
        <v>313</v>
      </c>
      <c r="J184" s="30" t="s">
        <v>2019</v>
      </c>
      <c r="K184" s="30"/>
    </row>
    <row r="185" customFormat="false" ht="15" hidden="false" customHeight="false" outlineLevel="0" collapsed="false">
      <c r="A185" s="30" t="s">
        <v>2187</v>
      </c>
      <c r="B185" s="30" t="s">
        <v>2015</v>
      </c>
      <c r="C185" s="30" t="s">
        <v>2020</v>
      </c>
      <c r="D185" s="30" t="s">
        <v>2107</v>
      </c>
      <c r="E185" s="31" t="s">
        <v>9</v>
      </c>
      <c r="F185" s="30" t="s">
        <v>2108</v>
      </c>
      <c r="G185" s="31" t="s">
        <v>197</v>
      </c>
      <c r="H185" s="30" t="s">
        <v>2109</v>
      </c>
      <c r="I185" s="31" t="s">
        <v>342</v>
      </c>
      <c r="J185" s="30" t="s">
        <v>2188</v>
      </c>
      <c r="K185" s="31" t="s">
        <v>385</v>
      </c>
    </row>
    <row r="186" customFormat="false" ht="15" hidden="false" customHeight="false" outlineLevel="0" collapsed="false">
      <c r="A186" s="30" t="s">
        <v>2187</v>
      </c>
      <c r="B186" s="30" t="s">
        <v>2024</v>
      </c>
      <c r="C186" s="30" t="s">
        <v>2016</v>
      </c>
      <c r="D186" s="30" t="s">
        <v>2066</v>
      </c>
      <c r="E186" s="31" t="s">
        <v>50</v>
      </c>
      <c r="F186" s="30" t="s">
        <v>2110</v>
      </c>
      <c r="G186" s="31" t="s">
        <v>173</v>
      </c>
      <c r="H186" s="30" t="s">
        <v>320</v>
      </c>
      <c r="I186" s="31" t="s">
        <v>320</v>
      </c>
      <c r="J186" s="30" t="s">
        <v>384</v>
      </c>
      <c r="K186" s="30"/>
    </row>
    <row r="187" customFormat="false" ht="15" hidden="false" customHeight="false" outlineLevel="0" collapsed="false">
      <c r="A187" s="30" t="s">
        <v>2187</v>
      </c>
      <c r="B187" s="30" t="s">
        <v>2024</v>
      </c>
      <c r="C187" s="30" t="s">
        <v>2020</v>
      </c>
      <c r="D187" s="30" t="s">
        <v>2027</v>
      </c>
      <c r="E187" s="31" t="s">
        <v>11</v>
      </c>
      <c r="F187" s="30" t="s">
        <v>2111</v>
      </c>
      <c r="G187" s="31" t="s">
        <v>213</v>
      </c>
      <c r="H187" s="30" t="s">
        <v>2042</v>
      </c>
      <c r="I187" s="31" t="s">
        <v>306</v>
      </c>
      <c r="J187" s="30" t="s">
        <v>2019</v>
      </c>
      <c r="K187" s="30"/>
    </row>
    <row r="188" customFormat="false" ht="15" hidden="false" customHeight="false" outlineLevel="0" collapsed="false">
      <c r="A188" s="30" t="s">
        <v>2187</v>
      </c>
      <c r="B188" s="30" t="s">
        <v>2030</v>
      </c>
      <c r="C188" s="30" t="s">
        <v>2016</v>
      </c>
      <c r="D188" s="30" t="s">
        <v>2084</v>
      </c>
      <c r="E188" s="31" t="s">
        <v>34</v>
      </c>
      <c r="F188" s="30" t="s">
        <v>215</v>
      </c>
      <c r="G188" s="31" t="s">
        <v>215</v>
      </c>
      <c r="H188" s="30" t="s">
        <v>308</v>
      </c>
      <c r="I188" s="31" t="s">
        <v>308</v>
      </c>
      <c r="J188" s="30" t="s">
        <v>2188</v>
      </c>
      <c r="K188" s="31" t="s">
        <v>385</v>
      </c>
    </row>
    <row r="189" customFormat="false" ht="15" hidden="false" customHeight="false" outlineLevel="0" collapsed="false">
      <c r="A189" s="30" t="s">
        <v>2187</v>
      </c>
      <c r="B189" s="30" t="s">
        <v>2030</v>
      </c>
      <c r="C189" s="30" t="s">
        <v>2020</v>
      </c>
      <c r="D189" s="30" t="s">
        <v>2112</v>
      </c>
      <c r="E189" s="31" t="s">
        <v>40</v>
      </c>
      <c r="F189" s="30" t="s">
        <v>46</v>
      </c>
      <c r="G189" s="31" t="s">
        <v>46</v>
      </c>
      <c r="H189" s="30" t="s">
        <v>2107</v>
      </c>
      <c r="I189" s="31" t="s">
        <v>9</v>
      </c>
      <c r="J189" s="30" t="s">
        <v>2188</v>
      </c>
      <c r="K189" s="31" t="s">
        <v>385</v>
      </c>
    </row>
    <row r="190" customFormat="false" ht="15" hidden="false" customHeight="false" outlineLevel="0" collapsed="false">
      <c r="A190" s="30" t="s">
        <v>2187</v>
      </c>
      <c r="B190" s="30" t="s">
        <v>2035</v>
      </c>
      <c r="C190" s="30" t="s">
        <v>2016</v>
      </c>
      <c r="D190" s="30" t="s">
        <v>2077</v>
      </c>
      <c r="E190" s="31" t="s">
        <v>22</v>
      </c>
      <c r="F190" s="30" t="s">
        <v>2113</v>
      </c>
      <c r="G190" s="31" t="s">
        <v>235</v>
      </c>
      <c r="H190" s="30"/>
      <c r="I190" s="30"/>
      <c r="J190" s="30" t="s">
        <v>2019</v>
      </c>
      <c r="K190" s="30"/>
    </row>
    <row r="191" customFormat="false" ht="15" hidden="false" customHeight="false" outlineLevel="0" collapsed="false">
      <c r="A191" s="30" t="s">
        <v>2187</v>
      </c>
      <c r="B191" s="30" t="s">
        <v>2035</v>
      </c>
      <c r="C191" s="30" t="s">
        <v>2020</v>
      </c>
      <c r="D191" s="30" t="s">
        <v>2114</v>
      </c>
      <c r="E191" s="31" t="s">
        <v>11</v>
      </c>
      <c r="F191" s="30" t="s">
        <v>2115</v>
      </c>
      <c r="G191" s="31" t="s">
        <v>150</v>
      </c>
      <c r="H191" s="30"/>
      <c r="I191" s="30"/>
      <c r="J191" s="30" t="s">
        <v>2019</v>
      </c>
      <c r="K191" s="30"/>
    </row>
    <row r="192" customFormat="false" ht="15" hidden="false" customHeight="false" outlineLevel="0" collapsed="false">
      <c r="A192" s="30" t="s">
        <v>2187</v>
      </c>
      <c r="B192" s="30" t="s">
        <v>2039</v>
      </c>
      <c r="C192" s="30" t="s">
        <v>2016</v>
      </c>
      <c r="D192" s="30" t="s">
        <v>2116</v>
      </c>
      <c r="E192" s="31" t="s">
        <v>47</v>
      </c>
      <c r="F192" s="30" t="s">
        <v>2117</v>
      </c>
      <c r="G192" s="31" t="s">
        <v>154</v>
      </c>
      <c r="H192" s="30" t="s">
        <v>2118</v>
      </c>
      <c r="I192" s="31" t="s">
        <v>357</v>
      </c>
      <c r="J192" s="30" t="s">
        <v>2019</v>
      </c>
      <c r="K192" s="30"/>
    </row>
    <row r="193" customFormat="false" ht="15" hidden="false" customHeight="false" outlineLevel="0" collapsed="false">
      <c r="A193" s="30" t="s">
        <v>2187</v>
      </c>
      <c r="B193" s="30" t="s">
        <v>2039</v>
      </c>
      <c r="C193" s="30" t="s">
        <v>2020</v>
      </c>
      <c r="D193" s="30" t="s">
        <v>2091</v>
      </c>
      <c r="E193" s="31" t="s">
        <v>19</v>
      </c>
      <c r="F193" s="30" t="s">
        <v>2119</v>
      </c>
      <c r="G193" s="31" t="s">
        <v>219</v>
      </c>
      <c r="H193" s="30" t="s">
        <v>2120</v>
      </c>
      <c r="I193" s="31" t="s">
        <v>326</v>
      </c>
      <c r="J193" s="30" t="s">
        <v>2188</v>
      </c>
      <c r="K193" s="31" t="s">
        <v>385</v>
      </c>
    </row>
    <row r="194" customFormat="false" ht="15" hidden="false" customHeight="false" outlineLevel="0" collapsed="false">
      <c r="A194" s="30" t="s">
        <v>2187</v>
      </c>
      <c r="B194" s="30" t="s">
        <v>2045</v>
      </c>
      <c r="C194" s="30" t="s">
        <v>2016</v>
      </c>
      <c r="D194" s="30" t="s">
        <v>2121</v>
      </c>
      <c r="E194" s="31" t="s">
        <v>79</v>
      </c>
      <c r="F194" s="30" t="s">
        <v>2122</v>
      </c>
      <c r="G194" s="31" t="s">
        <v>237</v>
      </c>
      <c r="H194" s="30" t="s">
        <v>334</v>
      </c>
      <c r="I194" s="31" t="s">
        <v>334</v>
      </c>
      <c r="J194" s="30" t="s">
        <v>2019</v>
      </c>
      <c r="K194" s="30"/>
    </row>
    <row r="195" customFormat="false" ht="15" hidden="false" customHeight="false" outlineLevel="0" collapsed="false">
      <c r="A195" s="30" t="s">
        <v>2187</v>
      </c>
      <c r="B195" s="30" t="s">
        <v>2045</v>
      </c>
      <c r="C195" s="30" t="s">
        <v>2020</v>
      </c>
      <c r="D195" s="30" t="s">
        <v>2027</v>
      </c>
      <c r="E195" s="31" t="s">
        <v>11</v>
      </c>
      <c r="F195" s="30" t="s">
        <v>2123</v>
      </c>
      <c r="G195" s="31" t="s">
        <v>62</v>
      </c>
      <c r="H195" s="30" t="s">
        <v>327</v>
      </c>
      <c r="I195" s="31" t="s">
        <v>327</v>
      </c>
      <c r="J195" s="30" t="s">
        <v>2019</v>
      </c>
      <c r="K195" s="30"/>
    </row>
    <row r="196" customFormat="false" ht="15" hidden="false" customHeight="false" outlineLevel="0" collapsed="false">
      <c r="A196" s="30" t="s">
        <v>2187</v>
      </c>
      <c r="B196" s="30" t="s">
        <v>2050</v>
      </c>
      <c r="C196" s="30" t="s">
        <v>2016</v>
      </c>
      <c r="D196" s="30" t="s">
        <v>2124</v>
      </c>
      <c r="E196" s="31" t="s">
        <v>17</v>
      </c>
      <c r="F196" s="30" t="s">
        <v>2125</v>
      </c>
      <c r="G196" s="31" t="s">
        <v>221</v>
      </c>
      <c r="H196" s="30" t="s">
        <v>2126</v>
      </c>
      <c r="I196" s="31" t="s">
        <v>309</v>
      </c>
      <c r="J196" s="30" t="s">
        <v>384</v>
      </c>
      <c r="K196" s="30"/>
    </row>
    <row r="197" customFormat="false" ht="15" hidden="false" customHeight="false" outlineLevel="0" collapsed="false">
      <c r="A197" s="30" t="s">
        <v>2187</v>
      </c>
      <c r="B197" s="30" t="s">
        <v>2050</v>
      </c>
      <c r="C197" s="30" t="s">
        <v>2020</v>
      </c>
      <c r="D197" s="30" t="s">
        <v>2127</v>
      </c>
      <c r="E197" s="31" t="s">
        <v>63</v>
      </c>
      <c r="F197" s="30" t="s">
        <v>2128</v>
      </c>
      <c r="G197" s="31" t="s">
        <v>157</v>
      </c>
      <c r="H197" s="30" t="s">
        <v>2129</v>
      </c>
      <c r="I197" s="31" t="s">
        <v>336</v>
      </c>
      <c r="J197" s="30" t="s">
        <v>2019</v>
      </c>
      <c r="K197" s="30"/>
    </row>
    <row r="198" customFormat="false" ht="15" hidden="false" customHeight="false" outlineLevel="0" collapsed="false">
      <c r="A198" s="30" t="s">
        <v>2189</v>
      </c>
      <c r="B198" s="30" t="s">
        <v>2015</v>
      </c>
      <c r="C198" s="30" t="s">
        <v>2016</v>
      </c>
      <c r="D198" s="30" t="s">
        <v>48</v>
      </c>
      <c r="E198" s="31" t="s">
        <v>48</v>
      </c>
      <c r="F198" s="30" t="s">
        <v>2190</v>
      </c>
      <c r="G198" s="31" t="s">
        <v>173</v>
      </c>
      <c r="H198" s="30" t="s">
        <v>2191</v>
      </c>
      <c r="I198" s="31" t="s">
        <v>354</v>
      </c>
      <c r="J198" s="30" t="s">
        <v>384</v>
      </c>
      <c r="K198" s="30"/>
    </row>
    <row r="199" customFormat="false" ht="15" hidden="false" customHeight="false" outlineLevel="0" collapsed="false">
      <c r="A199" s="30" t="s">
        <v>2189</v>
      </c>
      <c r="B199" s="30" t="s">
        <v>2015</v>
      </c>
      <c r="C199" s="30" t="s">
        <v>2020</v>
      </c>
      <c r="D199" s="30"/>
      <c r="E199" s="30"/>
      <c r="F199" s="30" t="s">
        <v>2192</v>
      </c>
      <c r="G199" s="31" t="s">
        <v>55</v>
      </c>
      <c r="H199" s="30"/>
      <c r="I199" s="30"/>
      <c r="J199" s="30" t="s">
        <v>2019</v>
      </c>
      <c r="K199" s="30"/>
    </row>
    <row r="200" customFormat="false" ht="15" hidden="false" customHeight="false" outlineLevel="0" collapsed="false">
      <c r="A200" s="30" t="s">
        <v>2189</v>
      </c>
      <c r="B200" s="30" t="s">
        <v>2024</v>
      </c>
      <c r="C200" s="30" t="s">
        <v>2016</v>
      </c>
      <c r="D200" s="30" t="s">
        <v>2102</v>
      </c>
      <c r="E200" s="31" t="s">
        <v>23</v>
      </c>
      <c r="F200" s="30" t="s">
        <v>2193</v>
      </c>
      <c r="G200" s="31" t="s">
        <v>253</v>
      </c>
      <c r="H200" s="30" t="s">
        <v>2042</v>
      </c>
      <c r="I200" s="31" t="s">
        <v>306</v>
      </c>
      <c r="J200" s="30" t="s">
        <v>384</v>
      </c>
      <c r="K200" s="30"/>
    </row>
    <row r="201" customFormat="false" ht="15" hidden="false" customHeight="false" outlineLevel="0" collapsed="false">
      <c r="A201" s="30" t="s">
        <v>2189</v>
      </c>
      <c r="B201" s="30" t="s">
        <v>2024</v>
      </c>
      <c r="C201" s="30" t="s">
        <v>2020</v>
      </c>
      <c r="D201" s="30" t="s">
        <v>9</v>
      </c>
      <c r="E201" s="31" t="s">
        <v>9</v>
      </c>
      <c r="F201" s="30" t="s">
        <v>2194</v>
      </c>
      <c r="G201" s="31" t="s">
        <v>100</v>
      </c>
      <c r="H201" s="30"/>
      <c r="I201" s="30"/>
      <c r="J201" s="30" t="s">
        <v>2019</v>
      </c>
      <c r="K201" s="30"/>
    </row>
    <row r="202" customFormat="false" ht="15" hidden="false" customHeight="false" outlineLevel="0" collapsed="false">
      <c r="A202" s="30" t="s">
        <v>2189</v>
      </c>
      <c r="B202" s="30" t="s">
        <v>2030</v>
      </c>
      <c r="C202" s="30" t="s">
        <v>2016</v>
      </c>
      <c r="D202" s="30" t="s">
        <v>2195</v>
      </c>
      <c r="E202" s="31" t="s">
        <v>68</v>
      </c>
      <c r="F202" s="30" t="s">
        <v>121</v>
      </c>
      <c r="G202" s="31" t="s">
        <v>121</v>
      </c>
      <c r="H202" s="30" t="s">
        <v>2196</v>
      </c>
      <c r="I202" s="31" t="s">
        <v>374</v>
      </c>
      <c r="J202" s="30" t="s">
        <v>2019</v>
      </c>
      <c r="K202" s="30"/>
    </row>
    <row r="203" customFormat="false" ht="15" hidden="false" customHeight="false" outlineLevel="0" collapsed="false">
      <c r="A203" s="30" t="s">
        <v>2189</v>
      </c>
      <c r="B203" s="30" t="s">
        <v>2030</v>
      </c>
      <c r="C203" s="30" t="s">
        <v>2020</v>
      </c>
      <c r="D203" s="30" t="s">
        <v>2197</v>
      </c>
      <c r="E203" s="31" t="s">
        <v>372</v>
      </c>
      <c r="F203" s="30" t="s">
        <v>2198</v>
      </c>
      <c r="G203" s="31" t="s">
        <v>126</v>
      </c>
      <c r="H203" s="30" t="s">
        <v>2199</v>
      </c>
      <c r="I203" s="31" t="s">
        <v>340</v>
      </c>
      <c r="J203" s="30" t="s">
        <v>2019</v>
      </c>
      <c r="K203" s="30"/>
    </row>
    <row r="204" customFormat="false" ht="15" hidden="false" customHeight="false" outlineLevel="0" collapsed="false">
      <c r="A204" s="30" t="s">
        <v>2189</v>
      </c>
      <c r="B204" s="30" t="s">
        <v>2035</v>
      </c>
      <c r="C204" s="30" t="s">
        <v>2016</v>
      </c>
      <c r="D204" s="30" t="s">
        <v>2200</v>
      </c>
      <c r="E204" s="31" t="s">
        <v>45</v>
      </c>
      <c r="F204" s="30" t="s">
        <v>2201</v>
      </c>
      <c r="G204" s="31" t="s">
        <v>267</v>
      </c>
      <c r="H204" s="30" t="s">
        <v>2202</v>
      </c>
      <c r="I204" s="31" t="s">
        <v>322</v>
      </c>
      <c r="J204" s="30" t="s">
        <v>2019</v>
      </c>
      <c r="K204" s="30"/>
    </row>
    <row r="205" customFormat="false" ht="15" hidden="false" customHeight="false" outlineLevel="0" collapsed="false">
      <c r="A205" s="30" t="s">
        <v>2189</v>
      </c>
      <c r="B205" s="30" t="s">
        <v>2035</v>
      </c>
      <c r="C205" s="30" t="s">
        <v>2020</v>
      </c>
      <c r="D205" s="30" t="s">
        <v>2112</v>
      </c>
      <c r="E205" s="31" t="s">
        <v>40</v>
      </c>
      <c r="F205" s="30" t="s">
        <v>2203</v>
      </c>
      <c r="G205" s="31" t="s">
        <v>269</v>
      </c>
      <c r="H205" s="30"/>
      <c r="I205" s="30"/>
      <c r="J205" s="30" t="s">
        <v>2019</v>
      </c>
      <c r="K205" s="30"/>
    </row>
    <row r="206" customFormat="false" ht="15" hidden="false" customHeight="false" outlineLevel="0" collapsed="false">
      <c r="A206" s="30" t="s">
        <v>2189</v>
      </c>
      <c r="B206" s="30" t="s">
        <v>2039</v>
      </c>
      <c r="C206" s="30" t="s">
        <v>2016</v>
      </c>
      <c r="D206" s="30" t="s">
        <v>16</v>
      </c>
      <c r="E206" s="31" t="s">
        <v>16</v>
      </c>
      <c r="F206" s="30" t="s">
        <v>2204</v>
      </c>
      <c r="G206" s="31" t="s">
        <v>137</v>
      </c>
      <c r="H206" s="30" t="s">
        <v>371</v>
      </c>
      <c r="I206" s="31" t="s">
        <v>371</v>
      </c>
      <c r="J206" s="30" t="s">
        <v>2019</v>
      </c>
      <c r="K206" s="30"/>
    </row>
    <row r="207" customFormat="false" ht="15" hidden="false" customHeight="false" outlineLevel="0" collapsed="false">
      <c r="A207" s="30" t="s">
        <v>2189</v>
      </c>
      <c r="B207" s="30" t="s">
        <v>2039</v>
      </c>
      <c r="C207" s="30" t="s">
        <v>2020</v>
      </c>
      <c r="D207" s="30" t="s">
        <v>9</v>
      </c>
      <c r="E207" s="31" t="s">
        <v>9</v>
      </c>
      <c r="F207" s="30" t="s">
        <v>2096</v>
      </c>
      <c r="G207" s="31" t="s">
        <v>93</v>
      </c>
      <c r="H207" s="30"/>
      <c r="I207" s="30"/>
      <c r="J207" s="30" t="s">
        <v>2019</v>
      </c>
      <c r="K207" s="30"/>
    </row>
    <row r="208" customFormat="false" ht="15" hidden="false" customHeight="false" outlineLevel="0" collapsed="false">
      <c r="A208" s="30" t="s">
        <v>2189</v>
      </c>
      <c r="B208" s="30" t="s">
        <v>2045</v>
      </c>
      <c r="C208" s="30" t="s">
        <v>2016</v>
      </c>
      <c r="D208" s="30" t="s">
        <v>2102</v>
      </c>
      <c r="E208" s="31" t="s">
        <v>23</v>
      </c>
      <c r="F208" s="30" t="s">
        <v>2151</v>
      </c>
      <c r="G208" s="31" t="s">
        <v>159</v>
      </c>
      <c r="H208" s="30" t="s">
        <v>2205</v>
      </c>
      <c r="I208" s="31" t="s">
        <v>325</v>
      </c>
      <c r="J208" s="30" t="s">
        <v>2019</v>
      </c>
      <c r="K208" s="30"/>
    </row>
    <row r="209" customFormat="false" ht="15" hidden="false" customHeight="false" outlineLevel="0" collapsed="false">
      <c r="A209" s="30" t="s">
        <v>2189</v>
      </c>
      <c r="B209" s="30" t="s">
        <v>2045</v>
      </c>
      <c r="C209" s="30" t="s">
        <v>2020</v>
      </c>
      <c r="D209" s="30" t="s">
        <v>17</v>
      </c>
      <c r="E209" s="31" t="s">
        <v>17</v>
      </c>
      <c r="F209" s="30" t="s">
        <v>176</v>
      </c>
      <c r="G209" s="31" t="s">
        <v>176</v>
      </c>
      <c r="H209" s="30"/>
      <c r="I209" s="30"/>
      <c r="J209" s="30" t="s">
        <v>2019</v>
      </c>
      <c r="K209" s="30"/>
    </row>
    <row r="210" customFormat="false" ht="15" hidden="false" customHeight="false" outlineLevel="0" collapsed="false">
      <c r="A210" s="30" t="s">
        <v>2189</v>
      </c>
      <c r="B210" s="30" t="s">
        <v>2050</v>
      </c>
      <c r="C210" s="30" t="s">
        <v>2016</v>
      </c>
      <c r="D210" s="30" t="s">
        <v>2206</v>
      </c>
      <c r="E210" s="31" t="s">
        <v>84</v>
      </c>
      <c r="F210" s="30" t="s">
        <v>2207</v>
      </c>
      <c r="G210" s="31" t="s">
        <v>271</v>
      </c>
      <c r="H210" s="30" t="s">
        <v>330</v>
      </c>
      <c r="I210" s="31" t="s">
        <v>330</v>
      </c>
      <c r="J210" s="30" t="s">
        <v>384</v>
      </c>
      <c r="K210" s="30"/>
    </row>
    <row r="211" customFormat="false" ht="15" hidden="false" customHeight="false" outlineLevel="0" collapsed="false">
      <c r="A211" s="30" t="s">
        <v>2189</v>
      </c>
      <c r="B211" s="30" t="s">
        <v>2050</v>
      </c>
      <c r="C211" s="30" t="s">
        <v>2020</v>
      </c>
      <c r="D211" s="30" t="s">
        <v>9</v>
      </c>
      <c r="E211" s="31" t="s">
        <v>9</v>
      </c>
      <c r="F211" s="30" t="s">
        <v>273</v>
      </c>
      <c r="G211" s="31" t="s">
        <v>273</v>
      </c>
      <c r="H211" s="30"/>
      <c r="I211" s="30"/>
      <c r="J211" s="30" t="s">
        <v>2019</v>
      </c>
      <c r="K211" s="30"/>
    </row>
    <row r="212" customFormat="false" ht="15" hidden="false" customHeight="false" outlineLevel="0" collapsed="false">
      <c r="A212" s="30" t="s">
        <v>2208</v>
      </c>
      <c r="B212" s="30" t="s">
        <v>2015</v>
      </c>
      <c r="C212" s="30" t="s">
        <v>2016</v>
      </c>
      <c r="D212" s="30" t="s">
        <v>28</v>
      </c>
      <c r="E212" s="31" t="s">
        <v>28</v>
      </c>
      <c r="F212" s="30" t="s">
        <v>2209</v>
      </c>
      <c r="G212" s="31" t="s">
        <v>167</v>
      </c>
      <c r="H212" s="30" t="s">
        <v>2210</v>
      </c>
      <c r="I212" s="31" t="s">
        <v>310</v>
      </c>
      <c r="J212" s="30" t="s">
        <v>2019</v>
      </c>
      <c r="K212" s="30"/>
    </row>
    <row r="213" customFormat="false" ht="15" hidden="false" customHeight="false" outlineLevel="0" collapsed="false">
      <c r="A213" s="30" t="s">
        <v>2208</v>
      </c>
      <c r="B213" s="30" t="s">
        <v>2015</v>
      </c>
      <c r="C213" s="30" t="s">
        <v>2020</v>
      </c>
      <c r="D213" s="30" t="s">
        <v>51</v>
      </c>
      <c r="E213" s="31" t="s">
        <v>51</v>
      </c>
      <c r="F213" s="30" t="s">
        <v>123</v>
      </c>
      <c r="G213" s="31" t="s">
        <v>123</v>
      </c>
      <c r="H213" s="30" t="s">
        <v>2211</v>
      </c>
      <c r="I213" s="31" t="s">
        <v>322</v>
      </c>
      <c r="J213" s="30" t="s">
        <v>2019</v>
      </c>
      <c r="K213" s="30"/>
    </row>
    <row r="214" customFormat="false" ht="15" hidden="false" customHeight="false" outlineLevel="0" collapsed="false">
      <c r="A214" s="30" t="s">
        <v>2208</v>
      </c>
      <c r="B214" s="30" t="s">
        <v>2024</v>
      </c>
      <c r="C214" s="30" t="s">
        <v>2016</v>
      </c>
      <c r="D214" s="30" t="s">
        <v>9</v>
      </c>
      <c r="E214" s="31" t="s">
        <v>9</v>
      </c>
      <c r="F214" s="30" t="s">
        <v>2212</v>
      </c>
      <c r="G214" s="31" t="s">
        <v>169</v>
      </c>
      <c r="H214" s="30" t="s">
        <v>2213</v>
      </c>
      <c r="I214" s="31" t="s">
        <v>344</v>
      </c>
      <c r="J214" s="30" t="s">
        <v>384</v>
      </c>
      <c r="K214" s="30"/>
    </row>
    <row r="215" customFormat="false" ht="15" hidden="false" customHeight="false" outlineLevel="0" collapsed="false">
      <c r="A215" s="30" t="s">
        <v>2208</v>
      </c>
      <c r="B215" s="30" t="s">
        <v>2024</v>
      </c>
      <c r="C215" s="30" t="s">
        <v>2020</v>
      </c>
      <c r="D215" s="30" t="s">
        <v>22</v>
      </c>
      <c r="E215" s="31" t="s">
        <v>22</v>
      </c>
      <c r="F215" s="30" t="s">
        <v>197</v>
      </c>
      <c r="G215" s="31" t="s">
        <v>197</v>
      </c>
      <c r="H215" s="30" t="s">
        <v>318</v>
      </c>
      <c r="I215" s="31" t="s">
        <v>318</v>
      </c>
      <c r="J215" s="30" t="s">
        <v>2019</v>
      </c>
      <c r="K215" s="30"/>
    </row>
    <row r="216" customFormat="false" ht="15" hidden="false" customHeight="false" outlineLevel="0" collapsed="false">
      <c r="A216" s="30" t="s">
        <v>2208</v>
      </c>
      <c r="B216" s="30" t="s">
        <v>2030</v>
      </c>
      <c r="C216" s="30" t="s">
        <v>2016</v>
      </c>
      <c r="D216" s="30" t="s">
        <v>46</v>
      </c>
      <c r="E216" s="31" t="s">
        <v>46</v>
      </c>
      <c r="F216" s="30" t="s">
        <v>141</v>
      </c>
      <c r="G216" s="31" t="s">
        <v>141</v>
      </c>
      <c r="H216" s="30" t="s">
        <v>2214</v>
      </c>
      <c r="I216" s="31" t="s">
        <v>314</v>
      </c>
      <c r="J216" s="30" t="s">
        <v>2019</v>
      </c>
      <c r="K216" s="30"/>
    </row>
    <row r="217" customFormat="false" ht="15" hidden="false" customHeight="false" outlineLevel="0" collapsed="false">
      <c r="A217" s="30" t="s">
        <v>2208</v>
      </c>
      <c r="B217" s="30" t="s">
        <v>2030</v>
      </c>
      <c r="C217" s="30" t="s">
        <v>2020</v>
      </c>
      <c r="D217" s="30" t="s">
        <v>2215</v>
      </c>
      <c r="E217" s="31" t="s">
        <v>58</v>
      </c>
      <c r="F217" s="30" t="s">
        <v>149</v>
      </c>
      <c r="G217" s="31" t="s">
        <v>149</v>
      </c>
      <c r="H217" s="30" t="s">
        <v>308</v>
      </c>
      <c r="I217" s="31" t="s">
        <v>308</v>
      </c>
      <c r="J217" s="30" t="s">
        <v>2019</v>
      </c>
      <c r="K217" s="30"/>
    </row>
    <row r="218" customFormat="false" ht="15" hidden="false" customHeight="false" outlineLevel="0" collapsed="false">
      <c r="A218" s="30" t="s">
        <v>2208</v>
      </c>
      <c r="B218" s="30" t="s">
        <v>2035</v>
      </c>
      <c r="C218" s="30" t="s">
        <v>2016</v>
      </c>
      <c r="D218" s="30" t="s">
        <v>2216</v>
      </c>
      <c r="E218" s="31" t="s">
        <v>85</v>
      </c>
      <c r="F218" s="30" t="s">
        <v>173</v>
      </c>
      <c r="G218" s="31" t="s">
        <v>173</v>
      </c>
      <c r="H218" s="30" t="s">
        <v>320</v>
      </c>
      <c r="I218" s="31" t="s">
        <v>320</v>
      </c>
      <c r="J218" s="30" t="s">
        <v>2019</v>
      </c>
      <c r="K218" s="30"/>
    </row>
    <row r="219" customFormat="false" ht="15" hidden="false" customHeight="false" outlineLevel="0" collapsed="false">
      <c r="A219" s="30" t="s">
        <v>2208</v>
      </c>
      <c r="B219" s="30" t="s">
        <v>2035</v>
      </c>
      <c r="C219" s="30" t="s">
        <v>2020</v>
      </c>
      <c r="D219" s="30" t="s">
        <v>35</v>
      </c>
      <c r="E219" s="31" t="s">
        <v>35</v>
      </c>
      <c r="F219" s="30" t="s">
        <v>2217</v>
      </c>
      <c r="G219" s="31" t="s">
        <v>228</v>
      </c>
      <c r="H219" s="30" t="s">
        <v>327</v>
      </c>
      <c r="I219" s="31" t="s">
        <v>327</v>
      </c>
      <c r="J219" s="30" t="s">
        <v>2019</v>
      </c>
      <c r="K219" s="30"/>
    </row>
    <row r="220" customFormat="false" ht="15" hidden="false" customHeight="false" outlineLevel="0" collapsed="false">
      <c r="A220" s="30" t="s">
        <v>2208</v>
      </c>
      <c r="B220" s="30" t="s">
        <v>2039</v>
      </c>
      <c r="C220" s="30" t="s">
        <v>2016</v>
      </c>
      <c r="D220" s="30" t="s">
        <v>76</v>
      </c>
      <c r="E220" s="31" t="s">
        <v>76</v>
      </c>
      <c r="F220" s="30" t="s">
        <v>2218</v>
      </c>
      <c r="G220" s="31" t="s">
        <v>180</v>
      </c>
      <c r="H220" s="30"/>
      <c r="I220" s="30"/>
      <c r="J220" s="30" t="s">
        <v>2019</v>
      </c>
      <c r="K220" s="30"/>
    </row>
    <row r="221" customFormat="false" ht="15" hidden="false" customHeight="false" outlineLevel="0" collapsed="false">
      <c r="A221" s="30" t="s">
        <v>2208</v>
      </c>
      <c r="B221" s="30" t="s">
        <v>2039</v>
      </c>
      <c r="C221" s="30" t="s">
        <v>2020</v>
      </c>
      <c r="D221" s="30" t="s">
        <v>9</v>
      </c>
      <c r="E221" s="31" t="s">
        <v>9</v>
      </c>
      <c r="F221" s="30" t="s">
        <v>2219</v>
      </c>
      <c r="G221" s="31" t="s">
        <v>125</v>
      </c>
      <c r="H221" s="30"/>
      <c r="I221" s="30"/>
      <c r="J221" s="30" t="s">
        <v>2019</v>
      </c>
      <c r="K221" s="30"/>
    </row>
    <row r="222" customFormat="false" ht="15" hidden="false" customHeight="false" outlineLevel="0" collapsed="false">
      <c r="A222" s="30" t="s">
        <v>2208</v>
      </c>
      <c r="B222" s="30" t="s">
        <v>2045</v>
      </c>
      <c r="C222" s="30" t="s">
        <v>2016</v>
      </c>
      <c r="D222" s="30" t="s">
        <v>2220</v>
      </c>
      <c r="E222" s="31" t="s">
        <v>63</v>
      </c>
      <c r="F222" s="30" t="s">
        <v>177</v>
      </c>
      <c r="G222" s="31" t="s">
        <v>177</v>
      </c>
      <c r="H222" s="30" t="s">
        <v>2042</v>
      </c>
      <c r="I222" s="31" t="s">
        <v>306</v>
      </c>
      <c r="J222" s="30" t="s">
        <v>2019</v>
      </c>
      <c r="K222" s="30"/>
    </row>
    <row r="223" customFormat="false" ht="15" hidden="false" customHeight="false" outlineLevel="0" collapsed="false">
      <c r="A223" s="30" t="s">
        <v>2208</v>
      </c>
      <c r="B223" s="30" t="s">
        <v>2045</v>
      </c>
      <c r="C223" s="30" t="s">
        <v>2020</v>
      </c>
      <c r="D223" s="30" t="s">
        <v>2221</v>
      </c>
      <c r="E223" s="31" t="s">
        <v>40</v>
      </c>
      <c r="F223" s="30"/>
      <c r="G223" s="30"/>
      <c r="H223" s="30" t="s">
        <v>2222</v>
      </c>
      <c r="I223" s="31" t="s">
        <v>161</v>
      </c>
      <c r="J223" s="30" t="s">
        <v>2019</v>
      </c>
      <c r="K223" s="30"/>
    </row>
    <row r="224" customFormat="false" ht="15" hidden="false" customHeight="false" outlineLevel="0" collapsed="false">
      <c r="A224" s="30" t="s">
        <v>2208</v>
      </c>
      <c r="B224" s="30" t="s">
        <v>2050</v>
      </c>
      <c r="C224" s="30" t="s">
        <v>2016</v>
      </c>
      <c r="D224" s="30" t="s">
        <v>2223</v>
      </c>
      <c r="E224" s="31" t="s">
        <v>55</v>
      </c>
      <c r="F224" s="30" t="s">
        <v>145</v>
      </c>
      <c r="G224" s="31" t="s">
        <v>145</v>
      </c>
      <c r="H224" s="30" t="s">
        <v>2224</v>
      </c>
      <c r="I224" s="31" t="s">
        <v>374</v>
      </c>
      <c r="J224" s="30" t="s">
        <v>384</v>
      </c>
      <c r="K224" s="30"/>
    </row>
    <row r="225" customFormat="false" ht="15" hidden="false" customHeight="false" outlineLevel="0" collapsed="false">
      <c r="A225" s="30" t="s">
        <v>2208</v>
      </c>
      <c r="B225" s="30" t="s">
        <v>2050</v>
      </c>
      <c r="C225" s="30" t="s">
        <v>2020</v>
      </c>
      <c r="D225" s="30" t="s">
        <v>38</v>
      </c>
      <c r="E225" s="31" t="s">
        <v>38</v>
      </c>
      <c r="F225" s="30" t="s">
        <v>2225</v>
      </c>
      <c r="G225" s="31" t="s">
        <v>230</v>
      </c>
      <c r="H225" s="30"/>
      <c r="I225" s="30"/>
      <c r="J225" s="30" t="s">
        <v>2019</v>
      </c>
      <c r="K225" s="30"/>
    </row>
    <row r="226" customFormat="false" ht="15" hidden="false" customHeight="false" outlineLevel="0" collapsed="false">
      <c r="A226" s="30" t="s">
        <v>2226</v>
      </c>
      <c r="B226" s="30" t="s">
        <v>2015</v>
      </c>
      <c r="C226" s="30" t="s">
        <v>2016</v>
      </c>
      <c r="D226" s="30" t="s">
        <v>16</v>
      </c>
      <c r="E226" s="31" t="s">
        <v>16</v>
      </c>
      <c r="F226" s="30" t="s">
        <v>141</v>
      </c>
      <c r="G226" s="31" t="s">
        <v>141</v>
      </c>
      <c r="H226" s="30" t="s">
        <v>2227</v>
      </c>
      <c r="I226" s="31" t="s">
        <v>327</v>
      </c>
      <c r="J226" s="30" t="s">
        <v>2019</v>
      </c>
      <c r="K226" s="30"/>
    </row>
    <row r="227" customFormat="false" ht="15" hidden="false" customHeight="false" outlineLevel="0" collapsed="false">
      <c r="A227" s="30" t="s">
        <v>2226</v>
      </c>
      <c r="B227" s="30" t="s">
        <v>2015</v>
      </c>
      <c r="C227" s="30" t="s">
        <v>2020</v>
      </c>
      <c r="D227" s="30" t="s">
        <v>2228</v>
      </c>
      <c r="E227" s="31" t="s">
        <v>64</v>
      </c>
      <c r="F227" s="30" t="s">
        <v>129</v>
      </c>
      <c r="G227" s="31" t="s">
        <v>129</v>
      </c>
      <c r="H227" s="30" t="s">
        <v>2229</v>
      </c>
      <c r="I227" s="31" t="s">
        <v>342</v>
      </c>
      <c r="J227" s="30" t="s">
        <v>2019</v>
      </c>
      <c r="K227" s="30"/>
    </row>
    <row r="228" customFormat="false" ht="15" hidden="false" customHeight="false" outlineLevel="0" collapsed="false">
      <c r="A228" s="30" t="s">
        <v>2226</v>
      </c>
      <c r="B228" s="30" t="s">
        <v>2024</v>
      </c>
      <c r="C228" s="30" t="s">
        <v>2016</v>
      </c>
      <c r="D228" s="30" t="s">
        <v>2051</v>
      </c>
      <c r="E228" s="31" t="s">
        <v>9</v>
      </c>
      <c r="F228" s="30" t="s">
        <v>274</v>
      </c>
      <c r="G228" s="31" t="s">
        <v>274</v>
      </c>
      <c r="H228" s="30"/>
      <c r="I228" s="30"/>
      <c r="J228" s="30" t="s">
        <v>384</v>
      </c>
      <c r="K228" s="30"/>
    </row>
    <row r="229" customFormat="false" ht="15" hidden="false" customHeight="false" outlineLevel="0" collapsed="false">
      <c r="A229" s="30" t="s">
        <v>2226</v>
      </c>
      <c r="B229" s="30" t="s">
        <v>2024</v>
      </c>
      <c r="C229" s="30" t="s">
        <v>2020</v>
      </c>
      <c r="D229" s="30" t="s">
        <v>17</v>
      </c>
      <c r="E229" s="31" t="s">
        <v>17</v>
      </c>
      <c r="F229" s="30" t="s">
        <v>2230</v>
      </c>
      <c r="G229" s="31" t="s">
        <v>128</v>
      </c>
      <c r="H229" s="30"/>
      <c r="I229" s="30"/>
      <c r="J229" s="30" t="s">
        <v>2019</v>
      </c>
      <c r="K229" s="30"/>
    </row>
    <row r="230" customFormat="false" ht="15" hidden="false" customHeight="false" outlineLevel="0" collapsed="false">
      <c r="A230" s="30" t="s">
        <v>2226</v>
      </c>
      <c r="B230" s="30" t="s">
        <v>2030</v>
      </c>
      <c r="C230" s="30" t="s">
        <v>2016</v>
      </c>
      <c r="D230" s="30" t="s">
        <v>2231</v>
      </c>
      <c r="E230" s="31" t="s">
        <v>68</v>
      </c>
      <c r="F230" s="30" t="s">
        <v>175</v>
      </c>
      <c r="G230" s="31" t="s">
        <v>175</v>
      </c>
      <c r="H230" s="30" t="s">
        <v>2232</v>
      </c>
      <c r="I230" s="31" t="s">
        <v>362</v>
      </c>
      <c r="J230" s="30" t="s">
        <v>2019</v>
      </c>
      <c r="K230" s="30"/>
    </row>
    <row r="231" customFormat="false" ht="15" hidden="false" customHeight="false" outlineLevel="0" collapsed="false">
      <c r="A231" s="30" t="s">
        <v>2226</v>
      </c>
      <c r="B231" s="30" t="s">
        <v>2030</v>
      </c>
      <c r="C231" s="30" t="s">
        <v>2020</v>
      </c>
      <c r="D231" s="30" t="s">
        <v>2233</v>
      </c>
      <c r="E231" s="31" t="s">
        <v>45</v>
      </c>
      <c r="F231" s="30" t="s">
        <v>2234</v>
      </c>
      <c r="G231" s="31" t="s">
        <v>148</v>
      </c>
      <c r="H231" s="30" t="s">
        <v>2235</v>
      </c>
      <c r="I231" s="31" t="s">
        <v>35</v>
      </c>
      <c r="J231" s="30" t="s">
        <v>2019</v>
      </c>
      <c r="K231" s="30"/>
    </row>
    <row r="232" customFormat="false" ht="15" hidden="false" customHeight="false" outlineLevel="0" collapsed="false">
      <c r="A232" s="30" t="s">
        <v>2226</v>
      </c>
      <c r="B232" s="30" t="s">
        <v>2035</v>
      </c>
      <c r="C232" s="30" t="s">
        <v>2016</v>
      </c>
      <c r="D232" s="30" t="s">
        <v>2084</v>
      </c>
      <c r="E232" s="31" t="s">
        <v>34</v>
      </c>
      <c r="F232" s="30" t="s">
        <v>163</v>
      </c>
      <c r="G232" s="31" t="s">
        <v>163</v>
      </c>
      <c r="H232" s="30" t="s">
        <v>2042</v>
      </c>
      <c r="I232" s="31" t="s">
        <v>306</v>
      </c>
      <c r="J232" s="30" t="s">
        <v>2019</v>
      </c>
      <c r="K232" s="30"/>
    </row>
    <row r="233" customFormat="false" ht="15" hidden="false" customHeight="false" outlineLevel="0" collapsed="false">
      <c r="A233" s="30" t="s">
        <v>2226</v>
      </c>
      <c r="B233" s="30" t="s">
        <v>2035</v>
      </c>
      <c r="C233" s="30" t="s">
        <v>2020</v>
      </c>
      <c r="D233" s="30" t="s">
        <v>2236</v>
      </c>
      <c r="E233" s="31" t="s">
        <v>89</v>
      </c>
      <c r="F233" s="30" t="s">
        <v>2237</v>
      </c>
      <c r="G233" s="31" t="s">
        <v>195</v>
      </c>
      <c r="H233" s="30" t="s">
        <v>2238</v>
      </c>
      <c r="I233" s="31" t="s">
        <v>369</v>
      </c>
      <c r="J233" s="30" t="s">
        <v>2019</v>
      </c>
      <c r="K233" s="30"/>
    </row>
    <row r="234" customFormat="false" ht="15" hidden="false" customHeight="false" outlineLevel="0" collapsed="false">
      <c r="A234" s="30" t="s">
        <v>2226</v>
      </c>
      <c r="B234" s="30" t="s">
        <v>2039</v>
      </c>
      <c r="C234" s="30" t="s">
        <v>2016</v>
      </c>
      <c r="D234" s="30" t="s">
        <v>28</v>
      </c>
      <c r="E234" s="31" t="s">
        <v>28</v>
      </c>
      <c r="F234" s="30" t="s">
        <v>204</v>
      </c>
      <c r="G234" s="31" t="s">
        <v>204</v>
      </c>
      <c r="H234" s="30" t="s">
        <v>2239</v>
      </c>
      <c r="I234" s="31" t="s">
        <v>357</v>
      </c>
      <c r="J234" s="30" t="s">
        <v>2019</v>
      </c>
      <c r="K234" s="30"/>
    </row>
    <row r="235" customFormat="false" ht="15" hidden="false" customHeight="false" outlineLevel="0" collapsed="false">
      <c r="A235" s="30" t="s">
        <v>2226</v>
      </c>
      <c r="B235" s="30" t="s">
        <v>2039</v>
      </c>
      <c r="C235" s="30" t="s">
        <v>2020</v>
      </c>
      <c r="D235" s="30" t="s">
        <v>79</v>
      </c>
      <c r="E235" s="31" t="s">
        <v>79</v>
      </c>
      <c r="F235" s="30" t="s">
        <v>2240</v>
      </c>
      <c r="G235" s="31" t="s">
        <v>219</v>
      </c>
      <c r="H235" s="30" t="s">
        <v>308</v>
      </c>
      <c r="I235" s="31" t="s">
        <v>308</v>
      </c>
      <c r="J235" s="30" t="s">
        <v>2019</v>
      </c>
      <c r="K235" s="30"/>
    </row>
    <row r="236" customFormat="false" ht="15" hidden="false" customHeight="false" outlineLevel="0" collapsed="false">
      <c r="A236" s="30" t="s">
        <v>2226</v>
      </c>
      <c r="B236" s="30" t="s">
        <v>2045</v>
      </c>
      <c r="C236" s="30" t="s">
        <v>2016</v>
      </c>
      <c r="D236" s="30" t="s">
        <v>2241</v>
      </c>
      <c r="E236" s="31" t="s">
        <v>26</v>
      </c>
      <c r="F236" s="30" t="s">
        <v>130</v>
      </c>
      <c r="G236" s="31" t="s">
        <v>130</v>
      </c>
      <c r="H236" s="30" t="s">
        <v>2242</v>
      </c>
      <c r="I236" s="31" t="s">
        <v>344</v>
      </c>
      <c r="J236" s="30" t="s">
        <v>2019</v>
      </c>
      <c r="K236" s="30"/>
    </row>
    <row r="237" customFormat="false" ht="15" hidden="false" customHeight="false" outlineLevel="0" collapsed="false">
      <c r="A237" s="30" t="s">
        <v>2226</v>
      </c>
      <c r="B237" s="30" t="s">
        <v>2045</v>
      </c>
      <c r="C237" s="30" t="s">
        <v>2020</v>
      </c>
      <c r="D237" s="30" t="s">
        <v>2223</v>
      </c>
      <c r="E237" s="31" t="s">
        <v>55</v>
      </c>
      <c r="F237" s="30" t="s">
        <v>2243</v>
      </c>
      <c r="G237" s="31" t="s">
        <v>258</v>
      </c>
      <c r="H237" s="30"/>
      <c r="I237" s="30"/>
      <c r="J237" s="30" t="s">
        <v>2019</v>
      </c>
      <c r="K237" s="30"/>
    </row>
    <row r="238" customFormat="false" ht="15" hidden="false" customHeight="false" outlineLevel="0" collapsed="false">
      <c r="A238" s="30" t="s">
        <v>2226</v>
      </c>
      <c r="B238" s="30" t="s">
        <v>2050</v>
      </c>
      <c r="C238" s="30" t="s">
        <v>2016</v>
      </c>
      <c r="D238" s="30" t="s">
        <v>47</v>
      </c>
      <c r="E238" s="31" t="s">
        <v>47</v>
      </c>
      <c r="F238" s="30" t="s">
        <v>2244</v>
      </c>
      <c r="G238" s="31" t="s">
        <v>237</v>
      </c>
      <c r="H238" s="30" t="s">
        <v>2245</v>
      </c>
      <c r="I238" s="31" t="s">
        <v>334</v>
      </c>
      <c r="J238" s="30" t="s">
        <v>384</v>
      </c>
      <c r="K238" s="30"/>
    </row>
    <row r="239" customFormat="false" ht="15" hidden="false" customHeight="false" outlineLevel="0" collapsed="false">
      <c r="A239" s="30" t="s">
        <v>2226</v>
      </c>
      <c r="B239" s="30" t="s">
        <v>2050</v>
      </c>
      <c r="C239" s="30" t="s">
        <v>2020</v>
      </c>
      <c r="D239" s="30" t="s">
        <v>2246</v>
      </c>
      <c r="E239" s="31" t="s">
        <v>95</v>
      </c>
      <c r="F239" s="30" t="s">
        <v>2247</v>
      </c>
      <c r="G239" s="31" t="s">
        <v>275</v>
      </c>
      <c r="H239" s="30"/>
      <c r="I239" s="30"/>
      <c r="J239" s="30" t="s">
        <v>2019</v>
      </c>
      <c r="K239" s="30"/>
    </row>
    <row r="240" customFormat="false" ht="15" hidden="false" customHeight="false" outlineLevel="0" collapsed="false">
      <c r="A240" s="30" t="s">
        <v>2248</v>
      </c>
      <c r="B240" s="30" t="s">
        <v>2015</v>
      </c>
      <c r="C240" s="30" t="s">
        <v>2016</v>
      </c>
      <c r="D240" s="30" t="s">
        <v>22</v>
      </c>
      <c r="E240" s="31" t="s">
        <v>22</v>
      </c>
      <c r="F240" s="30" t="s">
        <v>2249</v>
      </c>
      <c r="G240" s="31" t="s">
        <v>187</v>
      </c>
      <c r="H240" s="30" t="s">
        <v>2250</v>
      </c>
      <c r="I240" s="31" t="s">
        <v>319</v>
      </c>
      <c r="J240" s="30" t="s">
        <v>2019</v>
      </c>
      <c r="K240" s="30"/>
    </row>
    <row r="241" customFormat="false" ht="15" hidden="false" customHeight="false" outlineLevel="0" collapsed="false">
      <c r="A241" s="30" t="s">
        <v>2248</v>
      </c>
      <c r="B241" s="30" t="s">
        <v>2015</v>
      </c>
      <c r="C241" s="30" t="s">
        <v>2020</v>
      </c>
      <c r="D241" s="30" t="s">
        <v>2251</v>
      </c>
      <c r="E241" s="31" t="s">
        <v>42</v>
      </c>
      <c r="F241" s="30" t="s">
        <v>2234</v>
      </c>
      <c r="G241" s="31" t="s">
        <v>148</v>
      </c>
      <c r="H241" s="30" t="s">
        <v>2235</v>
      </c>
      <c r="I241" s="31" t="s">
        <v>35</v>
      </c>
      <c r="J241" s="30" t="s">
        <v>2019</v>
      </c>
      <c r="K241" s="30"/>
    </row>
    <row r="242" customFormat="false" ht="15" hidden="false" customHeight="false" outlineLevel="0" collapsed="false">
      <c r="A242" s="30" t="s">
        <v>2248</v>
      </c>
      <c r="B242" s="30" t="s">
        <v>2024</v>
      </c>
      <c r="C242" s="30" t="s">
        <v>2016</v>
      </c>
      <c r="D242" s="30" t="s">
        <v>9</v>
      </c>
      <c r="E242" s="31" t="s">
        <v>9</v>
      </c>
      <c r="F242" s="30" t="s">
        <v>225</v>
      </c>
      <c r="G242" s="31" t="s">
        <v>225</v>
      </c>
      <c r="H242" s="30" t="s">
        <v>2252</v>
      </c>
      <c r="I242" s="31" t="s">
        <v>338</v>
      </c>
      <c r="J242" s="30" t="s">
        <v>384</v>
      </c>
      <c r="K242" s="30"/>
    </row>
    <row r="243" customFormat="false" ht="15" hidden="false" customHeight="false" outlineLevel="0" collapsed="false">
      <c r="A243" s="30" t="s">
        <v>2248</v>
      </c>
      <c r="B243" s="30" t="s">
        <v>2024</v>
      </c>
      <c r="C243" s="30" t="s">
        <v>2020</v>
      </c>
      <c r="D243" s="30" t="s">
        <v>1791</v>
      </c>
      <c r="E243" s="31" t="s">
        <v>32</v>
      </c>
      <c r="F243" s="30" t="s">
        <v>129</v>
      </c>
      <c r="G243" s="31" t="s">
        <v>129</v>
      </c>
      <c r="H243" s="30" t="s">
        <v>2214</v>
      </c>
      <c r="I243" s="31" t="s">
        <v>314</v>
      </c>
      <c r="J243" s="30" t="s">
        <v>2019</v>
      </c>
      <c r="K243" s="30"/>
    </row>
    <row r="244" customFormat="false" ht="15" hidden="false" customHeight="false" outlineLevel="0" collapsed="false">
      <c r="A244" s="30" t="s">
        <v>2248</v>
      </c>
      <c r="B244" s="30" t="s">
        <v>2030</v>
      </c>
      <c r="C244" s="30" t="s">
        <v>2016</v>
      </c>
      <c r="D244" s="30" t="s">
        <v>2221</v>
      </c>
      <c r="E244" s="31" t="s">
        <v>40</v>
      </c>
      <c r="F244" s="30" t="s">
        <v>121</v>
      </c>
      <c r="G244" s="31" t="s">
        <v>121</v>
      </c>
      <c r="H244" s="30" t="s">
        <v>2232</v>
      </c>
      <c r="I244" s="31" t="s">
        <v>362</v>
      </c>
      <c r="J244" s="30" t="s">
        <v>2019</v>
      </c>
      <c r="K244" s="30"/>
    </row>
    <row r="245" customFormat="false" ht="15" hidden="false" customHeight="false" outlineLevel="0" collapsed="false">
      <c r="A245" s="30" t="s">
        <v>2248</v>
      </c>
      <c r="B245" s="30" t="s">
        <v>2030</v>
      </c>
      <c r="C245" s="30" t="s">
        <v>2020</v>
      </c>
      <c r="D245" s="30" t="s">
        <v>2253</v>
      </c>
      <c r="E245" s="31" t="s">
        <v>99</v>
      </c>
      <c r="F245" s="30" t="s">
        <v>2254</v>
      </c>
      <c r="G245" s="31" t="s">
        <v>217</v>
      </c>
      <c r="H245" s="30" t="s">
        <v>2213</v>
      </c>
      <c r="I245" s="31" t="s">
        <v>344</v>
      </c>
      <c r="J245" s="30" t="s">
        <v>2019</v>
      </c>
      <c r="K245" s="30"/>
    </row>
    <row r="246" customFormat="false" ht="15" hidden="false" customHeight="false" outlineLevel="0" collapsed="false">
      <c r="A246" s="30" t="s">
        <v>2248</v>
      </c>
      <c r="B246" s="30" t="s">
        <v>2035</v>
      </c>
      <c r="C246" s="30" t="s">
        <v>2016</v>
      </c>
      <c r="D246" s="30" t="s">
        <v>2215</v>
      </c>
      <c r="E246" s="31" t="s">
        <v>58</v>
      </c>
      <c r="F246" s="30" t="s">
        <v>2255</v>
      </c>
      <c r="G246" s="31" t="s">
        <v>298</v>
      </c>
      <c r="H246" s="30" t="s">
        <v>2202</v>
      </c>
      <c r="I246" s="31" t="s">
        <v>322</v>
      </c>
      <c r="J246" s="30" t="s">
        <v>2019</v>
      </c>
      <c r="K246" s="30"/>
    </row>
    <row r="247" customFormat="false" ht="15" hidden="false" customHeight="false" outlineLevel="0" collapsed="false">
      <c r="A247" s="30" t="s">
        <v>2248</v>
      </c>
      <c r="B247" s="30" t="s">
        <v>2035</v>
      </c>
      <c r="C247" s="30" t="s">
        <v>2020</v>
      </c>
      <c r="D247" s="30" t="s">
        <v>2256</v>
      </c>
      <c r="E247" s="31" t="s">
        <v>114</v>
      </c>
      <c r="F247" s="30" t="s">
        <v>2257</v>
      </c>
      <c r="G247" s="31" t="s">
        <v>301</v>
      </c>
      <c r="H247" s="30"/>
      <c r="I247" s="30"/>
      <c r="J247" s="30" t="s">
        <v>2019</v>
      </c>
      <c r="K247" s="30"/>
    </row>
    <row r="248" customFormat="false" ht="15" hidden="false" customHeight="false" outlineLevel="0" collapsed="false">
      <c r="A248" s="30" t="s">
        <v>2248</v>
      </c>
      <c r="B248" s="30" t="s">
        <v>2039</v>
      </c>
      <c r="C248" s="30" t="s">
        <v>2016</v>
      </c>
      <c r="D248" s="30" t="s">
        <v>76</v>
      </c>
      <c r="E248" s="31" t="s">
        <v>76</v>
      </c>
      <c r="F248" s="30" t="s">
        <v>2258</v>
      </c>
      <c r="G248" s="31" t="s">
        <v>158</v>
      </c>
      <c r="H248" s="30" t="s">
        <v>2259</v>
      </c>
      <c r="I248" s="31" t="s">
        <v>306</v>
      </c>
      <c r="J248" s="30" t="s">
        <v>384</v>
      </c>
      <c r="K248" s="30"/>
    </row>
    <row r="249" customFormat="false" ht="15" hidden="false" customHeight="false" outlineLevel="0" collapsed="false">
      <c r="A249" s="30" t="s">
        <v>2248</v>
      </c>
      <c r="B249" s="30" t="s">
        <v>2039</v>
      </c>
      <c r="C249" s="30" t="s">
        <v>2020</v>
      </c>
      <c r="D249" s="30" t="s">
        <v>28</v>
      </c>
      <c r="E249" s="31" t="s">
        <v>28</v>
      </c>
      <c r="F249" s="30" t="s">
        <v>2260</v>
      </c>
      <c r="G249" s="31" t="s">
        <v>233</v>
      </c>
      <c r="H249" s="30" t="s">
        <v>309</v>
      </c>
      <c r="I249" s="31" t="s">
        <v>64</v>
      </c>
      <c r="J249" s="30" t="s">
        <v>2019</v>
      </c>
      <c r="K249" s="30"/>
    </row>
    <row r="250" customFormat="false" ht="15" hidden="false" customHeight="false" outlineLevel="0" collapsed="false">
      <c r="A250" s="30" t="s">
        <v>2248</v>
      </c>
      <c r="B250" s="30" t="s">
        <v>2045</v>
      </c>
      <c r="C250" s="30" t="s">
        <v>2016</v>
      </c>
      <c r="D250" s="30" t="s">
        <v>2261</v>
      </c>
      <c r="E250" s="31" t="s">
        <v>51</v>
      </c>
      <c r="F250" s="30" t="s">
        <v>145</v>
      </c>
      <c r="G250" s="31" t="s">
        <v>145</v>
      </c>
      <c r="H250" s="30" t="s">
        <v>2227</v>
      </c>
      <c r="I250" s="31" t="s">
        <v>327</v>
      </c>
      <c r="J250" s="30" t="s">
        <v>2019</v>
      </c>
      <c r="K250" s="30"/>
    </row>
    <row r="251" customFormat="false" ht="15" hidden="false" customHeight="false" outlineLevel="0" collapsed="false">
      <c r="A251" s="30" t="s">
        <v>2248</v>
      </c>
      <c r="B251" s="30" t="s">
        <v>2045</v>
      </c>
      <c r="C251" s="30" t="s">
        <v>2020</v>
      </c>
      <c r="D251" s="30" t="s">
        <v>9</v>
      </c>
      <c r="E251" s="31" t="s">
        <v>9</v>
      </c>
      <c r="F251" s="30" t="s">
        <v>2225</v>
      </c>
      <c r="G251" s="31" t="s">
        <v>230</v>
      </c>
      <c r="H251" s="30"/>
      <c r="I251" s="30"/>
      <c r="J251" s="30" t="s">
        <v>2019</v>
      </c>
      <c r="K251" s="30"/>
    </row>
    <row r="252" customFormat="false" ht="15" hidden="false" customHeight="false" outlineLevel="0" collapsed="false">
      <c r="A252" s="30" t="s">
        <v>2248</v>
      </c>
      <c r="B252" s="30" t="s">
        <v>2050</v>
      </c>
      <c r="C252" s="30" t="s">
        <v>2016</v>
      </c>
      <c r="D252" s="30" t="s">
        <v>16</v>
      </c>
      <c r="E252" s="31" t="s">
        <v>16</v>
      </c>
      <c r="F252" s="30" t="s">
        <v>2151</v>
      </c>
      <c r="G252" s="31" t="s">
        <v>159</v>
      </c>
      <c r="H252" s="30" t="s">
        <v>2262</v>
      </c>
      <c r="I252" s="31" t="s">
        <v>374</v>
      </c>
      <c r="J252" s="30" t="s">
        <v>384</v>
      </c>
      <c r="K252" s="30"/>
    </row>
    <row r="253" customFormat="false" ht="15" hidden="false" customHeight="false" outlineLevel="0" collapsed="false">
      <c r="A253" s="30" t="s">
        <v>2248</v>
      </c>
      <c r="B253" s="30" t="s">
        <v>2050</v>
      </c>
      <c r="C253" s="30" t="s">
        <v>2020</v>
      </c>
      <c r="D253" s="30" t="s">
        <v>2263</v>
      </c>
      <c r="E253" s="31" t="s">
        <v>23</v>
      </c>
      <c r="F253" s="30" t="s">
        <v>2264</v>
      </c>
      <c r="G253" s="31" t="s">
        <v>186</v>
      </c>
      <c r="H253" s="30"/>
      <c r="I253" s="30"/>
      <c r="J253" s="30" t="s">
        <v>2019</v>
      </c>
      <c r="K253" s="30"/>
    </row>
    <row r="254" customFormat="false" ht="15" hidden="false" customHeight="false" outlineLevel="0" collapsed="false">
      <c r="A254" s="30" t="s">
        <v>2265</v>
      </c>
      <c r="B254" s="30" t="s">
        <v>2015</v>
      </c>
      <c r="C254" s="30" t="s">
        <v>2016</v>
      </c>
      <c r="D254" s="30" t="s">
        <v>97</v>
      </c>
      <c r="E254" s="31" t="s">
        <v>97</v>
      </c>
      <c r="F254" s="30" t="s">
        <v>133</v>
      </c>
      <c r="G254" s="31" t="s">
        <v>133</v>
      </c>
      <c r="H254" s="30" t="s">
        <v>2210</v>
      </c>
      <c r="I254" s="31" t="s">
        <v>310</v>
      </c>
      <c r="J254" s="30" t="s">
        <v>2019</v>
      </c>
      <c r="K254" s="30"/>
    </row>
    <row r="255" customFormat="false" ht="15" hidden="false" customHeight="false" outlineLevel="0" collapsed="false">
      <c r="A255" s="30" t="s">
        <v>2265</v>
      </c>
      <c r="B255" s="30" t="s">
        <v>2015</v>
      </c>
      <c r="C255" s="30" t="s">
        <v>2020</v>
      </c>
      <c r="D255" s="30" t="s">
        <v>2031</v>
      </c>
      <c r="E255" s="31" t="s">
        <v>35</v>
      </c>
      <c r="F255" s="30" t="s">
        <v>276</v>
      </c>
      <c r="G255" s="31" t="s">
        <v>276</v>
      </c>
      <c r="H255" s="30"/>
      <c r="I255" s="30"/>
      <c r="J255" s="30" t="s">
        <v>2019</v>
      </c>
      <c r="K255" s="30"/>
    </row>
    <row r="256" customFormat="false" ht="15" hidden="false" customHeight="false" outlineLevel="0" collapsed="false">
      <c r="A256" s="30" t="s">
        <v>2265</v>
      </c>
      <c r="B256" s="30" t="s">
        <v>2024</v>
      </c>
      <c r="C256" s="30" t="s">
        <v>2016</v>
      </c>
      <c r="D256" s="30" t="s">
        <v>52</v>
      </c>
      <c r="E256" s="31" t="s">
        <v>52</v>
      </c>
      <c r="F256" s="30" t="s">
        <v>2266</v>
      </c>
      <c r="G256" s="31" t="s">
        <v>277</v>
      </c>
      <c r="H256" s="30" t="s">
        <v>2267</v>
      </c>
      <c r="I256" s="31" t="s">
        <v>368</v>
      </c>
      <c r="J256" s="30" t="s">
        <v>384</v>
      </c>
      <c r="K256" s="30"/>
    </row>
    <row r="257" customFormat="false" ht="15" hidden="false" customHeight="false" outlineLevel="0" collapsed="false">
      <c r="A257" s="30" t="s">
        <v>2265</v>
      </c>
      <c r="B257" s="30" t="s">
        <v>2024</v>
      </c>
      <c r="C257" s="30" t="s">
        <v>2020</v>
      </c>
      <c r="D257" s="30" t="s">
        <v>55</v>
      </c>
      <c r="E257" s="31" t="s">
        <v>55</v>
      </c>
      <c r="F257" s="30" t="s">
        <v>2268</v>
      </c>
      <c r="G257" s="31" t="s">
        <v>199</v>
      </c>
      <c r="H257" s="30"/>
      <c r="I257" s="30"/>
      <c r="J257" s="30" t="s">
        <v>2019</v>
      </c>
      <c r="K257" s="30"/>
    </row>
    <row r="258" customFormat="false" ht="15" hidden="false" customHeight="false" outlineLevel="0" collapsed="false">
      <c r="A258" s="30" t="s">
        <v>2265</v>
      </c>
      <c r="B258" s="30" t="s">
        <v>2030</v>
      </c>
      <c r="C258" s="30" t="s">
        <v>2016</v>
      </c>
      <c r="D258" s="30" t="s">
        <v>9</v>
      </c>
      <c r="E258" s="31" t="s">
        <v>9</v>
      </c>
      <c r="F258" s="30" t="s">
        <v>173</v>
      </c>
      <c r="G258" s="31" t="s">
        <v>173</v>
      </c>
      <c r="H258" s="30" t="s">
        <v>2269</v>
      </c>
      <c r="I258" s="31" t="s">
        <v>342</v>
      </c>
      <c r="J258" s="30" t="s">
        <v>2019</v>
      </c>
      <c r="K258" s="30"/>
    </row>
    <row r="259" customFormat="false" ht="15" hidden="false" customHeight="false" outlineLevel="0" collapsed="false">
      <c r="A259" s="30" t="s">
        <v>2265</v>
      </c>
      <c r="B259" s="30" t="s">
        <v>2030</v>
      </c>
      <c r="C259" s="30" t="s">
        <v>2020</v>
      </c>
      <c r="D259" s="30" t="s">
        <v>2270</v>
      </c>
      <c r="E259" s="31" t="s">
        <v>79</v>
      </c>
      <c r="F259" s="30" t="s">
        <v>2271</v>
      </c>
      <c r="G259" s="31" t="s">
        <v>157</v>
      </c>
      <c r="H259" s="30" t="s">
        <v>309</v>
      </c>
      <c r="I259" s="31" t="s">
        <v>64</v>
      </c>
      <c r="J259" s="30" t="s">
        <v>2019</v>
      </c>
      <c r="K259" s="30"/>
    </row>
    <row r="260" customFormat="false" ht="15" hidden="false" customHeight="false" outlineLevel="0" collapsed="false">
      <c r="A260" s="30" t="s">
        <v>2265</v>
      </c>
      <c r="B260" s="30" t="s">
        <v>2035</v>
      </c>
      <c r="C260" s="30" t="s">
        <v>2016</v>
      </c>
      <c r="D260" s="30" t="s">
        <v>2084</v>
      </c>
      <c r="E260" s="31" t="s">
        <v>34</v>
      </c>
      <c r="F260" s="30" t="s">
        <v>279</v>
      </c>
      <c r="G260" s="31" t="s">
        <v>279</v>
      </c>
      <c r="H260" s="30" t="s">
        <v>2259</v>
      </c>
      <c r="I260" s="31" t="s">
        <v>306</v>
      </c>
      <c r="J260" s="30" t="s">
        <v>2019</v>
      </c>
      <c r="K260" s="30"/>
    </row>
    <row r="261" customFormat="false" ht="15" hidden="false" customHeight="false" outlineLevel="0" collapsed="false">
      <c r="A261" s="30" t="s">
        <v>2265</v>
      </c>
      <c r="B261" s="30" t="s">
        <v>2035</v>
      </c>
      <c r="C261" s="30" t="s">
        <v>2020</v>
      </c>
      <c r="D261" s="30" t="s">
        <v>73</v>
      </c>
      <c r="E261" s="31" t="s">
        <v>73</v>
      </c>
      <c r="F261" s="30" t="s">
        <v>2272</v>
      </c>
      <c r="G261" s="31" t="s">
        <v>209</v>
      </c>
      <c r="H261" s="30"/>
      <c r="I261" s="30"/>
      <c r="J261" s="30" t="s">
        <v>2019</v>
      </c>
      <c r="K261" s="30"/>
    </row>
    <row r="262" customFormat="false" ht="15" hidden="false" customHeight="false" outlineLevel="0" collapsed="false">
      <c r="A262" s="30" t="s">
        <v>2265</v>
      </c>
      <c r="B262" s="30" t="s">
        <v>2039</v>
      </c>
      <c r="C262" s="30" t="s">
        <v>2016</v>
      </c>
      <c r="D262" s="30" t="s">
        <v>2273</v>
      </c>
      <c r="E262" s="31" t="s">
        <v>52</v>
      </c>
      <c r="F262" s="30" t="s">
        <v>2274</v>
      </c>
      <c r="G262" s="31" t="s">
        <v>158</v>
      </c>
      <c r="H262" s="30" t="s">
        <v>375</v>
      </c>
      <c r="I262" s="31" t="s">
        <v>375</v>
      </c>
      <c r="J262" s="30" t="s">
        <v>384</v>
      </c>
      <c r="K262" s="30"/>
    </row>
    <row r="263" customFormat="false" ht="15" hidden="false" customHeight="false" outlineLevel="0" collapsed="false">
      <c r="A263" s="30" t="s">
        <v>2265</v>
      </c>
      <c r="B263" s="30" t="s">
        <v>2039</v>
      </c>
      <c r="C263" s="30" t="s">
        <v>2020</v>
      </c>
      <c r="D263" s="30" t="s">
        <v>2275</v>
      </c>
      <c r="E263" s="31" t="s">
        <v>9</v>
      </c>
      <c r="F263" s="30" t="s">
        <v>90</v>
      </c>
      <c r="G263" s="31" t="s">
        <v>90</v>
      </c>
      <c r="H263" s="30"/>
      <c r="I263" s="30"/>
      <c r="J263" s="30" t="s">
        <v>2019</v>
      </c>
      <c r="K263" s="30"/>
    </row>
    <row r="264" customFormat="false" ht="15" hidden="false" customHeight="false" outlineLevel="0" collapsed="false">
      <c r="A264" s="30" t="s">
        <v>2265</v>
      </c>
      <c r="B264" s="30" t="s">
        <v>2045</v>
      </c>
      <c r="C264" s="30" t="s">
        <v>2016</v>
      </c>
      <c r="D264" s="30" t="s">
        <v>2215</v>
      </c>
      <c r="E264" s="31" t="s">
        <v>58</v>
      </c>
      <c r="F264" s="30" t="s">
        <v>2276</v>
      </c>
      <c r="G264" s="31" t="s">
        <v>231</v>
      </c>
      <c r="H264" s="30" t="s">
        <v>2202</v>
      </c>
      <c r="I264" s="31" t="s">
        <v>322</v>
      </c>
      <c r="J264" s="30" t="s">
        <v>2019</v>
      </c>
      <c r="K264" s="30"/>
    </row>
    <row r="265" customFormat="false" ht="15" hidden="false" customHeight="false" outlineLevel="0" collapsed="false">
      <c r="A265" s="30" t="s">
        <v>2265</v>
      </c>
      <c r="B265" s="30" t="s">
        <v>2045</v>
      </c>
      <c r="C265" s="30" t="s">
        <v>2020</v>
      </c>
      <c r="D265" s="30" t="s">
        <v>16</v>
      </c>
      <c r="E265" s="31" t="s">
        <v>16</v>
      </c>
      <c r="F265" s="30" t="s">
        <v>2277</v>
      </c>
      <c r="G265" s="31" t="s">
        <v>196</v>
      </c>
      <c r="H265" s="30" t="s">
        <v>2278</v>
      </c>
      <c r="I265" s="31" t="s">
        <v>368</v>
      </c>
      <c r="J265" s="30" t="s">
        <v>2019</v>
      </c>
      <c r="K265" s="30"/>
    </row>
    <row r="266" customFormat="false" ht="15" hidden="false" customHeight="false" outlineLevel="0" collapsed="false">
      <c r="A266" s="30" t="s">
        <v>2265</v>
      </c>
      <c r="B266" s="30" t="s">
        <v>2050</v>
      </c>
      <c r="C266" s="30" t="s">
        <v>2016</v>
      </c>
      <c r="D266" s="30" t="s">
        <v>2279</v>
      </c>
      <c r="E266" s="31" t="s">
        <v>80</v>
      </c>
      <c r="F266" s="30" t="s">
        <v>2280</v>
      </c>
      <c r="G266" s="31" t="s">
        <v>151</v>
      </c>
      <c r="H266" s="30"/>
      <c r="I266" s="30"/>
      <c r="J266" s="30" t="s">
        <v>384</v>
      </c>
      <c r="K266" s="30"/>
    </row>
    <row r="267" customFormat="false" ht="15" hidden="false" customHeight="false" outlineLevel="0" collapsed="false">
      <c r="A267" s="30" t="s">
        <v>2265</v>
      </c>
      <c r="B267" s="30" t="s">
        <v>2050</v>
      </c>
      <c r="C267" s="30" t="s">
        <v>2020</v>
      </c>
      <c r="D267" s="30" t="s">
        <v>9</v>
      </c>
      <c r="E267" s="31" t="s">
        <v>9</v>
      </c>
      <c r="F267" s="30" t="s">
        <v>2281</v>
      </c>
      <c r="G267" s="31" t="s">
        <v>247</v>
      </c>
      <c r="H267" s="30"/>
      <c r="I267" s="30"/>
      <c r="J267" s="30" t="s">
        <v>2019</v>
      </c>
      <c r="K267" s="30"/>
    </row>
    <row r="268" customFormat="false" ht="15" hidden="false" customHeight="false" outlineLevel="0" collapsed="false">
      <c r="A268" s="30" t="s">
        <v>2282</v>
      </c>
      <c r="B268" s="30" t="s">
        <v>2015</v>
      </c>
      <c r="C268" s="30" t="s">
        <v>2016</v>
      </c>
      <c r="D268" s="30" t="s">
        <v>2283</v>
      </c>
      <c r="E268" s="31" t="s">
        <v>48</v>
      </c>
      <c r="F268" s="30" t="s">
        <v>2284</v>
      </c>
      <c r="G268" s="31" t="s">
        <v>145</v>
      </c>
      <c r="H268" s="30" t="s">
        <v>2095</v>
      </c>
      <c r="I268" s="31" t="s">
        <v>309</v>
      </c>
      <c r="J268" s="30" t="s">
        <v>2285</v>
      </c>
      <c r="K268" s="30"/>
    </row>
    <row r="269" customFormat="false" ht="15" hidden="false" customHeight="false" outlineLevel="0" collapsed="false">
      <c r="A269" s="30" t="s">
        <v>2282</v>
      </c>
      <c r="B269" s="30" t="s">
        <v>2015</v>
      </c>
      <c r="C269" s="30" t="s">
        <v>2020</v>
      </c>
      <c r="D269" s="30"/>
      <c r="E269" s="30"/>
      <c r="F269" s="30" t="s">
        <v>2192</v>
      </c>
      <c r="G269" s="31" t="s">
        <v>55</v>
      </c>
      <c r="H269" s="30" t="s">
        <v>2286</v>
      </c>
      <c r="I269" s="31" t="s">
        <v>213</v>
      </c>
      <c r="J269" s="30" t="s">
        <v>2019</v>
      </c>
      <c r="K269" s="30"/>
    </row>
    <row r="270" customFormat="false" ht="15" hidden="false" customHeight="false" outlineLevel="0" collapsed="false">
      <c r="A270" s="30" t="s">
        <v>2282</v>
      </c>
      <c r="B270" s="30" t="s">
        <v>2024</v>
      </c>
      <c r="C270" s="30" t="s">
        <v>2016</v>
      </c>
      <c r="D270" s="30" t="s">
        <v>2102</v>
      </c>
      <c r="E270" s="31" t="s">
        <v>23</v>
      </c>
      <c r="F270" s="30" t="s">
        <v>2193</v>
      </c>
      <c r="G270" s="31" t="s">
        <v>253</v>
      </c>
      <c r="H270" s="30" t="s">
        <v>2042</v>
      </c>
      <c r="I270" s="31" t="s">
        <v>306</v>
      </c>
      <c r="J270" s="30" t="s">
        <v>2287</v>
      </c>
      <c r="K270" s="30"/>
    </row>
    <row r="271" customFormat="false" ht="15" hidden="false" customHeight="false" outlineLevel="0" collapsed="false">
      <c r="A271" s="30" t="s">
        <v>2282</v>
      </c>
      <c r="B271" s="30" t="s">
        <v>2024</v>
      </c>
      <c r="C271" s="30" t="s">
        <v>2020</v>
      </c>
      <c r="D271" s="30" t="s">
        <v>9</v>
      </c>
      <c r="E271" s="31" t="s">
        <v>9</v>
      </c>
      <c r="F271" s="30" t="s">
        <v>2194</v>
      </c>
      <c r="G271" s="31" t="s">
        <v>100</v>
      </c>
      <c r="H271" s="30"/>
      <c r="I271" s="30"/>
      <c r="J271" s="30" t="s">
        <v>2019</v>
      </c>
      <c r="K271" s="30"/>
    </row>
    <row r="272" customFormat="false" ht="15" hidden="false" customHeight="false" outlineLevel="0" collapsed="false">
      <c r="A272" s="30" t="s">
        <v>2282</v>
      </c>
      <c r="B272" s="30" t="s">
        <v>2030</v>
      </c>
      <c r="C272" s="30" t="s">
        <v>2016</v>
      </c>
      <c r="D272" s="30" t="s">
        <v>2195</v>
      </c>
      <c r="E272" s="31" t="s">
        <v>68</v>
      </c>
      <c r="F272" s="30" t="s">
        <v>121</v>
      </c>
      <c r="G272" s="31" t="s">
        <v>121</v>
      </c>
      <c r="H272" s="30" t="s">
        <v>2196</v>
      </c>
      <c r="I272" s="31" t="s">
        <v>374</v>
      </c>
      <c r="J272" s="30" t="s">
        <v>2019</v>
      </c>
      <c r="K272" s="30"/>
    </row>
    <row r="273" customFormat="false" ht="15" hidden="false" customHeight="false" outlineLevel="0" collapsed="false">
      <c r="A273" s="30" t="s">
        <v>2282</v>
      </c>
      <c r="B273" s="30" t="s">
        <v>2030</v>
      </c>
      <c r="C273" s="30" t="s">
        <v>2020</v>
      </c>
      <c r="D273" s="30" t="s">
        <v>2197</v>
      </c>
      <c r="E273" s="31" t="s">
        <v>372</v>
      </c>
      <c r="F273" s="30" t="s">
        <v>2198</v>
      </c>
      <c r="G273" s="31" t="s">
        <v>126</v>
      </c>
      <c r="H273" s="30" t="s">
        <v>2199</v>
      </c>
      <c r="I273" s="31" t="s">
        <v>340</v>
      </c>
      <c r="J273" s="30" t="s">
        <v>2019</v>
      </c>
      <c r="K273" s="30"/>
    </row>
    <row r="274" customFormat="false" ht="15" hidden="false" customHeight="false" outlineLevel="0" collapsed="false">
      <c r="A274" s="30" t="s">
        <v>2282</v>
      </c>
      <c r="B274" s="30" t="s">
        <v>2035</v>
      </c>
      <c r="C274" s="30" t="s">
        <v>2016</v>
      </c>
      <c r="D274" s="30" t="s">
        <v>2200</v>
      </c>
      <c r="E274" s="31" t="s">
        <v>45</v>
      </c>
      <c r="F274" s="30" t="s">
        <v>2201</v>
      </c>
      <c r="G274" s="31" t="s">
        <v>267</v>
      </c>
      <c r="H274" s="30" t="s">
        <v>2202</v>
      </c>
      <c r="I274" s="31" t="s">
        <v>322</v>
      </c>
      <c r="J274" s="30" t="s">
        <v>384</v>
      </c>
      <c r="K274" s="30"/>
    </row>
    <row r="275" customFormat="false" ht="15" hidden="false" customHeight="false" outlineLevel="0" collapsed="false">
      <c r="A275" s="30" t="s">
        <v>2282</v>
      </c>
      <c r="B275" s="30" t="s">
        <v>2035</v>
      </c>
      <c r="C275" s="30" t="s">
        <v>2020</v>
      </c>
      <c r="D275" s="30" t="s">
        <v>2112</v>
      </c>
      <c r="E275" s="31" t="s">
        <v>40</v>
      </c>
      <c r="F275" s="30" t="s">
        <v>2203</v>
      </c>
      <c r="G275" s="31" t="s">
        <v>269</v>
      </c>
      <c r="H275" s="30"/>
      <c r="I275" s="30"/>
      <c r="J275" s="30" t="s">
        <v>2019</v>
      </c>
      <c r="K275" s="30"/>
    </row>
    <row r="276" customFormat="false" ht="15" hidden="false" customHeight="false" outlineLevel="0" collapsed="false">
      <c r="A276" s="30" t="s">
        <v>2282</v>
      </c>
      <c r="B276" s="30" t="s">
        <v>2039</v>
      </c>
      <c r="C276" s="30" t="s">
        <v>2016</v>
      </c>
      <c r="D276" s="30" t="s">
        <v>16</v>
      </c>
      <c r="E276" s="31" t="s">
        <v>16</v>
      </c>
      <c r="F276" s="30" t="s">
        <v>2204</v>
      </c>
      <c r="G276" s="31" t="s">
        <v>137</v>
      </c>
      <c r="H276" s="30" t="s">
        <v>371</v>
      </c>
      <c r="I276" s="31" t="s">
        <v>371</v>
      </c>
      <c r="J276" s="30" t="s">
        <v>2019</v>
      </c>
      <c r="K276" s="30"/>
    </row>
    <row r="277" customFormat="false" ht="15" hidden="false" customHeight="false" outlineLevel="0" collapsed="false">
      <c r="A277" s="30" t="s">
        <v>2282</v>
      </c>
      <c r="B277" s="30" t="s">
        <v>2039</v>
      </c>
      <c r="C277" s="30" t="s">
        <v>2020</v>
      </c>
      <c r="D277" s="30" t="s">
        <v>9</v>
      </c>
      <c r="E277" s="31" t="s">
        <v>9</v>
      </c>
      <c r="F277" s="30" t="s">
        <v>2096</v>
      </c>
      <c r="G277" s="31" t="s">
        <v>93</v>
      </c>
      <c r="H277" s="30"/>
      <c r="I277" s="30"/>
      <c r="J277" s="30" t="s">
        <v>2019</v>
      </c>
      <c r="K277" s="30"/>
    </row>
    <row r="278" customFormat="false" ht="15" hidden="false" customHeight="false" outlineLevel="0" collapsed="false">
      <c r="A278" s="30" t="s">
        <v>2282</v>
      </c>
      <c r="B278" s="30" t="s">
        <v>2045</v>
      </c>
      <c r="C278" s="30" t="s">
        <v>2016</v>
      </c>
      <c r="D278" s="30" t="s">
        <v>2102</v>
      </c>
      <c r="E278" s="31" t="s">
        <v>23</v>
      </c>
      <c r="F278" s="30" t="s">
        <v>2151</v>
      </c>
      <c r="G278" s="31" t="s">
        <v>159</v>
      </c>
      <c r="H278" s="30" t="s">
        <v>2205</v>
      </c>
      <c r="I278" s="31" t="s">
        <v>325</v>
      </c>
      <c r="J278" s="30" t="s">
        <v>2019</v>
      </c>
      <c r="K278" s="30"/>
    </row>
    <row r="279" customFormat="false" ht="15" hidden="false" customHeight="false" outlineLevel="0" collapsed="false">
      <c r="A279" s="30" t="s">
        <v>2282</v>
      </c>
      <c r="B279" s="30" t="s">
        <v>2045</v>
      </c>
      <c r="C279" s="30" t="s">
        <v>2020</v>
      </c>
      <c r="D279" s="30" t="s">
        <v>17</v>
      </c>
      <c r="E279" s="31" t="s">
        <v>17</v>
      </c>
      <c r="F279" s="30" t="s">
        <v>176</v>
      </c>
      <c r="G279" s="31" t="s">
        <v>176</v>
      </c>
      <c r="H279" s="30"/>
      <c r="I279" s="30"/>
      <c r="J279" s="30" t="s">
        <v>2019</v>
      </c>
      <c r="K279" s="30"/>
    </row>
    <row r="280" customFormat="false" ht="15" hidden="false" customHeight="false" outlineLevel="0" collapsed="false">
      <c r="A280" s="30" t="s">
        <v>2282</v>
      </c>
      <c r="B280" s="30" t="s">
        <v>2050</v>
      </c>
      <c r="C280" s="30" t="s">
        <v>2016</v>
      </c>
      <c r="D280" s="30" t="s">
        <v>2206</v>
      </c>
      <c r="E280" s="31" t="s">
        <v>84</v>
      </c>
      <c r="F280" s="30" t="s">
        <v>2207</v>
      </c>
      <c r="G280" s="31" t="s">
        <v>271</v>
      </c>
      <c r="H280" s="30" t="s">
        <v>330</v>
      </c>
      <c r="I280" s="31" t="s">
        <v>330</v>
      </c>
      <c r="J280" s="30" t="s">
        <v>384</v>
      </c>
      <c r="K280" s="30"/>
    </row>
    <row r="281" customFormat="false" ht="15" hidden="false" customHeight="false" outlineLevel="0" collapsed="false">
      <c r="A281" s="30" t="s">
        <v>2282</v>
      </c>
      <c r="B281" s="30" t="s">
        <v>2050</v>
      </c>
      <c r="C281" s="30" t="s">
        <v>2020</v>
      </c>
      <c r="D281" s="30" t="s">
        <v>9</v>
      </c>
      <c r="E281" s="31" t="s">
        <v>9</v>
      </c>
      <c r="F281" s="30" t="s">
        <v>273</v>
      </c>
      <c r="G281" s="31" t="s">
        <v>273</v>
      </c>
      <c r="H281" s="30"/>
      <c r="I281" s="30"/>
      <c r="J281" s="30" t="s">
        <v>2019</v>
      </c>
      <c r="K281" s="30"/>
    </row>
    <row r="282" customFormat="false" ht="15" hidden="false" customHeight="false" outlineLevel="0" collapsed="false">
      <c r="A282" s="30" t="s">
        <v>2288</v>
      </c>
      <c r="B282" s="30" t="s">
        <v>2015</v>
      </c>
      <c r="C282" s="30" t="s">
        <v>2016</v>
      </c>
      <c r="D282" s="30" t="s">
        <v>28</v>
      </c>
      <c r="E282" s="31" t="s">
        <v>28</v>
      </c>
      <c r="F282" s="30" t="s">
        <v>165</v>
      </c>
      <c r="G282" s="31" t="s">
        <v>165</v>
      </c>
      <c r="H282" s="30" t="s">
        <v>2210</v>
      </c>
      <c r="I282" s="31" t="s">
        <v>310</v>
      </c>
      <c r="J282" s="30" t="s">
        <v>2019</v>
      </c>
      <c r="K282" s="30"/>
    </row>
    <row r="283" customFormat="false" ht="15" hidden="false" customHeight="false" outlineLevel="0" collapsed="false">
      <c r="A283" s="30" t="s">
        <v>2288</v>
      </c>
      <c r="B283" s="30" t="s">
        <v>2015</v>
      </c>
      <c r="C283" s="30" t="s">
        <v>2020</v>
      </c>
      <c r="D283" s="30" t="s">
        <v>51</v>
      </c>
      <c r="E283" s="31" t="s">
        <v>51</v>
      </c>
      <c r="F283" s="30" t="s">
        <v>123</v>
      </c>
      <c r="G283" s="31" t="s">
        <v>123</v>
      </c>
      <c r="H283" s="30" t="s">
        <v>2211</v>
      </c>
      <c r="I283" s="31" t="s">
        <v>322</v>
      </c>
      <c r="J283" s="30" t="s">
        <v>2019</v>
      </c>
      <c r="K283" s="30"/>
    </row>
    <row r="284" customFormat="false" ht="15" hidden="false" customHeight="false" outlineLevel="0" collapsed="false">
      <c r="A284" s="30" t="s">
        <v>2288</v>
      </c>
      <c r="B284" s="30" t="s">
        <v>2024</v>
      </c>
      <c r="C284" s="30" t="s">
        <v>2016</v>
      </c>
      <c r="D284" s="30" t="s">
        <v>9</v>
      </c>
      <c r="E284" s="31" t="s">
        <v>9</v>
      </c>
      <c r="F284" s="30" t="s">
        <v>2212</v>
      </c>
      <c r="G284" s="31" t="s">
        <v>169</v>
      </c>
      <c r="H284" s="30" t="s">
        <v>2213</v>
      </c>
      <c r="I284" s="31" t="s">
        <v>344</v>
      </c>
      <c r="J284" s="30" t="s">
        <v>384</v>
      </c>
      <c r="K284" s="30"/>
    </row>
    <row r="285" customFormat="false" ht="15" hidden="false" customHeight="false" outlineLevel="0" collapsed="false">
      <c r="A285" s="30" t="s">
        <v>2288</v>
      </c>
      <c r="B285" s="30" t="s">
        <v>2024</v>
      </c>
      <c r="C285" s="30" t="s">
        <v>2020</v>
      </c>
      <c r="D285" s="30" t="s">
        <v>22</v>
      </c>
      <c r="E285" s="31" t="s">
        <v>22</v>
      </c>
      <c r="F285" s="30" t="s">
        <v>129</v>
      </c>
      <c r="G285" s="31" t="s">
        <v>129</v>
      </c>
      <c r="H285" s="30" t="s">
        <v>318</v>
      </c>
      <c r="I285" s="31" t="s">
        <v>318</v>
      </c>
      <c r="J285" s="30" t="s">
        <v>2019</v>
      </c>
      <c r="K285" s="30"/>
    </row>
    <row r="286" customFormat="false" ht="15" hidden="false" customHeight="false" outlineLevel="0" collapsed="false">
      <c r="A286" s="30" t="s">
        <v>2288</v>
      </c>
      <c r="B286" s="30" t="s">
        <v>2030</v>
      </c>
      <c r="C286" s="30" t="s">
        <v>2016</v>
      </c>
      <c r="D286" s="30" t="s">
        <v>17</v>
      </c>
      <c r="E286" s="31" t="s">
        <v>17</v>
      </c>
      <c r="F286" s="30" t="s">
        <v>141</v>
      </c>
      <c r="G286" s="31" t="s">
        <v>141</v>
      </c>
      <c r="H286" s="30" t="s">
        <v>2214</v>
      </c>
      <c r="I286" s="31" t="s">
        <v>314</v>
      </c>
      <c r="J286" s="30" t="s">
        <v>2019</v>
      </c>
      <c r="K286" s="30"/>
    </row>
    <row r="287" customFormat="false" ht="15" hidden="false" customHeight="false" outlineLevel="0" collapsed="false">
      <c r="A287" s="30" t="s">
        <v>2288</v>
      </c>
      <c r="B287" s="30" t="s">
        <v>2030</v>
      </c>
      <c r="C287" s="30" t="s">
        <v>2020</v>
      </c>
      <c r="D287" s="30" t="s">
        <v>2145</v>
      </c>
      <c r="E287" s="31" t="s">
        <v>372</v>
      </c>
      <c r="F287" s="30" t="s">
        <v>149</v>
      </c>
      <c r="G287" s="31" t="s">
        <v>149</v>
      </c>
      <c r="H287" s="30" t="s">
        <v>308</v>
      </c>
      <c r="I287" s="31" t="s">
        <v>308</v>
      </c>
      <c r="J287" s="30" t="s">
        <v>2019</v>
      </c>
      <c r="K287" s="30"/>
    </row>
    <row r="288" customFormat="false" ht="15" hidden="false" customHeight="false" outlineLevel="0" collapsed="false">
      <c r="A288" s="30" t="s">
        <v>2288</v>
      </c>
      <c r="B288" s="30" t="s">
        <v>2035</v>
      </c>
      <c r="C288" s="30" t="s">
        <v>2016</v>
      </c>
      <c r="D288" s="30" t="s">
        <v>2220</v>
      </c>
      <c r="E288" s="31" t="s">
        <v>63</v>
      </c>
      <c r="F288" s="30" t="s">
        <v>173</v>
      </c>
      <c r="G288" s="31" t="s">
        <v>173</v>
      </c>
      <c r="H288" s="30" t="s">
        <v>320</v>
      </c>
      <c r="I288" s="31" t="s">
        <v>320</v>
      </c>
      <c r="J288" s="30" t="s">
        <v>2019</v>
      </c>
      <c r="K288" s="30"/>
    </row>
    <row r="289" customFormat="false" ht="15" hidden="false" customHeight="false" outlineLevel="0" collapsed="false">
      <c r="A289" s="30" t="s">
        <v>2288</v>
      </c>
      <c r="B289" s="30" t="s">
        <v>2035</v>
      </c>
      <c r="C289" s="30" t="s">
        <v>2020</v>
      </c>
      <c r="D289" s="30" t="s">
        <v>35</v>
      </c>
      <c r="E289" s="31" t="s">
        <v>35</v>
      </c>
      <c r="F289" s="30" t="s">
        <v>2289</v>
      </c>
      <c r="G289" s="31" t="s">
        <v>256</v>
      </c>
      <c r="H289" s="30"/>
      <c r="I289" s="30"/>
      <c r="J289" s="30" t="s">
        <v>2019</v>
      </c>
      <c r="K289" s="30"/>
    </row>
    <row r="290" customFormat="false" ht="15" hidden="false" customHeight="false" outlineLevel="0" collapsed="false">
      <c r="A290" s="30" t="s">
        <v>2288</v>
      </c>
      <c r="B290" s="30" t="s">
        <v>2039</v>
      </c>
      <c r="C290" s="30" t="s">
        <v>2016</v>
      </c>
      <c r="D290" s="30" t="s">
        <v>2290</v>
      </c>
      <c r="E290" s="31" t="s">
        <v>82</v>
      </c>
      <c r="F290" s="30" t="s">
        <v>2218</v>
      </c>
      <c r="G290" s="31" t="s">
        <v>180</v>
      </c>
      <c r="H290" s="30"/>
      <c r="I290" s="30"/>
      <c r="J290" s="30" t="s">
        <v>2019</v>
      </c>
      <c r="K290" s="30"/>
    </row>
    <row r="291" customFormat="false" ht="15" hidden="false" customHeight="false" outlineLevel="0" collapsed="false">
      <c r="A291" s="30" t="s">
        <v>2288</v>
      </c>
      <c r="B291" s="30" t="s">
        <v>2039</v>
      </c>
      <c r="C291" s="30" t="s">
        <v>2020</v>
      </c>
      <c r="D291" s="30" t="s">
        <v>9</v>
      </c>
      <c r="E291" s="31" t="s">
        <v>9</v>
      </c>
      <c r="F291" s="30" t="s">
        <v>2291</v>
      </c>
      <c r="G291" s="31" t="s">
        <v>100</v>
      </c>
      <c r="H291" s="30"/>
      <c r="I291" s="30"/>
      <c r="J291" s="30" t="s">
        <v>2019</v>
      </c>
      <c r="K291" s="30"/>
    </row>
    <row r="292" customFormat="false" ht="15" hidden="false" customHeight="false" outlineLevel="0" collapsed="false">
      <c r="A292" s="30" t="s">
        <v>2288</v>
      </c>
      <c r="B292" s="30" t="s">
        <v>2045</v>
      </c>
      <c r="C292" s="30" t="s">
        <v>2016</v>
      </c>
      <c r="D292" s="30" t="s">
        <v>2216</v>
      </c>
      <c r="E292" s="31" t="s">
        <v>85</v>
      </c>
      <c r="F292" s="30" t="s">
        <v>177</v>
      </c>
      <c r="G292" s="31" t="s">
        <v>177</v>
      </c>
      <c r="H292" s="30" t="s">
        <v>2042</v>
      </c>
      <c r="I292" s="31" t="s">
        <v>306</v>
      </c>
      <c r="J292" s="30" t="s">
        <v>2019</v>
      </c>
      <c r="K292" s="30"/>
    </row>
    <row r="293" customFormat="false" ht="15" hidden="false" customHeight="false" outlineLevel="0" collapsed="false">
      <c r="A293" s="30" t="s">
        <v>2288</v>
      </c>
      <c r="B293" s="30" t="s">
        <v>2045</v>
      </c>
      <c r="C293" s="30" t="s">
        <v>2020</v>
      </c>
      <c r="D293" s="30" t="s">
        <v>2221</v>
      </c>
      <c r="E293" s="31" t="s">
        <v>40</v>
      </c>
      <c r="F293" s="30"/>
      <c r="G293" s="30"/>
      <c r="H293" s="30" t="s">
        <v>2222</v>
      </c>
      <c r="I293" s="31" t="s">
        <v>161</v>
      </c>
      <c r="J293" s="30" t="s">
        <v>2019</v>
      </c>
      <c r="K293" s="30"/>
    </row>
    <row r="294" customFormat="false" ht="15" hidden="false" customHeight="false" outlineLevel="0" collapsed="false">
      <c r="A294" s="30" t="s">
        <v>2288</v>
      </c>
      <c r="B294" s="30" t="s">
        <v>2050</v>
      </c>
      <c r="C294" s="30" t="s">
        <v>2016</v>
      </c>
      <c r="D294" s="30" t="s">
        <v>2292</v>
      </c>
      <c r="E294" s="31" t="s">
        <v>23</v>
      </c>
      <c r="F294" s="30" t="s">
        <v>130</v>
      </c>
      <c r="G294" s="31" t="s">
        <v>130</v>
      </c>
      <c r="H294" s="30" t="s">
        <v>2293</v>
      </c>
      <c r="I294" s="31" t="s">
        <v>340</v>
      </c>
      <c r="J294" s="30" t="s">
        <v>384</v>
      </c>
      <c r="K294" s="30"/>
    </row>
    <row r="295" customFormat="false" ht="15" hidden="false" customHeight="false" outlineLevel="0" collapsed="false">
      <c r="A295" s="30" t="s">
        <v>2288</v>
      </c>
      <c r="B295" s="30" t="s">
        <v>2050</v>
      </c>
      <c r="C295" s="30" t="s">
        <v>2020</v>
      </c>
      <c r="D295" s="30" t="s">
        <v>38</v>
      </c>
      <c r="E295" s="31" t="s">
        <v>38</v>
      </c>
      <c r="F295" s="30" t="s">
        <v>2225</v>
      </c>
      <c r="G295" s="31" t="s">
        <v>230</v>
      </c>
      <c r="H295" s="30"/>
      <c r="I295" s="30"/>
      <c r="J295" s="30" t="s">
        <v>2019</v>
      </c>
      <c r="K295" s="30"/>
    </row>
    <row r="296" customFormat="false" ht="15" hidden="false" customHeight="false" outlineLevel="0" collapsed="false">
      <c r="A296" s="30" t="s">
        <v>2294</v>
      </c>
      <c r="B296" s="30" t="s">
        <v>2015</v>
      </c>
      <c r="C296" s="30" t="s">
        <v>2016</v>
      </c>
      <c r="D296" s="30" t="s">
        <v>2295</v>
      </c>
      <c r="E296" s="31" t="s">
        <v>80</v>
      </c>
      <c r="F296" s="30" t="s">
        <v>2296</v>
      </c>
      <c r="G296" s="31" t="s">
        <v>187</v>
      </c>
      <c r="H296" s="30" t="s">
        <v>2297</v>
      </c>
      <c r="I296" s="31" t="s">
        <v>326</v>
      </c>
      <c r="J296" s="30" t="s">
        <v>2019</v>
      </c>
      <c r="K296" s="30"/>
    </row>
    <row r="297" customFormat="false" ht="15" hidden="false" customHeight="false" outlineLevel="0" collapsed="false">
      <c r="A297" s="30" t="s">
        <v>2294</v>
      </c>
      <c r="B297" s="30" t="s">
        <v>2015</v>
      </c>
      <c r="C297" s="30" t="s">
        <v>2020</v>
      </c>
      <c r="D297" s="30" t="s">
        <v>2228</v>
      </c>
      <c r="E297" s="31" t="s">
        <v>64</v>
      </c>
      <c r="F297" s="30" t="s">
        <v>129</v>
      </c>
      <c r="G297" s="31" t="s">
        <v>129</v>
      </c>
      <c r="H297" s="30"/>
      <c r="I297" s="30"/>
      <c r="J297" s="30" t="s">
        <v>2019</v>
      </c>
      <c r="K297" s="30"/>
    </row>
    <row r="298" customFormat="false" ht="15" hidden="false" customHeight="false" outlineLevel="0" collapsed="false">
      <c r="A298" s="30" t="s">
        <v>2294</v>
      </c>
      <c r="B298" s="30" t="s">
        <v>2024</v>
      </c>
      <c r="C298" s="30" t="s">
        <v>2016</v>
      </c>
      <c r="D298" s="30" t="s">
        <v>2051</v>
      </c>
      <c r="E298" s="31" t="s">
        <v>9</v>
      </c>
      <c r="F298" s="30" t="s">
        <v>274</v>
      </c>
      <c r="G298" s="31" t="s">
        <v>274</v>
      </c>
      <c r="H298" s="30"/>
      <c r="I298" s="30"/>
      <c r="J298" s="30" t="s">
        <v>384</v>
      </c>
      <c r="K298" s="30"/>
    </row>
    <row r="299" customFormat="false" ht="15" hidden="false" customHeight="false" outlineLevel="0" collapsed="false">
      <c r="A299" s="30" t="s">
        <v>2294</v>
      </c>
      <c r="B299" s="30" t="s">
        <v>2024</v>
      </c>
      <c r="C299" s="30" t="s">
        <v>2020</v>
      </c>
      <c r="D299" s="30" t="s">
        <v>17</v>
      </c>
      <c r="E299" s="31" t="s">
        <v>17</v>
      </c>
      <c r="F299" s="30" t="s">
        <v>2230</v>
      </c>
      <c r="G299" s="31" t="s">
        <v>128</v>
      </c>
      <c r="H299" s="30"/>
      <c r="I299" s="30"/>
      <c r="J299" s="30" t="s">
        <v>2019</v>
      </c>
      <c r="K299" s="30"/>
    </row>
    <row r="300" customFormat="false" ht="15" hidden="false" customHeight="false" outlineLevel="0" collapsed="false">
      <c r="A300" s="30" t="s">
        <v>2294</v>
      </c>
      <c r="B300" s="30" t="s">
        <v>2030</v>
      </c>
      <c r="C300" s="30" t="s">
        <v>2016</v>
      </c>
      <c r="D300" s="30" t="s">
        <v>2231</v>
      </c>
      <c r="E300" s="31" t="s">
        <v>68</v>
      </c>
      <c r="F300" s="30" t="s">
        <v>175</v>
      </c>
      <c r="G300" s="31" t="s">
        <v>175</v>
      </c>
      <c r="H300" s="30" t="s">
        <v>2232</v>
      </c>
      <c r="I300" s="31" t="s">
        <v>362</v>
      </c>
      <c r="J300" s="30" t="s">
        <v>2019</v>
      </c>
      <c r="K300" s="30"/>
    </row>
    <row r="301" customFormat="false" ht="15" hidden="false" customHeight="false" outlineLevel="0" collapsed="false">
      <c r="A301" s="30" t="s">
        <v>2294</v>
      </c>
      <c r="B301" s="30" t="s">
        <v>2030</v>
      </c>
      <c r="C301" s="30" t="s">
        <v>2020</v>
      </c>
      <c r="D301" s="30" t="s">
        <v>2233</v>
      </c>
      <c r="E301" s="31" t="s">
        <v>45</v>
      </c>
      <c r="F301" s="30" t="s">
        <v>2234</v>
      </c>
      <c r="G301" s="31" t="s">
        <v>148</v>
      </c>
      <c r="H301" s="30" t="s">
        <v>2235</v>
      </c>
      <c r="I301" s="31" t="s">
        <v>35</v>
      </c>
      <c r="J301" s="30" t="s">
        <v>2019</v>
      </c>
      <c r="K301" s="30"/>
    </row>
    <row r="302" customFormat="false" ht="15" hidden="false" customHeight="false" outlineLevel="0" collapsed="false">
      <c r="A302" s="30" t="s">
        <v>2294</v>
      </c>
      <c r="B302" s="30" t="s">
        <v>2035</v>
      </c>
      <c r="C302" s="30" t="s">
        <v>2016</v>
      </c>
      <c r="D302" s="30" t="s">
        <v>2084</v>
      </c>
      <c r="E302" s="31" t="s">
        <v>34</v>
      </c>
      <c r="F302" s="30" t="s">
        <v>163</v>
      </c>
      <c r="G302" s="31" t="s">
        <v>163</v>
      </c>
      <c r="H302" s="30" t="s">
        <v>2042</v>
      </c>
      <c r="I302" s="31" t="s">
        <v>306</v>
      </c>
      <c r="J302" s="30" t="s">
        <v>2019</v>
      </c>
      <c r="K302" s="30"/>
    </row>
    <row r="303" customFormat="false" ht="15" hidden="false" customHeight="false" outlineLevel="0" collapsed="false">
      <c r="A303" s="30" t="s">
        <v>2294</v>
      </c>
      <c r="B303" s="30" t="s">
        <v>2035</v>
      </c>
      <c r="C303" s="30" t="s">
        <v>2020</v>
      </c>
      <c r="D303" s="30" t="s">
        <v>2298</v>
      </c>
      <c r="E303" s="31" t="s">
        <v>90</v>
      </c>
      <c r="F303" s="30" t="s">
        <v>2237</v>
      </c>
      <c r="G303" s="31" t="s">
        <v>195</v>
      </c>
      <c r="H303" s="30" t="s">
        <v>2238</v>
      </c>
      <c r="I303" s="31" t="s">
        <v>369</v>
      </c>
      <c r="J303" s="30" t="s">
        <v>2019</v>
      </c>
      <c r="K303" s="30"/>
    </row>
    <row r="304" customFormat="false" ht="15" hidden="false" customHeight="false" outlineLevel="0" collapsed="false">
      <c r="A304" s="30" t="s">
        <v>2294</v>
      </c>
      <c r="B304" s="30" t="s">
        <v>2039</v>
      </c>
      <c r="C304" s="30" t="s">
        <v>2016</v>
      </c>
      <c r="D304" s="30" t="s">
        <v>28</v>
      </c>
      <c r="E304" s="31" t="s">
        <v>28</v>
      </c>
      <c r="F304" s="30" t="s">
        <v>2137</v>
      </c>
      <c r="G304" s="31" t="s">
        <v>137</v>
      </c>
      <c r="H304" s="30" t="s">
        <v>308</v>
      </c>
      <c r="I304" s="31" t="s">
        <v>308</v>
      </c>
      <c r="J304" s="30" t="s">
        <v>2019</v>
      </c>
      <c r="K304" s="30"/>
    </row>
    <row r="305" customFormat="false" ht="15" hidden="false" customHeight="false" outlineLevel="0" collapsed="false">
      <c r="A305" s="30" t="s">
        <v>2294</v>
      </c>
      <c r="B305" s="30" t="s">
        <v>2039</v>
      </c>
      <c r="C305" s="30" t="s">
        <v>2020</v>
      </c>
      <c r="D305" s="30" t="s">
        <v>79</v>
      </c>
      <c r="E305" s="31" t="s">
        <v>79</v>
      </c>
      <c r="F305" s="30" t="s">
        <v>2299</v>
      </c>
      <c r="G305" s="31" t="s">
        <v>230</v>
      </c>
      <c r="H305" s="30"/>
      <c r="I305" s="30"/>
      <c r="J305" s="30" t="s">
        <v>2019</v>
      </c>
      <c r="K305" s="30"/>
    </row>
    <row r="306" customFormat="false" ht="15" hidden="false" customHeight="false" outlineLevel="0" collapsed="false">
      <c r="A306" s="30" t="s">
        <v>2294</v>
      </c>
      <c r="B306" s="30" t="s">
        <v>2045</v>
      </c>
      <c r="C306" s="30" t="s">
        <v>2016</v>
      </c>
      <c r="D306" s="30" t="s">
        <v>2241</v>
      </c>
      <c r="E306" s="31" t="s">
        <v>26</v>
      </c>
      <c r="F306" s="30" t="s">
        <v>2300</v>
      </c>
      <c r="G306" s="31" t="s">
        <v>123</v>
      </c>
      <c r="H306" s="30" t="s">
        <v>2301</v>
      </c>
      <c r="I306" s="31" t="s">
        <v>320</v>
      </c>
      <c r="J306" s="30" t="s">
        <v>2019</v>
      </c>
      <c r="K306" s="30"/>
    </row>
    <row r="307" customFormat="false" ht="15" hidden="false" customHeight="false" outlineLevel="0" collapsed="false">
      <c r="A307" s="30" t="s">
        <v>2294</v>
      </c>
      <c r="B307" s="30" t="s">
        <v>2045</v>
      </c>
      <c r="C307" s="30" t="s">
        <v>2020</v>
      </c>
      <c r="D307" s="30" t="s">
        <v>2261</v>
      </c>
      <c r="E307" s="31" t="s">
        <v>51</v>
      </c>
      <c r="F307" s="30" t="s">
        <v>2302</v>
      </c>
      <c r="G307" s="31" t="s">
        <v>219</v>
      </c>
      <c r="H307" s="30" t="s">
        <v>2303</v>
      </c>
      <c r="I307" s="31" t="s">
        <v>314</v>
      </c>
      <c r="J307" s="30" t="s">
        <v>2019</v>
      </c>
      <c r="K307" s="30"/>
    </row>
    <row r="308" customFormat="false" ht="15" hidden="false" customHeight="false" outlineLevel="0" collapsed="false">
      <c r="A308" s="30" t="s">
        <v>2294</v>
      </c>
      <c r="B308" s="30" t="s">
        <v>2050</v>
      </c>
      <c r="C308" s="30" t="s">
        <v>2016</v>
      </c>
      <c r="D308" s="30" t="s">
        <v>47</v>
      </c>
      <c r="E308" s="31" t="s">
        <v>47</v>
      </c>
      <c r="F308" s="30" t="s">
        <v>2304</v>
      </c>
      <c r="G308" s="31" t="s">
        <v>141</v>
      </c>
      <c r="H308" s="30" t="s">
        <v>2245</v>
      </c>
      <c r="I308" s="31" t="s">
        <v>334</v>
      </c>
      <c r="J308" s="30" t="s">
        <v>384</v>
      </c>
      <c r="K308" s="30"/>
    </row>
    <row r="309" customFormat="false" ht="15" hidden="false" customHeight="false" outlineLevel="0" collapsed="false">
      <c r="A309" s="30" t="s">
        <v>2294</v>
      </c>
      <c r="B309" s="30" t="s">
        <v>2050</v>
      </c>
      <c r="C309" s="30" t="s">
        <v>2020</v>
      </c>
      <c r="D309" s="30" t="s">
        <v>2305</v>
      </c>
      <c r="E309" s="31" t="s">
        <v>9</v>
      </c>
      <c r="F309" s="30" t="s">
        <v>2206</v>
      </c>
      <c r="G309" s="31" t="s">
        <v>84</v>
      </c>
      <c r="H309" s="30"/>
      <c r="I309" s="30"/>
      <c r="J309" s="30" t="s">
        <v>2019</v>
      </c>
      <c r="K309" s="30"/>
    </row>
    <row r="310" customFormat="false" ht="15" hidden="false" customHeight="false" outlineLevel="0" collapsed="false">
      <c r="A310" s="30" t="s">
        <v>2306</v>
      </c>
      <c r="B310" s="30" t="s">
        <v>2015</v>
      </c>
      <c r="C310" s="30" t="s">
        <v>2016</v>
      </c>
      <c r="D310" s="30" t="s">
        <v>22</v>
      </c>
      <c r="E310" s="31" t="s">
        <v>22</v>
      </c>
      <c r="F310" s="30" t="s">
        <v>2249</v>
      </c>
      <c r="G310" s="31" t="s">
        <v>187</v>
      </c>
      <c r="H310" s="30" t="s">
        <v>2250</v>
      </c>
      <c r="I310" s="31" t="s">
        <v>319</v>
      </c>
      <c r="J310" s="30" t="s">
        <v>2019</v>
      </c>
      <c r="K310" s="30"/>
    </row>
    <row r="311" customFormat="false" ht="15" hidden="false" customHeight="false" outlineLevel="0" collapsed="false">
      <c r="A311" s="30" t="s">
        <v>2306</v>
      </c>
      <c r="B311" s="30" t="s">
        <v>2015</v>
      </c>
      <c r="C311" s="30" t="s">
        <v>2020</v>
      </c>
      <c r="D311" s="30" t="s">
        <v>2251</v>
      </c>
      <c r="E311" s="31" t="s">
        <v>42</v>
      </c>
      <c r="F311" s="30" t="s">
        <v>2234</v>
      </c>
      <c r="G311" s="31" t="s">
        <v>148</v>
      </c>
      <c r="H311" s="30" t="s">
        <v>2235</v>
      </c>
      <c r="I311" s="31" t="s">
        <v>35</v>
      </c>
      <c r="J311" s="30" t="s">
        <v>2019</v>
      </c>
      <c r="K311" s="30"/>
    </row>
    <row r="312" customFormat="false" ht="15" hidden="false" customHeight="false" outlineLevel="0" collapsed="false">
      <c r="A312" s="30" t="s">
        <v>2306</v>
      </c>
      <c r="B312" s="30" t="s">
        <v>2024</v>
      </c>
      <c r="C312" s="30" t="s">
        <v>2016</v>
      </c>
      <c r="D312" s="30" t="s">
        <v>9</v>
      </c>
      <c r="E312" s="31" t="s">
        <v>9</v>
      </c>
      <c r="F312" s="30" t="s">
        <v>2307</v>
      </c>
      <c r="G312" s="31" t="s">
        <v>200</v>
      </c>
      <c r="H312" s="30" t="s">
        <v>2308</v>
      </c>
      <c r="I312" s="31" t="s">
        <v>322</v>
      </c>
      <c r="J312" s="30" t="s">
        <v>384</v>
      </c>
      <c r="K312" s="30"/>
    </row>
    <row r="313" customFormat="false" ht="15" hidden="false" customHeight="false" outlineLevel="0" collapsed="false">
      <c r="A313" s="30" t="s">
        <v>2306</v>
      </c>
      <c r="B313" s="30" t="s">
        <v>2024</v>
      </c>
      <c r="C313" s="30" t="s">
        <v>2020</v>
      </c>
      <c r="D313" s="30" t="s">
        <v>17</v>
      </c>
      <c r="E313" s="31" t="s">
        <v>17</v>
      </c>
      <c r="F313" s="30" t="s">
        <v>129</v>
      </c>
      <c r="G313" s="31" t="s">
        <v>129</v>
      </c>
      <c r="H313" s="30" t="s">
        <v>2214</v>
      </c>
      <c r="I313" s="31" t="s">
        <v>314</v>
      </c>
      <c r="J313" s="30" t="s">
        <v>2019</v>
      </c>
      <c r="K313" s="30"/>
    </row>
    <row r="314" customFormat="false" ht="15" hidden="false" customHeight="false" outlineLevel="0" collapsed="false">
      <c r="A314" s="30" t="s">
        <v>2306</v>
      </c>
      <c r="B314" s="30" t="s">
        <v>2030</v>
      </c>
      <c r="C314" s="30" t="s">
        <v>2016</v>
      </c>
      <c r="D314" s="30" t="s">
        <v>2221</v>
      </c>
      <c r="E314" s="31" t="s">
        <v>40</v>
      </c>
      <c r="F314" s="30" t="s">
        <v>2309</v>
      </c>
      <c r="G314" s="31" t="s">
        <v>173</v>
      </c>
      <c r="H314" s="30" t="s">
        <v>2232</v>
      </c>
      <c r="I314" s="31" t="s">
        <v>362</v>
      </c>
      <c r="J314" s="30" t="s">
        <v>2019</v>
      </c>
      <c r="K314" s="30"/>
    </row>
    <row r="315" customFormat="false" ht="15" hidden="false" customHeight="false" outlineLevel="0" collapsed="false">
      <c r="A315" s="30" t="s">
        <v>2306</v>
      </c>
      <c r="B315" s="30" t="s">
        <v>2030</v>
      </c>
      <c r="C315" s="30" t="s">
        <v>2020</v>
      </c>
      <c r="D315" s="30" t="s">
        <v>2310</v>
      </c>
      <c r="E315" s="31" t="s">
        <v>64</v>
      </c>
      <c r="F315" s="30" t="s">
        <v>2254</v>
      </c>
      <c r="G315" s="31" t="s">
        <v>217</v>
      </c>
      <c r="H315" s="30" t="s">
        <v>2311</v>
      </c>
      <c r="I315" s="31" t="s">
        <v>344</v>
      </c>
      <c r="J315" s="30" t="s">
        <v>2019</v>
      </c>
      <c r="K315" s="30"/>
    </row>
    <row r="316" customFormat="false" ht="15" hidden="false" customHeight="false" outlineLevel="0" collapsed="false">
      <c r="A316" s="30" t="s">
        <v>2306</v>
      </c>
      <c r="B316" s="30" t="s">
        <v>2035</v>
      </c>
      <c r="C316" s="30" t="s">
        <v>2016</v>
      </c>
      <c r="D316" s="30" t="s">
        <v>2215</v>
      </c>
      <c r="E316" s="31" t="s">
        <v>58</v>
      </c>
      <c r="F316" s="30" t="s">
        <v>130</v>
      </c>
      <c r="G316" s="31" t="s">
        <v>130</v>
      </c>
      <c r="H316" s="30" t="s">
        <v>2129</v>
      </c>
      <c r="I316" s="31" t="s">
        <v>336</v>
      </c>
      <c r="J316" s="30" t="s">
        <v>2019</v>
      </c>
      <c r="K316" s="30"/>
    </row>
    <row r="317" customFormat="false" ht="15" hidden="false" customHeight="false" outlineLevel="0" collapsed="false">
      <c r="A317" s="30" t="s">
        <v>2306</v>
      </c>
      <c r="B317" s="30" t="s">
        <v>2035</v>
      </c>
      <c r="C317" s="30" t="s">
        <v>2020</v>
      </c>
      <c r="D317" s="30" t="s">
        <v>2312</v>
      </c>
      <c r="E317" s="31" t="s">
        <v>86</v>
      </c>
      <c r="F317" s="30" t="s">
        <v>2289</v>
      </c>
      <c r="G317" s="31" t="s">
        <v>256</v>
      </c>
      <c r="H317" s="30"/>
      <c r="I317" s="30"/>
      <c r="J317" s="30" t="s">
        <v>2019</v>
      </c>
      <c r="K317" s="30"/>
    </row>
    <row r="318" customFormat="false" ht="15" hidden="false" customHeight="false" outlineLevel="0" collapsed="false">
      <c r="A318" s="30" t="s">
        <v>2306</v>
      </c>
      <c r="B318" s="30" t="s">
        <v>2039</v>
      </c>
      <c r="C318" s="30" t="s">
        <v>2016</v>
      </c>
      <c r="D318" s="30" t="s">
        <v>2313</v>
      </c>
      <c r="E318" s="31" t="s">
        <v>44</v>
      </c>
      <c r="F318" s="30" t="s">
        <v>2314</v>
      </c>
      <c r="G318" s="31" t="s">
        <v>243</v>
      </c>
      <c r="H318" s="30" t="s">
        <v>2315</v>
      </c>
      <c r="I318" s="31" t="s">
        <v>344</v>
      </c>
      <c r="J318" s="30" t="s">
        <v>2316</v>
      </c>
      <c r="K318" s="31" t="s">
        <v>393</v>
      </c>
    </row>
    <row r="319" customFormat="false" ht="15" hidden="false" customHeight="false" outlineLevel="0" collapsed="false">
      <c r="A319" s="30" t="s">
        <v>2306</v>
      </c>
      <c r="B319" s="30" t="s">
        <v>2039</v>
      </c>
      <c r="C319" s="30" t="s">
        <v>2020</v>
      </c>
      <c r="D319" s="30" t="s">
        <v>28</v>
      </c>
      <c r="E319" s="31" t="s">
        <v>28</v>
      </c>
      <c r="F319" s="30" t="s">
        <v>2317</v>
      </c>
      <c r="G319" s="31" t="s">
        <v>196</v>
      </c>
      <c r="H319" s="30" t="s">
        <v>318</v>
      </c>
      <c r="I319" s="31" t="s">
        <v>318</v>
      </c>
      <c r="J319" s="30" t="s">
        <v>2019</v>
      </c>
      <c r="K319" s="30"/>
    </row>
    <row r="320" customFormat="false" ht="15" hidden="false" customHeight="false" outlineLevel="0" collapsed="false">
      <c r="A320" s="30" t="s">
        <v>2306</v>
      </c>
      <c r="B320" s="30" t="s">
        <v>2045</v>
      </c>
      <c r="C320" s="30" t="s">
        <v>2016</v>
      </c>
      <c r="D320" s="30" t="s">
        <v>2261</v>
      </c>
      <c r="E320" s="31" t="s">
        <v>51</v>
      </c>
      <c r="F320" s="30" t="s">
        <v>121</v>
      </c>
      <c r="G320" s="31" t="s">
        <v>121</v>
      </c>
      <c r="H320" s="30" t="s">
        <v>2227</v>
      </c>
      <c r="I320" s="31" t="s">
        <v>327</v>
      </c>
      <c r="J320" s="30" t="s">
        <v>2019</v>
      </c>
      <c r="K320" s="30"/>
    </row>
    <row r="321" customFormat="false" ht="15" hidden="false" customHeight="false" outlineLevel="0" collapsed="false">
      <c r="A321" s="30" t="s">
        <v>2306</v>
      </c>
      <c r="B321" s="30" t="s">
        <v>2045</v>
      </c>
      <c r="C321" s="30" t="s">
        <v>2020</v>
      </c>
      <c r="D321" s="30" t="s">
        <v>9</v>
      </c>
      <c r="E321" s="31" t="s">
        <v>9</v>
      </c>
      <c r="F321" s="30" t="s">
        <v>2318</v>
      </c>
      <c r="G321" s="31" t="s">
        <v>179</v>
      </c>
      <c r="H321" s="30"/>
      <c r="I321" s="30"/>
      <c r="J321" s="30" t="s">
        <v>2019</v>
      </c>
      <c r="K321" s="30"/>
    </row>
    <row r="322" customFormat="false" ht="15" hidden="false" customHeight="false" outlineLevel="0" collapsed="false">
      <c r="A322" s="30" t="s">
        <v>2306</v>
      </c>
      <c r="B322" s="30" t="s">
        <v>2050</v>
      </c>
      <c r="C322" s="30" t="s">
        <v>2016</v>
      </c>
      <c r="D322" s="30" t="s">
        <v>16</v>
      </c>
      <c r="E322" s="31" t="s">
        <v>16</v>
      </c>
      <c r="F322" s="30" t="s">
        <v>2151</v>
      </c>
      <c r="G322" s="31" t="s">
        <v>159</v>
      </c>
      <c r="H322" s="30" t="s">
        <v>2319</v>
      </c>
      <c r="I322" s="31" t="s">
        <v>378</v>
      </c>
      <c r="J322" s="30" t="s">
        <v>384</v>
      </c>
      <c r="K322" s="30"/>
    </row>
    <row r="323" customFormat="false" ht="15" hidden="false" customHeight="false" outlineLevel="0" collapsed="false">
      <c r="A323" s="30" t="s">
        <v>2306</v>
      </c>
      <c r="B323" s="30" t="s">
        <v>2050</v>
      </c>
      <c r="C323" s="30" t="s">
        <v>2020</v>
      </c>
      <c r="D323" s="30" t="s">
        <v>2263</v>
      </c>
      <c r="E323" s="31" t="s">
        <v>23</v>
      </c>
      <c r="F323" s="30" t="s">
        <v>2320</v>
      </c>
      <c r="G323" s="31" t="s">
        <v>273</v>
      </c>
      <c r="H323" s="30"/>
      <c r="I323" s="30"/>
      <c r="J323" s="30" t="s">
        <v>2019</v>
      </c>
      <c r="K323" s="30"/>
    </row>
    <row r="324" customFormat="false" ht="15" hidden="false" customHeight="false" outlineLevel="0" collapsed="false">
      <c r="A324" s="30" t="s">
        <v>2321</v>
      </c>
      <c r="B324" s="30" t="s">
        <v>2015</v>
      </c>
      <c r="C324" s="30" t="s">
        <v>2016</v>
      </c>
      <c r="D324" s="30" t="s">
        <v>97</v>
      </c>
      <c r="E324" s="31" t="s">
        <v>97</v>
      </c>
      <c r="F324" s="30" t="s">
        <v>133</v>
      </c>
      <c r="G324" s="31" t="s">
        <v>133</v>
      </c>
      <c r="H324" s="30" t="s">
        <v>2202</v>
      </c>
      <c r="I324" s="31" t="s">
        <v>322</v>
      </c>
      <c r="J324" s="30" t="s">
        <v>2019</v>
      </c>
      <c r="K324" s="30"/>
    </row>
    <row r="325" customFormat="false" ht="15" hidden="false" customHeight="false" outlineLevel="0" collapsed="false">
      <c r="A325" s="30" t="s">
        <v>2321</v>
      </c>
      <c r="B325" s="30" t="s">
        <v>2015</v>
      </c>
      <c r="C325" s="30" t="s">
        <v>2020</v>
      </c>
      <c r="D325" s="30" t="s">
        <v>2031</v>
      </c>
      <c r="E325" s="31" t="s">
        <v>35</v>
      </c>
      <c r="F325" s="30" t="s">
        <v>276</v>
      </c>
      <c r="G325" s="31" t="s">
        <v>276</v>
      </c>
      <c r="H325" s="30" t="s">
        <v>2175</v>
      </c>
      <c r="I325" s="31" t="s">
        <v>340</v>
      </c>
      <c r="J325" s="30" t="s">
        <v>2019</v>
      </c>
      <c r="K325" s="30"/>
    </row>
    <row r="326" customFormat="false" ht="15" hidden="false" customHeight="false" outlineLevel="0" collapsed="false">
      <c r="A326" s="30" t="s">
        <v>2321</v>
      </c>
      <c r="B326" s="30" t="s">
        <v>2024</v>
      </c>
      <c r="C326" s="30" t="s">
        <v>2016</v>
      </c>
      <c r="D326" s="30" t="s">
        <v>52</v>
      </c>
      <c r="E326" s="31" t="s">
        <v>52</v>
      </c>
      <c r="F326" s="30" t="s">
        <v>2266</v>
      </c>
      <c r="G326" s="31" t="s">
        <v>277</v>
      </c>
      <c r="H326" s="30" t="s">
        <v>2267</v>
      </c>
      <c r="I326" s="31" t="s">
        <v>368</v>
      </c>
      <c r="J326" s="30" t="s">
        <v>384</v>
      </c>
      <c r="K326" s="30"/>
    </row>
    <row r="327" customFormat="false" ht="15" hidden="false" customHeight="false" outlineLevel="0" collapsed="false">
      <c r="A327" s="30" t="s">
        <v>2321</v>
      </c>
      <c r="B327" s="30" t="s">
        <v>2024</v>
      </c>
      <c r="C327" s="30" t="s">
        <v>2020</v>
      </c>
      <c r="D327" s="30" t="s">
        <v>22</v>
      </c>
      <c r="E327" s="31" t="s">
        <v>22</v>
      </c>
      <c r="F327" s="30" t="s">
        <v>2268</v>
      </c>
      <c r="G327" s="31" t="s">
        <v>199</v>
      </c>
      <c r="H327" s="30"/>
      <c r="I327" s="30"/>
      <c r="J327" s="30" t="s">
        <v>2019</v>
      </c>
      <c r="K327" s="30"/>
    </row>
    <row r="328" customFormat="false" ht="15" hidden="false" customHeight="false" outlineLevel="0" collapsed="false">
      <c r="A328" s="30" t="s">
        <v>2321</v>
      </c>
      <c r="B328" s="30" t="s">
        <v>2030</v>
      </c>
      <c r="C328" s="30" t="s">
        <v>2016</v>
      </c>
      <c r="D328" s="30" t="s">
        <v>9</v>
      </c>
      <c r="E328" s="31" t="s">
        <v>9</v>
      </c>
      <c r="F328" s="30" t="s">
        <v>2322</v>
      </c>
      <c r="G328" s="31" t="s">
        <v>228</v>
      </c>
      <c r="H328" s="30" t="s">
        <v>2323</v>
      </c>
      <c r="I328" s="31" t="s">
        <v>312</v>
      </c>
      <c r="J328" s="30" t="s">
        <v>2019</v>
      </c>
      <c r="K328" s="30"/>
    </row>
    <row r="329" customFormat="false" ht="15" hidden="false" customHeight="false" outlineLevel="0" collapsed="false">
      <c r="A329" s="30" t="s">
        <v>2321</v>
      </c>
      <c r="B329" s="30" t="s">
        <v>2030</v>
      </c>
      <c r="C329" s="30" t="s">
        <v>2020</v>
      </c>
      <c r="D329" s="30" t="s">
        <v>2270</v>
      </c>
      <c r="E329" s="31" t="s">
        <v>79</v>
      </c>
      <c r="F329" s="30" t="s">
        <v>2271</v>
      </c>
      <c r="G329" s="31" t="s">
        <v>157</v>
      </c>
      <c r="H329" s="30" t="s">
        <v>309</v>
      </c>
      <c r="I329" s="31" t="s">
        <v>64</v>
      </c>
      <c r="J329" s="30" t="s">
        <v>2019</v>
      </c>
      <c r="K329" s="30"/>
    </row>
    <row r="330" customFormat="false" ht="15" hidden="false" customHeight="false" outlineLevel="0" collapsed="false">
      <c r="A330" s="30" t="s">
        <v>2321</v>
      </c>
      <c r="B330" s="30" t="s">
        <v>2035</v>
      </c>
      <c r="C330" s="30" t="s">
        <v>2016</v>
      </c>
      <c r="D330" s="30" t="s">
        <v>2084</v>
      </c>
      <c r="E330" s="31" t="s">
        <v>34</v>
      </c>
      <c r="F330" s="30" t="s">
        <v>279</v>
      </c>
      <c r="G330" s="31" t="s">
        <v>279</v>
      </c>
      <c r="H330" s="30" t="s">
        <v>2259</v>
      </c>
      <c r="I330" s="31" t="s">
        <v>306</v>
      </c>
      <c r="J330" s="30" t="s">
        <v>2019</v>
      </c>
      <c r="K330" s="30"/>
    </row>
    <row r="331" customFormat="false" ht="15" hidden="false" customHeight="false" outlineLevel="0" collapsed="false">
      <c r="A331" s="30" t="s">
        <v>2321</v>
      </c>
      <c r="B331" s="30" t="s">
        <v>2035</v>
      </c>
      <c r="C331" s="30" t="s">
        <v>2020</v>
      </c>
      <c r="D331" s="30" t="s">
        <v>73</v>
      </c>
      <c r="E331" s="31" t="s">
        <v>73</v>
      </c>
      <c r="F331" s="30" t="s">
        <v>2272</v>
      </c>
      <c r="G331" s="31" t="s">
        <v>209</v>
      </c>
      <c r="H331" s="30"/>
      <c r="I331" s="30"/>
      <c r="J331" s="30" t="s">
        <v>2019</v>
      </c>
      <c r="K331" s="30"/>
    </row>
    <row r="332" customFormat="false" ht="15" hidden="false" customHeight="false" outlineLevel="0" collapsed="false">
      <c r="A332" s="30" t="s">
        <v>2321</v>
      </c>
      <c r="B332" s="30" t="s">
        <v>2039</v>
      </c>
      <c r="C332" s="30" t="s">
        <v>2016</v>
      </c>
      <c r="D332" s="30" t="s">
        <v>46</v>
      </c>
      <c r="E332" s="31" t="s">
        <v>46</v>
      </c>
      <c r="F332" s="30" t="s">
        <v>2324</v>
      </c>
      <c r="G332" s="31" t="s">
        <v>154</v>
      </c>
      <c r="H332" s="30" t="s">
        <v>327</v>
      </c>
      <c r="I332" s="31" t="s">
        <v>327</v>
      </c>
      <c r="J332" s="30" t="s">
        <v>2019</v>
      </c>
      <c r="K332" s="30"/>
    </row>
    <row r="333" customFormat="false" ht="15" hidden="false" customHeight="false" outlineLevel="0" collapsed="false">
      <c r="A333" s="30" t="s">
        <v>2321</v>
      </c>
      <c r="B333" s="30" t="s">
        <v>2039</v>
      </c>
      <c r="C333" s="30" t="s">
        <v>2020</v>
      </c>
      <c r="D333" s="30" t="s">
        <v>2275</v>
      </c>
      <c r="E333" s="31" t="s">
        <v>9</v>
      </c>
      <c r="F333" s="30" t="s">
        <v>2325</v>
      </c>
      <c r="G333" s="31" t="s">
        <v>302</v>
      </c>
      <c r="H333" s="30"/>
      <c r="I333" s="30"/>
      <c r="J333" s="30" t="s">
        <v>2019</v>
      </c>
      <c r="K333" s="30"/>
    </row>
    <row r="334" customFormat="false" ht="15" hidden="false" customHeight="false" outlineLevel="0" collapsed="false">
      <c r="A334" s="30" t="s">
        <v>2321</v>
      </c>
      <c r="B334" s="30" t="s">
        <v>2045</v>
      </c>
      <c r="C334" s="30" t="s">
        <v>2016</v>
      </c>
      <c r="D334" s="30" t="s">
        <v>2215</v>
      </c>
      <c r="E334" s="31" t="s">
        <v>58</v>
      </c>
      <c r="F334" s="30" t="s">
        <v>2276</v>
      </c>
      <c r="G334" s="31" t="s">
        <v>231</v>
      </c>
      <c r="H334" s="30" t="s">
        <v>2202</v>
      </c>
      <c r="I334" s="31" t="s">
        <v>322</v>
      </c>
      <c r="J334" s="30" t="s">
        <v>2019</v>
      </c>
      <c r="K334" s="30"/>
    </row>
    <row r="335" customFormat="false" ht="15" hidden="false" customHeight="false" outlineLevel="0" collapsed="false">
      <c r="A335" s="30" t="s">
        <v>2321</v>
      </c>
      <c r="B335" s="30" t="s">
        <v>2045</v>
      </c>
      <c r="C335" s="30" t="s">
        <v>2020</v>
      </c>
      <c r="D335" s="30" t="s">
        <v>16</v>
      </c>
      <c r="E335" s="31" t="s">
        <v>16</v>
      </c>
      <c r="F335" s="30" t="s">
        <v>123</v>
      </c>
      <c r="G335" s="31" t="s">
        <v>123</v>
      </c>
      <c r="H335" s="30" t="s">
        <v>2278</v>
      </c>
      <c r="I335" s="31" t="s">
        <v>368</v>
      </c>
      <c r="J335" s="30" t="s">
        <v>2019</v>
      </c>
      <c r="K335" s="30"/>
    </row>
    <row r="336" customFormat="false" ht="15" hidden="false" customHeight="false" outlineLevel="0" collapsed="false">
      <c r="A336" s="30" t="s">
        <v>2321</v>
      </c>
      <c r="B336" s="30" t="s">
        <v>2050</v>
      </c>
      <c r="C336" s="30" t="s">
        <v>2016</v>
      </c>
      <c r="D336" s="30" t="s">
        <v>2279</v>
      </c>
      <c r="E336" s="31" t="s">
        <v>80</v>
      </c>
      <c r="F336" s="30" t="s">
        <v>2326</v>
      </c>
      <c r="G336" s="31" t="s">
        <v>151</v>
      </c>
      <c r="H336" s="30"/>
      <c r="I336" s="30"/>
      <c r="J336" s="30" t="s">
        <v>384</v>
      </c>
      <c r="K336" s="30"/>
    </row>
    <row r="337" customFormat="false" ht="15" hidden="false" customHeight="false" outlineLevel="0" collapsed="false">
      <c r="A337" s="30" t="s">
        <v>2321</v>
      </c>
      <c r="B337" s="30" t="s">
        <v>2050</v>
      </c>
      <c r="C337" s="30" t="s">
        <v>2020</v>
      </c>
      <c r="D337" s="30" t="s">
        <v>9</v>
      </c>
      <c r="E337" s="31" t="s">
        <v>9</v>
      </c>
      <c r="F337" s="30" t="s">
        <v>2327</v>
      </c>
      <c r="G337" s="31" t="s">
        <v>180</v>
      </c>
      <c r="H337" s="30"/>
      <c r="I337" s="30"/>
      <c r="J337" s="30" t="s">
        <v>2019</v>
      </c>
      <c r="K337" s="30"/>
    </row>
    <row r="338" customFormat="false" ht="15" hidden="false" customHeight="false" outlineLevel="0" collapsed="false">
      <c r="A338" s="30" t="s">
        <v>2328</v>
      </c>
      <c r="B338" s="30" t="s">
        <v>2015</v>
      </c>
      <c r="C338" s="30" t="s">
        <v>2016</v>
      </c>
      <c r="D338" s="30" t="s">
        <v>2283</v>
      </c>
      <c r="E338" s="31" t="s">
        <v>48</v>
      </c>
      <c r="F338" s="30" t="s">
        <v>2284</v>
      </c>
      <c r="G338" s="31" t="s">
        <v>145</v>
      </c>
      <c r="H338" s="30" t="s">
        <v>2095</v>
      </c>
      <c r="I338" s="31" t="s">
        <v>309</v>
      </c>
      <c r="J338" s="30" t="s">
        <v>2285</v>
      </c>
      <c r="K338" s="30"/>
    </row>
    <row r="339" customFormat="false" ht="15" hidden="false" customHeight="false" outlineLevel="0" collapsed="false">
      <c r="A339" s="30" t="s">
        <v>2328</v>
      </c>
      <c r="B339" s="30" t="s">
        <v>2015</v>
      </c>
      <c r="C339" s="30" t="s">
        <v>2020</v>
      </c>
      <c r="D339" s="30"/>
      <c r="E339" s="30"/>
      <c r="F339" s="30" t="s">
        <v>2192</v>
      </c>
      <c r="G339" s="31" t="s">
        <v>55</v>
      </c>
      <c r="H339" s="30" t="s">
        <v>2286</v>
      </c>
      <c r="I339" s="31" t="s">
        <v>213</v>
      </c>
      <c r="J339" s="30" t="s">
        <v>2019</v>
      </c>
      <c r="K339" s="30"/>
    </row>
    <row r="340" customFormat="false" ht="15" hidden="false" customHeight="false" outlineLevel="0" collapsed="false">
      <c r="A340" s="30" t="s">
        <v>2328</v>
      </c>
      <c r="B340" s="30" t="s">
        <v>2024</v>
      </c>
      <c r="C340" s="30" t="s">
        <v>2016</v>
      </c>
      <c r="D340" s="30" t="s">
        <v>2102</v>
      </c>
      <c r="E340" s="31" t="s">
        <v>23</v>
      </c>
      <c r="F340" s="30" t="s">
        <v>2193</v>
      </c>
      <c r="G340" s="31" t="s">
        <v>253</v>
      </c>
      <c r="H340" s="30" t="s">
        <v>2042</v>
      </c>
      <c r="I340" s="31" t="s">
        <v>306</v>
      </c>
      <c r="J340" s="30" t="s">
        <v>2287</v>
      </c>
      <c r="K340" s="30"/>
    </row>
    <row r="341" customFormat="false" ht="15" hidden="false" customHeight="false" outlineLevel="0" collapsed="false">
      <c r="A341" s="30" t="s">
        <v>2328</v>
      </c>
      <c r="B341" s="30" t="s">
        <v>2024</v>
      </c>
      <c r="C341" s="30" t="s">
        <v>2020</v>
      </c>
      <c r="D341" s="30" t="s">
        <v>9</v>
      </c>
      <c r="E341" s="31" t="s">
        <v>9</v>
      </c>
      <c r="F341" s="30" t="s">
        <v>2194</v>
      </c>
      <c r="G341" s="31" t="s">
        <v>100</v>
      </c>
      <c r="H341" s="30"/>
      <c r="I341" s="30"/>
      <c r="J341" s="30" t="s">
        <v>2019</v>
      </c>
      <c r="K341" s="30"/>
    </row>
    <row r="342" customFormat="false" ht="15" hidden="false" customHeight="false" outlineLevel="0" collapsed="false">
      <c r="A342" s="30" t="s">
        <v>2328</v>
      </c>
      <c r="B342" s="30" t="s">
        <v>2030</v>
      </c>
      <c r="C342" s="30" t="s">
        <v>2016</v>
      </c>
      <c r="D342" s="30" t="s">
        <v>2195</v>
      </c>
      <c r="E342" s="31" t="s">
        <v>68</v>
      </c>
      <c r="F342" s="30" t="s">
        <v>121</v>
      </c>
      <c r="G342" s="31" t="s">
        <v>121</v>
      </c>
      <c r="H342" s="30" t="s">
        <v>2196</v>
      </c>
      <c r="I342" s="31" t="s">
        <v>374</v>
      </c>
      <c r="J342" s="30" t="s">
        <v>2019</v>
      </c>
      <c r="K342" s="30"/>
    </row>
    <row r="343" customFormat="false" ht="15" hidden="false" customHeight="false" outlineLevel="0" collapsed="false">
      <c r="A343" s="30" t="s">
        <v>2328</v>
      </c>
      <c r="B343" s="30" t="s">
        <v>2030</v>
      </c>
      <c r="C343" s="30" t="s">
        <v>2020</v>
      </c>
      <c r="D343" s="30" t="s">
        <v>2197</v>
      </c>
      <c r="E343" s="31" t="s">
        <v>372</v>
      </c>
      <c r="F343" s="30" t="s">
        <v>2198</v>
      </c>
      <c r="G343" s="31" t="s">
        <v>126</v>
      </c>
      <c r="H343" s="30" t="s">
        <v>2199</v>
      </c>
      <c r="I343" s="31" t="s">
        <v>340</v>
      </c>
      <c r="J343" s="30" t="s">
        <v>2019</v>
      </c>
      <c r="K343" s="30"/>
    </row>
    <row r="344" customFormat="false" ht="15" hidden="false" customHeight="false" outlineLevel="0" collapsed="false">
      <c r="A344" s="30" t="s">
        <v>2328</v>
      </c>
      <c r="B344" s="30" t="s">
        <v>2035</v>
      </c>
      <c r="C344" s="30" t="s">
        <v>2016</v>
      </c>
      <c r="D344" s="30" t="s">
        <v>2200</v>
      </c>
      <c r="E344" s="31" t="s">
        <v>45</v>
      </c>
      <c r="F344" s="30"/>
      <c r="G344" s="30"/>
      <c r="H344" s="30" t="s">
        <v>2329</v>
      </c>
      <c r="I344" s="31" t="s">
        <v>183</v>
      </c>
      <c r="J344" s="30" t="s">
        <v>384</v>
      </c>
      <c r="K344" s="30"/>
    </row>
    <row r="345" customFormat="false" ht="15" hidden="false" customHeight="false" outlineLevel="0" collapsed="false">
      <c r="A345" s="30" t="s">
        <v>2328</v>
      </c>
      <c r="B345" s="30" t="s">
        <v>2035</v>
      </c>
      <c r="C345" s="30" t="s">
        <v>2020</v>
      </c>
      <c r="D345" s="30" t="s">
        <v>2112</v>
      </c>
      <c r="E345" s="31" t="s">
        <v>40</v>
      </c>
      <c r="F345" s="30" t="s">
        <v>2330</v>
      </c>
      <c r="G345" s="31" t="s">
        <v>258</v>
      </c>
      <c r="H345" s="30"/>
      <c r="I345" s="30"/>
      <c r="J345" s="30" t="s">
        <v>2019</v>
      </c>
      <c r="K345" s="30"/>
    </row>
    <row r="346" customFormat="false" ht="15" hidden="false" customHeight="false" outlineLevel="0" collapsed="false">
      <c r="A346" s="30" t="s">
        <v>2328</v>
      </c>
      <c r="B346" s="30" t="s">
        <v>2039</v>
      </c>
      <c r="C346" s="30" t="s">
        <v>2016</v>
      </c>
      <c r="D346" s="30" t="s">
        <v>16</v>
      </c>
      <c r="E346" s="31" t="s">
        <v>16</v>
      </c>
      <c r="F346" s="30" t="s">
        <v>2204</v>
      </c>
      <c r="G346" s="31" t="s">
        <v>137</v>
      </c>
      <c r="H346" s="30" t="s">
        <v>371</v>
      </c>
      <c r="I346" s="31" t="s">
        <v>371</v>
      </c>
      <c r="J346" s="30" t="s">
        <v>2019</v>
      </c>
      <c r="K346" s="30"/>
    </row>
    <row r="347" customFormat="false" ht="15" hidden="false" customHeight="false" outlineLevel="0" collapsed="false">
      <c r="A347" s="30" t="s">
        <v>2328</v>
      </c>
      <c r="B347" s="30" t="s">
        <v>2039</v>
      </c>
      <c r="C347" s="30" t="s">
        <v>2020</v>
      </c>
      <c r="D347" s="30" t="s">
        <v>9</v>
      </c>
      <c r="E347" s="31" t="s">
        <v>9</v>
      </c>
      <c r="F347" s="30" t="s">
        <v>2096</v>
      </c>
      <c r="G347" s="31" t="s">
        <v>93</v>
      </c>
      <c r="H347" s="30"/>
      <c r="I347" s="30"/>
      <c r="J347" s="30" t="s">
        <v>2019</v>
      </c>
      <c r="K347" s="30"/>
    </row>
    <row r="348" customFormat="false" ht="15" hidden="false" customHeight="false" outlineLevel="0" collapsed="false">
      <c r="A348" s="30" t="s">
        <v>2328</v>
      </c>
      <c r="B348" s="30" t="s">
        <v>2045</v>
      </c>
      <c r="C348" s="30" t="s">
        <v>2016</v>
      </c>
      <c r="D348" s="30" t="s">
        <v>2102</v>
      </c>
      <c r="E348" s="31" t="s">
        <v>23</v>
      </c>
      <c r="F348" s="30" t="s">
        <v>2151</v>
      </c>
      <c r="G348" s="31" t="s">
        <v>159</v>
      </c>
      <c r="H348" s="30" t="s">
        <v>2331</v>
      </c>
      <c r="I348" s="31" t="s">
        <v>348</v>
      </c>
      <c r="J348" s="30" t="s">
        <v>2019</v>
      </c>
      <c r="K348" s="30"/>
    </row>
    <row r="349" customFormat="false" ht="15" hidden="false" customHeight="false" outlineLevel="0" collapsed="false">
      <c r="A349" s="30" t="s">
        <v>2328</v>
      </c>
      <c r="B349" s="30" t="s">
        <v>2045</v>
      </c>
      <c r="C349" s="30" t="s">
        <v>2020</v>
      </c>
      <c r="D349" s="30" t="s">
        <v>17</v>
      </c>
      <c r="E349" s="31" t="s">
        <v>17</v>
      </c>
      <c r="F349" s="30" t="s">
        <v>176</v>
      </c>
      <c r="G349" s="31" t="s">
        <v>176</v>
      </c>
      <c r="H349" s="30"/>
      <c r="I349" s="30"/>
      <c r="J349" s="30" t="s">
        <v>2019</v>
      </c>
      <c r="K349" s="30"/>
    </row>
    <row r="350" customFormat="false" ht="15" hidden="false" customHeight="false" outlineLevel="0" collapsed="false">
      <c r="A350" s="30" t="s">
        <v>2328</v>
      </c>
      <c r="B350" s="30" t="s">
        <v>2050</v>
      </c>
      <c r="C350" s="30" t="s">
        <v>2016</v>
      </c>
      <c r="D350" s="30" t="s">
        <v>2206</v>
      </c>
      <c r="E350" s="31" t="s">
        <v>84</v>
      </c>
      <c r="F350" s="30" t="s">
        <v>2332</v>
      </c>
      <c r="G350" s="31" t="s">
        <v>219</v>
      </c>
      <c r="H350" s="30" t="s">
        <v>1525</v>
      </c>
      <c r="I350" s="31" t="s">
        <v>314</v>
      </c>
      <c r="J350" s="30" t="s">
        <v>384</v>
      </c>
      <c r="K350" s="30"/>
    </row>
    <row r="351" customFormat="false" ht="15" hidden="false" customHeight="false" outlineLevel="0" collapsed="false">
      <c r="A351" s="30" t="s">
        <v>2328</v>
      </c>
      <c r="B351" s="30" t="s">
        <v>2050</v>
      </c>
      <c r="C351" s="30" t="s">
        <v>2020</v>
      </c>
      <c r="D351" s="30" t="s">
        <v>9</v>
      </c>
      <c r="E351" s="31" t="s">
        <v>9</v>
      </c>
      <c r="F351" s="30" t="s">
        <v>2333</v>
      </c>
      <c r="G351" s="31" t="s">
        <v>303</v>
      </c>
      <c r="H351" s="30"/>
      <c r="I351" s="30"/>
      <c r="J351" s="30" t="s">
        <v>2019</v>
      </c>
      <c r="K351" s="30"/>
    </row>
    <row r="352" customFormat="false" ht="15" hidden="false" customHeight="false" outlineLevel="0" collapsed="false">
      <c r="A352" s="30" t="s">
        <v>2334</v>
      </c>
      <c r="B352" s="30" t="s">
        <v>2015</v>
      </c>
      <c r="C352" s="30" t="s">
        <v>2016</v>
      </c>
      <c r="D352" s="30" t="s">
        <v>2197</v>
      </c>
      <c r="E352" s="31" t="s">
        <v>372</v>
      </c>
      <c r="F352" s="30" t="s">
        <v>2335</v>
      </c>
      <c r="G352" s="31" t="s">
        <v>187</v>
      </c>
      <c r="H352" s="30" t="s">
        <v>2210</v>
      </c>
      <c r="I352" s="31" t="s">
        <v>310</v>
      </c>
      <c r="J352" s="30" t="s">
        <v>2019</v>
      </c>
      <c r="K352" s="30"/>
    </row>
    <row r="353" customFormat="false" ht="15" hidden="false" customHeight="false" outlineLevel="0" collapsed="false">
      <c r="A353" s="30" t="s">
        <v>2334</v>
      </c>
      <c r="B353" s="30" t="s">
        <v>2015</v>
      </c>
      <c r="C353" s="30" t="s">
        <v>2020</v>
      </c>
      <c r="D353" s="30" t="s">
        <v>51</v>
      </c>
      <c r="E353" s="31" t="s">
        <v>51</v>
      </c>
      <c r="F353" s="30" t="s">
        <v>123</v>
      </c>
      <c r="G353" s="31" t="s">
        <v>123</v>
      </c>
      <c r="H353" s="30" t="s">
        <v>2211</v>
      </c>
      <c r="I353" s="31" t="s">
        <v>322</v>
      </c>
      <c r="J353" s="30" t="s">
        <v>2019</v>
      </c>
      <c r="K353" s="30"/>
    </row>
    <row r="354" customFormat="false" ht="15" hidden="false" customHeight="false" outlineLevel="0" collapsed="false">
      <c r="A354" s="30" t="s">
        <v>2334</v>
      </c>
      <c r="B354" s="30" t="s">
        <v>2024</v>
      </c>
      <c r="C354" s="30" t="s">
        <v>2016</v>
      </c>
      <c r="D354" s="30" t="s">
        <v>9</v>
      </c>
      <c r="E354" s="31" t="s">
        <v>9</v>
      </c>
      <c r="F354" s="30" t="s">
        <v>2307</v>
      </c>
      <c r="G354" s="31" t="s">
        <v>200</v>
      </c>
      <c r="H354" s="30" t="s">
        <v>2336</v>
      </c>
      <c r="I354" s="31" t="s">
        <v>322</v>
      </c>
      <c r="J354" s="30" t="s">
        <v>384</v>
      </c>
      <c r="K354" s="30"/>
    </row>
    <row r="355" customFormat="false" ht="15" hidden="false" customHeight="false" outlineLevel="0" collapsed="false">
      <c r="A355" s="30" t="s">
        <v>2334</v>
      </c>
      <c r="B355" s="30" t="s">
        <v>2024</v>
      </c>
      <c r="C355" s="30" t="s">
        <v>2020</v>
      </c>
      <c r="D355" s="30" t="s">
        <v>22</v>
      </c>
      <c r="E355" s="31" t="s">
        <v>22</v>
      </c>
      <c r="F355" s="30" t="s">
        <v>129</v>
      </c>
      <c r="G355" s="31" t="s">
        <v>129</v>
      </c>
      <c r="H355" s="30" t="s">
        <v>318</v>
      </c>
      <c r="I355" s="31" t="s">
        <v>318</v>
      </c>
      <c r="J355" s="30" t="s">
        <v>2019</v>
      </c>
      <c r="K355" s="30"/>
    </row>
    <row r="356" customFormat="false" ht="15" hidden="false" customHeight="false" outlineLevel="0" collapsed="false">
      <c r="A356" s="30" t="s">
        <v>2334</v>
      </c>
      <c r="B356" s="30" t="s">
        <v>2030</v>
      </c>
      <c r="C356" s="30" t="s">
        <v>2016</v>
      </c>
      <c r="D356" s="30" t="s">
        <v>17</v>
      </c>
      <c r="E356" s="31" t="s">
        <v>17</v>
      </c>
      <c r="F356" s="30" t="s">
        <v>141</v>
      </c>
      <c r="G356" s="31" t="s">
        <v>141</v>
      </c>
      <c r="H356" s="30" t="s">
        <v>2214</v>
      </c>
      <c r="I356" s="31" t="s">
        <v>314</v>
      </c>
      <c r="J356" s="30" t="s">
        <v>2019</v>
      </c>
      <c r="K356" s="30"/>
    </row>
    <row r="357" customFormat="false" ht="15" hidden="false" customHeight="false" outlineLevel="0" collapsed="false">
      <c r="A357" s="30" t="s">
        <v>2334</v>
      </c>
      <c r="B357" s="30" t="s">
        <v>2030</v>
      </c>
      <c r="C357" s="30" t="s">
        <v>2020</v>
      </c>
      <c r="D357" s="30" t="s">
        <v>2145</v>
      </c>
      <c r="E357" s="31" t="s">
        <v>372</v>
      </c>
      <c r="F357" s="30" t="s">
        <v>149</v>
      </c>
      <c r="G357" s="31" t="s">
        <v>149</v>
      </c>
      <c r="H357" s="30" t="s">
        <v>308</v>
      </c>
      <c r="I357" s="31" t="s">
        <v>308</v>
      </c>
      <c r="J357" s="30" t="s">
        <v>2019</v>
      </c>
      <c r="K357" s="30"/>
    </row>
    <row r="358" customFormat="false" ht="15" hidden="false" customHeight="false" outlineLevel="0" collapsed="false">
      <c r="A358" s="30" t="s">
        <v>2334</v>
      </c>
      <c r="B358" s="30" t="s">
        <v>2035</v>
      </c>
      <c r="C358" s="30" t="s">
        <v>2016</v>
      </c>
      <c r="D358" s="30" t="s">
        <v>2220</v>
      </c>
      <c r="E358" s="31" t="s">
        <v>63</v>
      </c>
      <c r="F358" s="30" t="s">
        <v>173</v>
      </c>
      <c r="G358" s="31" t="s">
        <v>173</v>
      </c>
      <c r="H358" s="30" t="s">
        <v>320</v>
      </c>
      <c r="I358" s="31" t="s">
        <v>320</v>
      </c>
      <c r="J358" s="30" t="s">
        <v>2019</v>
      </c>
      <c r="K358" s="30"/>
    </row>
    <row r="359" customFormat="false" ht="15" hidden="false" customHeight="false" outlineLevel="0" collapsed="false">
      <c r="A359" s="30" t="s">
        <v>2334</v>
      </c>
      <c r="B359" s="30" t="s">
        <v>2035</v>
      </c>
      <c r="C359" s="30" t="s">
        <v>2020</v>
      </c>
      <c r="D359" s="30" t="s">
        <v>35</v>
      </c>
      <c r="E359" s="31" t="s">
        <v>35</v>
      </c>
      <c r="F359" s="30" t="s">
        <v>2289</v>
      </c>
      <c r="G359" s="31" t="s">
        <v>256</v>
      </c>
      <c r="H359" s="30"/>
      <c r="I359" s="30"/>
      <c r="J359" s="30" t="s">
        <v>2019</v>
      </c>
      <c r="K359" s="30"/>
    </row>
    <row r="360" customFormat="false" ht="15" hidden="false" customHeight="false" outlineLevel="0" collapsed="false">
      <c r="A360" s="30" t="s">
        <v>2334</v>
      </c>
      <c r="B360" s="30" t="s">
        <v>2039</v>
      </c>
      <c r="C360" s="30" t="s">
        <v>2016</v>
      </c>
      <c r="D360" s="30" t="s">
        <v>2116</v>
      </c>
      <c r="E360" s="31" t="s">
        <v>47</v>
      </c>
      <c r="F360" s="30" t="s">
        <v>2218</v>
      </c>
      <c r="G360" s="31" t="s">
        <v>180</v>
      </c>
      <c r="H360" s="30"/>
      <c r="I360" s="30"/>
      <c r="J360" s="30" t="s">
        <v>2019</v>
      </c>
      <c r="K360" s="30"/>
    </row>
    <row r="361" customFormat="false" ht="15" hidden="false" customHeight="false" outlineLevel="0" collapsed="false">
      <c r="A361" s="30" t="s">
        <v>2334</v>
      </c>
      <c r="B361" s="30" t="s">
        <v>2039</v>
      </c>
      <c r="C361" s="30" t="s">
        <v>2020</v>
      </c>
      <c r="D361" s="30" t="s">
        <v>9</v>
      </c>
      <c r="E361" s="31" t="s">
        <v>9</v>
      </c>
      <c r="F361" s="30" t="s">
        <v>2337</v>
      </c>
      <c r="G361" s="31" t="s">
        <v>302</v>
      </c>
      <c r="H361" s="30"/>
      <c r="I361" s="30"/>
      <c r="J361" s="30" t="s">
        <v>2019</v>
      </c>
      <c r="K361" s="30"/>
    </row>
    <row r="362" customFormat="false" ht="15" hidden="false" customHeight="false" outlineLevel="0" collapsed="false">
      <c r="A362" s="30" t="s">
        <v>2334</v>
      </c>
      <c r="B362" s="30" t="s">
        <v>2045</v>
      </c>
      <c r="C362" s="30" t="s">
        <v>2016</v>
      </c>
      <c r="D362" s="30" t="s">
        <v>2216</v>
      </c>
      <c r="E362" s="31" t="s">
        <v>85</v>
      </c>
      <c r="F362" s="30" t="s">
        <v>177</v>
      </c>
      <c r="G362" s="31" t="s">
        <v>177</v>
      </c>
      <c r="H362" s="30" t="s">
        <v>2042</v>
      </c>
      <c r="I362" s="31" t="s">
        <v>306</v>
      </c>
      <c r="J362" s="30" t="s">
        <v>2019</v>
      </c>
      <c r="K362" s="30"/>
    </row>
    <row r="363" customFormat="false" ht="15" hidden="false" customHeight="false" outlineLevel="0" collapsed="false">
      <c r="A363" s="30" t="s">
        <v>2334</v>
      </c>
      <c r="B363" s="30" t="s">
        <v>2045</v>
      </c>
      <c r="C363" s="30" t="s">
        <v>2020</v>
      </c>
      <c r="D363" s="30" t="s">
        <v>2221</v>
      </c>
      <c r="E363" s="31" t="s">
        <v>40</v>
      </c>
      <c r="F363" s="30"/>
      <c r="G363" s="30"/>
      <c r="H363" s="30" t="s">
        <v>2222</v>
      </c>
      <c r="I363" s="31" t="s">
        <v>161</v>
      </c>
      <c r="J363" s="30" t="s">
        <v>2019</v>
      </c>
      <c r="K363" s="30"/>
    </row>
    <row r="364" customFormat="false" ht="15" hidden="false" customHeight="false" outlineLevel="0" collapsed="false">
      <c r="A364" s="30" t="s">
        <v>2334</v>
      </c>
      <c r="B364" s="30" t="s">
        <v>2050</v>
      </c>
      <c r="C364" s="30" t="s">
        <v>2016</v>
      </c>
      <c r="D364" s="30" t="s">
        <v>2292</v>
      </c>
      <c r="E364" s="31" t="s">
        <v>23</v>
      </c>
      <c r="F364" s="30" t="s">
        <v>130</v>
      </c>
      <c r="G364" s="31" t="s">
        <v>130</v>
      </c>
      <c r="H364" s="30" t="s">
        <v>2293</v>
      </c>
      <c r="I364" s="31" t="s">
        <v>340</v>
      </c>
      <c r="J364" s="30" t="s">
        <v>384</v>
      </c>
      <c r="K364" s="30"/>
    </row>
    <row r="365" customFormat="false" ht="15" hidden="false" customHeight="false" outlineLevel="0" collapsed="false">
      <c r="A365" s="30" t="s">
        <v>2334</v>
      </c>
      <c r="B365" s="30" t="s">
        <v>2050</v>
      </c>
      <c r="C365" s="30" t="s">
        <v>2020</v>
      </c>
      <c r="D365" s="30" t="s">
        <v>38</v>
      </c>
      <c r="E365" s="31" t="s">
        <v>38</v>
      </c>
      <c r="F365" s="30" t="s">
        <v>2225</v>
      </c>
      <c r="G365" s="31" t="s">
        <v>230</v>
      </c>
      <c r="H365" s="30"/>
      <c r="I365" s="30"/>
      <c r="J365" s="30" t="s">
        <v>2019</v>
      </c>
      <c r="K365" s="30"/>
    </row>
    <row r="366" customFormat="false" ht="15" hidden="false" customHeight="false" outlineLevel="0" collapsed="false">
      <c r="A366" s="30" t="s">
        <v>2338</v>
      </c>
      <c r="B366" s="30" t="s">
        <v>2015</v>
      </c>
      <c r="C366" s="30" t="s">
        <v>2016</v>
      </c>
      <c r="D366" s="30" t="s">
        <v>16</v>
      </c>
      <c r="E366" s="31" t="s">
        <v>16</v>
      </c>
      <c r="F366" s="30" t="s">
        <v>141</v>
      </c>
      <c r="G366" s="31" t="s">
        <v>141</v>
      </c>
      <c r="H366" s="30" t="s">
        <v>2227</v>
      </c>
      <c r="I366" s="31" t="s">
        <v>327</v>
      </c>
      <c r="J366" s="30" t="s">
        <v>2019</v>
      </c>
      <c r="K366" s="30"/>
    </row>
    <row r="367" customFormat="false" ht="15" hidden="false" customHeight="false" outlineLevel="0" collapsed="false">
      <c r="A367" s="30" t="s">
        <v>2338</v>
      </c>
      <c r="B367" s="30" t="s">
        <v>2015</v>
      </c>
      <c r="C367" s="30" t="s">
        <v>2020</v>
      </c>
      <c r="D367" s="30" t="s">
        <v>2228</v>
      </c>
      <c r="E367" s="31" t="s">
        <v>64</v>
      </c>
      <c r="F367" s="30" t="s">
        <v>129</v>
      </c>
      <c r="G367" s="31" t="s">
        <v>129</v>
      </c>
      <c r="H367" s="30" t="s">
        <v>2229</v>
      </c>
      <c r="I367" s="31" t="s">
        <v>342</v>
      </c>
      <c r="J367" s="30" t="s">
        <v>2019</v>
      </c>
      <c r="K367" s="30"/>
    </row>
    <row r="368" customFormat="false" ht="15" hidden="false" customHeight="false" outlineLevel="0" collapsed="false">
      <c r="A368" s="30" t="s">
        <v>2338</v>
      </c>
      <c r="B368" s="30" t="s">
        <v>2024</v>
      </c>
      <c r="C368" s="30" t="s">
        <v>2016</v>
      </c>
      <c r="D368" s="30" t="s">
        <v>2051</v>
      </c>
      <c r="E368" s="31" t="s">
        <v>9</v>
      </c>
      <c r="F368" s="30" t="s">
        <v>2339</v>
      </c>
      <c r="G368" s="31" t="s">
        <v>225</v>
      </c>
      <c r="H368" s="30" t="s">
        <v>2340</v>
      </c>
      <c r="I368" s="31" t="s">
        <v>338</v>
      </c>
      <c r="J368" s="30" t="s">
        <v>384</v>
      </c>
      <c r="K368" s="30"/>
    </row>
    <row r="369" customFormat="false" ht="15" hidden="false" customHeight="false" outlineLevel="0" collapsed="false">
      <c r="A369" s="30" t="s">
        <v>2338</v>
      </c>
      <c r="B369" s="30" t="s">
        <v>2024</v>
      </c>
      <c r="C369" s="30" t="s">
        <v>2020</v>
      </c>
      <c r="D369" s="30" t="s">
        <v>17</v>
      </c>
      <c r="E369" s="31" t="s">
        <v>17</v>
      </c>
      <c r="F369" s="30" t="s">
        <v>2230</v>
      </c>
      <c r="G369" s="31" t="s">
        <v>128</v>
      </c>
      <c r="H369" s="30"/>
      <c r="I369" s="30"/>
      <c r="J369" s="30" t="s">
        <v>2019</v>
      </c>
      <c r="K369" s="30"/>
    </row>
    <row r="370" customFormat="false" ht="15" hidden="false" customHeight="false" outlineLevel="0" collapsed="false">
      <c r="A370" s="30" t="s">
        <v>2338</v>
      </c>
      <c r="B370" s="30" t="s">
        <v>2030</v>
      </c>
      <c r="C370" s="30" t="s">
        <v>2016</v>
      </c>
      <c r="D370" s="30" t="s">
        <v>2231</v>
      </c>
      <c r="E370" s="31" t="s">
        <v>68</v>
      </c>
      <c r="F370" s="30" t="s">
        <v>2309</v>
      </c>
      <c r="G370" s="31" t="s">
        <v>173</v>
      </c>
      <c r="H370" s="30" t="s">
        <v>2232</v>
      </c>
      <c r="I370" s="31" t="s">
        <v>362</v>
      </c>
      <c r="J370" s="30" t="s">
        <v>2019</v>
      </c>
      <c r="K370" s="30"/>
    </row>
    <row r="371" customFormat="false" ht="15" hidden="false" customHeight="false" outlineLevel="0" collapsed="false">
      <c r="A371" s="30" t="s">
        <v>2338</v>
      </c>
      <c r="B371" s="30" t="s">
        <v>2030</v>
      </c>
      <c r="C371" s="30" t="s">
        <v>2020</v>
      </c>
      <c r="D371" s="30" t="s">
        <v>2233</v>
      </c>
      <c r="E371" s="31" t="s">
        <v>45</v>
      </c>
      <c r="F371" s="30" t="s">
        <v>2234</v>
      </c>
      <c r="G371" s="31" t="s">
        <v>148</v>
      </c>
      <c r="H371" s="30" t="s">
        <v>2235</v>
      </c>
      <c r="I371" s="31" t="s">
        <v>35</v>
      </c>
      <c r="J371" s="30" t="s">
        <v>2019</v>
      </c>
      <c r="K371" s="30"/>
    </row>
    <row r="372" customFormat="false" ht="15" hidden="false" customHeight="false" outlineLevel="0" collapsed="false">
      <c r="A372" s="30" t="s">
        <v>2338</v>
      </c>
      <c r="B372" s="30" t="s">
        <v>2035</v>
      </c>
      <c r="C372" s="30" t="s">
        <v>2016</v>
      </c>
      <c r="D372" s="30" t="s">
        <v>2084</v>
      </c>
      <c r="E372" s="31" t="s">
        <v>34</v>
      </c>
      <c r="F372" s="30" t="s">
        <v>163</v>
      </c>
      <c r="G372" s="31" t="s">
        <v>163</v>
      </c>
      <c r="H372" s="30" t="s">
        <v>2042</v>
      </c>
      <c r="I372" s="31" t="s">
        <v>306</v>
      </c>
      <c r="J372" s="30" t="s">
        <v>2019</v>
      </c>
      <c r="K372" s="30"/>
    </row>
    <row r="373" customFormat="false" ht="15" hidden="false" customHeight="false" outlineLevel="0" collapsed="false">
      <c r="A373" s="30" t="s">
        <v>2338</v>
      </c>
      <c r="B373" s="30" t="s">
        <v>2035</v>
      </c>
      <c r="C373" s="30" t="s">
        <v>2020</v>
      </c>
      <c r="D373" s="30" t="s">
        <v>2236</v>
      </c>
      <c r="E373" s="31" t="s">
        <v>89</v>
      </c>
      <c r="F373" s="30" t="s">
        <v>2237</v>
      </c>
      <c r="G373" s="31" t="s">
        <v>195</v>
      </c>
      <c r="H373" s="30" t="s">
        <v>2238</v>
      </c>
      <c r="I373" s="31" t="s">
        <v>369</v>
      </c>
      <c r="J373" s="30" t="s">
        <v>2019</v>
      </c>
      <c r="K373" s="30"/>
    </row>
    <row r="374" customFormat="false" ht="15" hidden="false" customHeight="false" outlineLevel="0" collapsed="false">
      <c r="A374" s="30" t="s">
        <v>2338</v>
      </c>
      <c r="B374" s="30" t="s">
        <v>2039</v>
      </c>
      <c r="C374" s="30" t="s">
        <v>2016</v>
      </c>
      <c r="D374" s="30" t="s">
        <v>28</v>
      </c>
      <c r="E374" s="31" t="s">
        <v>28</v>
      </c>
      <c r="F374" s="30" t="s">
        <v>204</v>
      </c>
      <c r="G374" s="31" t="s">
        <v>204</v>
      </c>
      <c r="H374" s="30" t="s">
        <v>2239</v>
      </c>
      <c r="I374" s="31" t="s">
        <v>357</v>
      </c>
      <c r="J374" s="30" t="s">
        <v>2019</v>
      </c>
      <c r="K374" s="30"/>
    </row>
    <row r="375" customFormat="false" ht="15" hidden="false" customHeight="false" outlineLevel="0" collapsed="false">
      <c r="A375" s="30" t="s">
        <v>2338</v>
      </c>
      <c r="B375" s="30" t="s">
        <v>2039</v>
      </c>
      <c r="C375" s="30" t="s">
        <v>2020</v>
      </c>
      <c r="D375" s="30" t="s">
        <v>79</v>
      </c>
      <c r="E375" s="31" t="s">
        <v>79</v>
      </c>
      <c r="F375" s="30" t="s">
        <v>2240</v>
      </c>
      <c r="G375" s="31" t="s">
        <v>219</v>
      </c>
      <c r="H375" s="30" t="s">
        <v>308</v>
      </c>
      <c r="I375" s="31" t="s">
        <v>308</v>
      </c>
      <c r="J375" s="30" t="s">
        <v>2019</v>
      </c>
      <c r="K375" s="30"/>
    </row>
    <row r="376" customFormat="false" ht="15" hidden="false" customHeight="false" outlineLevel="0" collapsed="false">
      <c r="A376" s="30" t="s">
        <v>2338</v>
      </c>
      <c r="B376" s="30" t="s">
        <v>2045</v>
      </c>
      <c r="C376" s="30" t="s">
        <v>2016</v>
      </c>
      <c r="D376" s="30" t="s">
        <v>2241</v>
      </c>
      <c r="E376" s="31" t="s">
        <v>26</v>
      </c>
      <c r="F376" s="30" t="s">
        <v>130</v>
      </c>
      <c r="G376" s="31" t="s">
        <v>130</v>
      </c>
      <c r="H376" s="30" t="s">
        <v>2242</v>
      </c>
      <c r="I376" s="31" t="s">
        <v>344</v>
      </c>
      <c r="J376" s="30" t="s">
        <v>2019</v>
      </c>
      <c r="K376" s="30"/>
    </row>
    <row r="377" customFormat="false" ht="15" hidden="false" customHeight="false" outlineLevel="0" collapsed="false">
      <c r="A377" s="30" t="s">
        <v>2338</v>
      </c>
      <c r="B377" s="30" t="s">
        <v>2045</v>
      </c>
      <c r="C377" s="30" t="s">
        <v>2020</v>
      </c>
      <c r="D377" s="30" t="s">
        <v>2223</v>
      </c>
      <c r="E377" s="31" t="s">
        <v>55</v>
      </c>
      <c r="F377" s="30" t="s">
        <v>2243</v>
      </c>
      <c r="G377" s="31" t="s">
        <v>258</v>
      </c>
      <c r="H377" s="30"/>
      <c r="I377" s="30"/>
      <c r="J377" s="30" t="s">
        <v>2019</v>
      </c>
      <c r="K377" s="30"/>
    </row>
    <row r="378" customFormat="false" ht="15" hidden="false" customHeight="false" outlineLevel="0" collapsed="false">
      <c r="A378" s="30" t="s">
        <v>2338</v>
      </c>
      <c r="B378" s="30" t="s">
        <v>2050</v>
      </c>
      <c r="C378" s="30" t="s">
        <v>2016</v>
      </c>
      <c r="D378" s="30" t="s">
        <v>47</v>
      </c>
      <c r="E378" s="31" t="s">
        <v>47</v>
      </c>
      <c r="F378" s="30" t="s">
        <v>2244</v>
      </c>
      <c r="G378" s="31" t="s">
        <v>237</v>
      </c>
      <c r="H378" s="30" t="s">
        <v>2245</v>
      </c>
      <c r="I378" s="31" t="s">
        <v>334</v>
      </c>
      <c r="J378" s="30" t="s">
        <v>384</v>
      </c>
      <c r="K378" s="30"/>
    </row>
    <row r="379" customFormat="false" ht="15" hidden="false" customHeight="false" outlineLevel="0" collapsed="false">
      <c r="A379" s="30" t="s">
        <v>2338</v>
      </c>
      <c r="B379" s="30" t="s">
        <v>2050</v>
      </c>
      <c r="C379" s="30" t="s">
        <v>2020</v>
      </c>
      <c r="D379" s="30" t="s">
        <v>2246</v>
      </c>
      <c r="E379" s="31" t="s">
        <v>95</v>
      </c>
      <c r="F379" s="30" t="s">
        <v>2247</v>
      </c>
      <c r="G379" s="31" t="s">
        <v>275</v>
      </c>
      <c r="H379" s="30"/>
      <c r="I379" s="30"/>
      <c r="J379" s="30" t="s">
        <v>2019</v>
      </c>
      <c r="K379" s="30"/>
    </row>
    <row r="380" customFormat="false" ht="15" hidden="false" customHeight="false" outlineLevel="0" collapsed="false">
      <c r="A380" s="30" t="s">
        <v>2341</v>
      </c>
      <c r="B380" s="30" t="s">
        <v>2015</v>
      </c>
      <c r="C380" s="30" t="s">
        <v>2016</v>
      </c>
      <c r="D380" s="30" t="s">
        <v>2342</v>
      </c>
      <c r="E380" s="31" t="s">
        <v>40</v>
      </c>
      <c r="F380" s="30" t="s">
        <v>2343</v>
      </c>
      <c r="G380" s="31" t="s">
        <v>233</v>
      </c>
      <c r="H380" s="30" t="s">
        <v>2344</v>
      </c>
      <c r="I380" s="31" t="s">
        <v>363</v>
      </c>
      <c r="J380" s="30" t="s">
        <v>2019</v>
      </c>
      <c r="K380" s="30"/>
    </row>
    <row r="381" customFormat="false" ht="15" hidden="false" customHeight="false" outlineLevel="0" collapsed="false">
      <c r="A381" s="30" t="s">
        <v>2341</v>
      </c>
      <c r="B381" s="30" t="s">
        <v>2015</v>
      </c>
      <c r="C381" s="30" t="s">
        <v>2020</v>
      </c>
      <c r="D381" s="30" t="s">
        <v>2051</v>
      </c>
      <c r="E381" s="31" t="s">
        <v>9</v>
      </c>
      <c r="F381" s="30" t="s">
        <v>2345</v>
      </c>
      <c r="G381" s="31" t="s">
        <v>171</v>
      </c>
      <c r="H381" s="30"/>
      <c r="I381" s="30"/>
      <c r="J381" s="30" t="s">
        <v>2019</v>
      </c>
      <c r="K381" s="30"/>
    </row>
    <row r="382" customFormat="false" ht="15" hidden="false" customHeight="false" outlineLevel="0" collapsed="false">
      <c r="A382" s="30" t="s">
        <v>2341</v>
      </c>
      <c r="B382" s="30" t="s">
        <v>2024</v>
      </c>
      <c r="C382" s="30" t="s">
        <v>2016</v>
      </c>
      <c r="D382" s="30" t="s">
        <v>29</v>
      </c>
      <c r="E382" s="31" t="s">
        <v>29</v>
      </c>
      <c r="F382" s="30" t="s">
        <v>2346</v>
      </c>
      <c r="G382" s="31" t="s">
        <v>255</v>
      </c>
      <c r="H382" s="30" t="s">
        <v>338</v>
      </c>
      <c r="I382" s="31" t="s">
        <v>338</v>
      </c>
      <c r="J382" s="30" t="s">
        <v>384</v>
      </c>
      <c r="K382" s="30"/>
    </row>
    <row r="383" customFormat="false" ht="15" hidden="false" customHeight="false" outlineLevel="0" collapsed="false">
      <c r="A383" s="30" t="s">
        <v>2341</v>
      </c>
      <c r="B383" s="30" t="s">
        <v>2024</v>
      </c>
      <c r="C383" s="30" t="s">
        <v>2020</v>
      </c>
      <c r="D383" s="30" t="s">
        <v>2347</v>
      </c>
      <c r="E383" s="31" t="s">
        <v>114</v>
      </c>
      <c r="F383" s="30" t="s">
        <v>62</v>
      </c>
      <c r="G383" s="31" t="s">
        <v>62</v>
      </c>
      <c r="H383" s="30" t="s">
        <v>2044</v>
      </c>
      <c r="I383" s="31" t="s">
        <v>314</v>
      </c>
      <c r="J383" s="30" t="s">
        <v>2019</v>
      </c>
      <c r="K383" s="30"/>
    </row>
    <row r="384" customFormat="false" ht="15" hidden="false" customHeight="false" outlineLevel="0" collapsed="false">
      <c r="A384" s="30" t="s">
        <v>2341</v>
      </c>
      <c r="B384" s="30" t="s">
        <v>2030</v>
      </c>
      <c r="C384" s="30" t="s">
        <v>2016</v>
      </c>
      <c r="D384" s="30" t="s">
        <v>55</v>
      </c>
      <c r="E384" s="31" t="s">
        <v>55</v>
      </c>
      <c r="F384" s="30" t="s">
        <v>121</v>
      </c>
      <c r="G384" s="31" t="s">
        <v>121</v>
      </c>
      <c r="H384" s="30" t="s">
        <v>2348</v>
      </c>
      <c r="I384" s="31" t="s">
        <v>362</v>
      </c>
      <c r="J384" s="30" t="s">
        <v>2019</v>
      </c>
      <c r="K384" s="30"/>
    </row>
    <row r="385" customFormat="false" ht="15" hidden="false" customHeight="false" outlineLevel="0" collapsed="false">
      <c r="A385" s="30" t="s">
        <v>2341</v>
      </c>
      <c r="B385" s="30" t="s">
        <v>2030</v>
      </c>
      <c r="C385" s="30" t="s">
        <v>2020</v>
      </c>
      <c r="D385" s="30" t="s">
        <v>2349</v>
      </c>
      <c r="E385" s="31" t="s">
        <v>23</v>
      </c>
      <c r="F385" s="30" t="s">
        <v>2350</v>
      </c>
      <c r="G385" s="31" t="s">
        <v>301</v>
      </c>
      <c r="H385" s="30"/>
      <c r="I385" s="30"/>
      <c r="J385" s="30" t="s">
        <v>2019</v>
      </c>
      <c r="K385" s="30"/>
    </row>
    <row r="386" customFormat="false" ht="15" hidden="false" customHeight="false" outlineLevel="0" collapsed="false">
      <c r="A386" s="30" t="s">
        <v>2341</v>
      </c>
      <c r="B386" s="30" t="s">
        <v>2035</v>
      </c>
      <c r="C386" s="30" t="s">
        <v>2016</v>
      </c>
      <c r="D386" s="30" t="s">
        <v>2351</v>
      </c>
      <c r="E386" s="31" t="s">
        <v>30</v>
      </c>
      <c r="F386" s="30" t="s">
        <v>2352</v>
      </c>
      <c r="G386" s="31" t="s">
        <v>249</v>
      </c>
      <c r="H386" s="30" t="s">
        <v>2353</v>
      </c>
      <c r="I386" s="31" t="s">
        <v>332</v>
      </c>
      <c r="J386" s="30" t="s">
        <v>2019</v>
      </c>
      <c r="K386" s="30"/>
    </row>
    <row r="387" customFormat="false" ht="15" hidden="false" customHeight="false" outlineLevel="0" collapsed="false">
      <c r="A387" s="30" t="s">
        <v>2341</v>
      </c>
      <c r="B387" s="30" t="s">
        <v>2035</v>
      </c>
      <c r="C387" s="30" t="s">
        <v>2020</v>
      </c>
      <c r="D387" s="30" t="s">
        <v>2354</v>
      </c>
      <c r="E387" s="31" t="s">
        <v>35</v>
      </c>
      <c r="F387" s="30" t="s">
        <v>2206</v>
      </c>
      <c r="G387" s="31" t="s">
        <v>84</v>
      </c>
      <c r="H387" s="30"/>
      <c r="I387" s="30"/>
      <c r="J387" s="30" t="s">
        <v>2019</v>
      </c>
      <c r="K387" s="30"/>
    </row>
    <row r="388" customFormat="false" ht="15" hidden="false" customHeight="false" outlineLevel="0" collapsed="false">
      <c r="A388" s="30" t="s">
        <v>2341</v>
      </c>
      <c r="B388" s="30" t="s">
        <v>2039</v>
      </c>
      <c r="C388" s="30" t="s">
        <v>2016</v>
      </c>
      <c r="D388" s="30" t="s">
        <v>17</v>
      </c>
      <c r="E388" s="31" t="s">
        <v>17</v>
      </c>
      <c r="F388" s="30" t="s">
        <v>2204</v>
      </c>
      <c r="G388" s="31" t="s">
        <v>137</v>
      </c>
      <c r="H388" s="30" t="s">
        <v>2355</v>
      </c>
      <c r="I388" s="31" t="s">
        <v>375</v>
      </c>
      <c r="J388" s="30" t="s">
        <v>2019</v>
      </c>
      <c r="K388" s="30"/>
    </row>
    <row r="389" customFormat="false" ht="15" hidden="false" customHeight="false" outlineLevel="0" collapsed="false">
      <c r="A389" s="30" t="s">
        <v>2341</v>
      </c>
      <c r="B389" s="30" t="s">
        <v>2039</v>
      </c>
      <c r="C389" s="30" t="s">
        <v>2020</v>
      </c>
      <c r="D389" s="30" t="s">
        <v>2356</v>
      </c>
      <c r="E389" s="31" t="s">
        <v>54</v>
      </c>
      <c r="F389" s="30" t="s">
        <v>124</v>
      </c>
      <c r="G389" s="31" t="s">
        <v>124</v>
      </c>
      <c r="H389" s="30"/>
      <c r="I389" s="30"/>
      <c r="J389" s="30" t="s">
        <v>2019</v>
      </c>
      <c r="K389" s="30"/>
    </row>
    <row r="390" customFormat="false" ht="15" hidden="false" customHeight="false" outlineLevel="0" collapsed="false">
      <c r="A390" s="30" t="s">
        <v>2341</v>
      </c>
      <c r="B390" s="30" t="s">
        <v>2045</v>
      </c>
      <c r="C390" s="30" t="s">
        <v>2016</v>
      </c>
      <c r="D390" s="30" t="s">
        <v>2357</v>
      </c>
      <c r="E390" s="31" t="s">
        <v>16</v>
      </c>
      <c r="F390" s="30" t="s">
        <v>2358</v>
      </c>
      <c r="G390" s="31" t="s">
        <v>159</v>
      </c>
      <c r="H390" s="30" t="s">
        <v>2126</v>
      </c>
      <c r="I390" s="31" t="s">
        <v>309</v>
      </c>
      <c r="J390" s="30" t="s">
        <v>2019</v>
      </c>
      <c r="K390" s="30"/>
    </row>
    <row r="391" customFormat="false" ht="15" hidden="false" customHeight="false" outlineLevel="0" collapsed="false">
      <c r="A391" s="30" t="s">
        <v>2341</v>
      </c>
      <c r="B391" s="30" t="s">
        <v>2045</v>
      </c>
      <c r="C391" s="30" t="s">
        <v>2020</v>
      </c>
      <c r="D391" s="30" t="s">
        <v>2359</v>
      </c>
      <c r="E391" s="31" t="s">
        <v>29</v>
      </c>
      <c r="F391" s="30" t="s">
        <v>2360</v>
      </c>
      <c r="G391" s="31" t="s">
        <v>133</v>
      </c>
      <c r="H391" s="30" t="s">
        <v>2211</v>
      </c>
      <c r="I391" s="31" t="s">
        <v>322</v>
      </c>
      <c r="J391" s="30" t="s">
        <v>2361</v>
      </c>
      <c r="K391" s="30"/>
    </row>
    <row r="392" customFormat="false" ht="15" hidden="false" customHeight="false" outlineLevel="0" collapsed="false">
      <c r="A392" s="30" t="s">
        <v>2341</v>
      </c>
      <c r="B392" s="30" t="s">
        <v>2050</v>
      </c>
      <c r="C392" s="30" t="s">
        <v>2016</v>
      </c>
      <c r="D392" s="30" t="s">
        <v>2362</v>
      </c>
      <c r="E392" s="31" t="s">
        <v>43</v>
      </c>
      <c r="F392" s="30" t="s">
        <v>2363</v>
      </c>
      <c r="G392" s="31" t="s">
        <v>189</v>
      </c>
      <c r="H392" s="30" t="s">
        <v>2364</v>
      </c>
      <c r="I392" s="31" t="s">
        <v>344</v>
      </c>
      <c r="J392" s="30" t="s">
        <v>384</v>
      </c>
      <c r="K392" s="30"/>
    </row>
    <row r="393" customFormat="false" ht="15" hidden="false" customHeight="false" outlineLevel="0" collapsed="false">
      <c r="A393" s="30" t="s">
        <v>2341</v>
      </c>
      <c r="B393" s="30" t="s">
        <v>2050</v>
      </c>
      <c r="C393" s="30" t="s">
        <v>2020</v>
      </c>
      <c r="D393" s="30" t="s">
        <v>2365</v>
      </c>
      <c r="E393" s="31" t="s">
        <v>22</v>
      </c>
      <c r="F393" s="30" t="s">
        <v>2366</v>
      </c>
      <c r="G393" s="31" t="s">
        <v>143</v>
      </c>
      <c r="H393" s="30"/>
      <c r="I393" s="30"/>
      <c r="J393" s="30" t="s">
        <v>2019</v>
      </c>
      <c r="K393" s="30"/>
    </row>
    <row r="394" customFormat="false" ht="15" hidden="false" customHeight="false" outlineLevel="0" collapsed="false">
      <c r="A394" s="30" t="s">
        <v>2367</v>
      </c>
      <c r="B394" s="30" t="s">
        <v>2015</v>
      </c>
      <c r="C394" s="30" t="s">
        <v>2016</v>
      </c>
      <c r="D394" s="30" t="s">
        <v>2368</v>
      </c>
      <c r="E394" s="31" t="s">
        <v>51</v>
      </c>
      <c r="F394" s="30" t="s">
        <v>2369</v>
      </c>
      <c r="G394" s="31" t="s">
        <v>173</v>
      </c>
      <c r="H394" s="30" t="s">
        <v>2323</v>
      </c>
      <c r="I394" s="31" t="s">
        <v>312</v>
      </c>
      <c r="J394" s="30" t="s">
        <v>2019</v>
      </c>
      <c r="K394" s="30"/>
    </row>
    <row r="395" customFormat="false" ht="15" hidden="false" customHeight="false" outlineLevel="0" collapsed="false">
      <c r="A395" s="30" t="s">
        <v>2367</v>
      </c>
      <c r="B395" s="30" t="s">
        <v>2015</v>
      </c>
      <c r="C395" s="30" t="s">
        <v>2020</v>
      </c>
      <c r="D395" s="30" t="s">
        <v>2370</v>
      </c>
      <c r="E395" s="31" t="s">
        <v>73</v>
      </c>
      <c r="F395" s="30" t="s">
        <v>2371</v>
      </c>
      <c r="G395" s="31" t="s">
        <v>129</v>
      </c>
      <c r="H395" s="30" t="s">
        <v>2372</v>
      </c>
      <c r="I395" s="31" t="s">
        <v>318</v>
      </c>
      <c r="J395" s="30" t="s">
        <v>2019</v>
      </c>
      <c r="K395" s="30"/>
    </row>
    <row r="396" customFormat="false" ht="15" hidden="false" customHeight="false" outlineLevel="0" collapsed="false">
      <c r="A396" s="30" t="s">
        <v>2367</v>
      </c>
      <c r="B396" s="30" t="s">
        <v>2024</v>
      </c>
      <c r="C396" s="30" t="s">
        <v>2016</v>
      </c>
      <c r="D396" s="30" t="s">
        <v>29</v>
      </c>
      <c r="E396" s="31" t="s">
        <v>29</v>
      </c>
      <c r="F396" s="30" t="s">
        <v>2373</v>
      </c>
      <c r="G396" s="31" t="s">
        <v>280</v>
      </c>
      <c r="H396" s="30" t="s">
        <v>2374</v>
      </c>
      <c r="I396" s="31" t="s">
        <v>342</v>
      </c>
      <c r="J396" s="30" t="s">
        <v>384</v>
      </c>
      <c r="K396" s="30"/>
    </row>
    <row r="397" customFormat="false" ht="15" hidden="false" customHeight="false" outlineLevel="0" collapsed="false">
      <c r="A397" s="30" t="s">
        <v>2367</v>
      </c>
      <c r="B397" s="30" t="s">
        <v>2024</v>
      </c>
      <c r="C397" s="30" t="s">
        <v>2020</v>
      </c>
      <c r="D397" s="30"/>
      <c r="E397" s="30"/>
      <c r="F397" s="30" t="s">
        <v>2375</v>
      </c>
      <c r="G397" s="31" t="s">
        <v>9</v>
      </c>
      <c r="H397" s="30" t="s">
        <v>2376</v>
      </c>
      <c r="I397" s="31" t="s">
        <v>230</v>
      </c>
      <c r="J397" s="30" t="s">
        <v>2361</v>
      </c>
      <c r="K397" s="30"/>
    </row>
    <row r="398" customFormat="false" ht="15" hidden="false" customHeight="false" outlineLevel="0" collapsed="false">
      <c r="A398" s="30" t="s">
        <v>2367</v>
      </c>
      <c r="B398" s="30" t="s">
        <v>2030</v>
      </c>
      <c r="C398" s="30" t="s">
        <v>2016</v>
      </c>
      <c r="D398" s="30" t="s">
        <v>2377</v>
      </c>
      <c r="E398" s="31" t="s">
        <v>60</v>
      </c>
      <c r="F398" s="30" t="s">
        <v>2378</v>
      </c>
      <c r="G398" s="31" t="s">
        <v>146</v>
      </c>
      <c r="H398" s="30" t="s">
        <v>2319</v>
      </c>
      <c r="I398" s="31" t="s">
        <v>378</v>
      </c>
      <c r="J398" s="30" t="s">
        <v>2019</v>
      </c>
      <c r="K398" s="30"/>
    </row>
    <row r="399" customFormat="false" ht="15" hidden="false" customHeight="false" outlineLevel="0" collapsed="false">
      <c r="A399" s="30" t="s">
        <v>2367</v>
      </c>
      <c r="B399" s="30" t="s">
        <v>2030</v>
      </c>
      <c r="C399" s="30" t="s">
        <v>2020</v>
      </c>
      <c r="D399" s="30" t="s">
        <v>2379</v>
      </c>
      <c r="E399" s="31" t="s">
        <v>45</v>
      </c>
      <c r="F399" s="30" t="s">
        <v>2380</v>
      </c>
      <c r="G399" s="31" t="s">
        <v>151</v>
      </c>
      <c r="H399" s="30"/>
      <c r="I399" s="30"/>
      <c r="J399" s="30" t="s">
        <v>2019</v>
      </c>
      <c r="K399" s="30"/>
    </row>
    <row r="400" customFormat="false" ht="15" hidden="false" customHeight="false" outlineLevel="0" collapsed="false">
      <c r="A400" s="30" t="s">
        <v>2367</v>
      </c>
      <c r="B400" s="30" t="s">
        <v>2035</v>
      </c>
      <c r="C400" s="30" t="s">
        <v>2016</v>
      </c>
      <c r="D400" s="30" t="s">
        <v>2051</v>
      </c>
      <c r="E400" s="31" t="s">
        <v>9</v>
      </c>
      <c r="F400" s="30" t="s">
        <v>2381</v>
      </c>
      <c r="G400" s="31" t="s">
        <v>130</v>
      </c>
      <c r="H400" s="30" t="s">
        <v>2382</v>
      </c>
      <c r="I400" s="31" t="s">
        <v>322</v>
      </c>
      <c r="J400" s="30" t="s">
        <v>2019</v>
      </c>
      <c r="K400" s="30"/>
    </row>
    <row r="401" customFormat="false" ht="15" hidden="false" customHeight="false" outlineLevel="0" collapsed="false">
      <c r="A401" s="30" t="s">
        <v>2367</v>
      </c>
      <c r="B401" s="30" t="s">
        <v>2035</v>
      </c>
      <c r="C401" s="30" t="s">
        <v>2020</v>
      </c>
      <c r="D401" s="30" t="s">
        <v>2383</v>
      </c>
      <c r="E401" s="31" t="s">
        <v>40</v>
      </c>
      <c r="F401" s="30" t="s">
        <v>2384</v>
      </c>
      <c r="G401" s="31" t="s">
        <v>292</v>
      </c>
      <c r="H401" s="30" t="s">
        <v>2385</v>
      </c>
      <c r="I401" s="31" t="s">
        <v>327</v>
      </c>
      <c r="J401" s="30" t="s">
        <v>2019</v>
      </c>
      <c r="K401" s="30"/>
    </row>
    <row r="402" customFormat="false" ht="15" hidden="false" customHeight="false" outlineLevel="0" collapsed="false">
      <c r="A402" s="30" t="s">
        <v>2367</v>
      </c>
      <c r="B402" s="30" t="s">
        <v>2039</v>
      </c>
      <c r="C402" s="30" t="s">
        <v>2016</v>
      </c>
      <c r="D402" s="30" t="s">
        <v>2386</v>
      </c>
      <c r="E402" s="31" t="s">
        <v>115</v>
      </c>
      <c r="F402" s="30" t="s">
        <v>2137</v>
      </c>
      <c r="G402" s="31" t="s">
        <v>137</v>
      </c>
      <c r="H402" s="30" t="s">
        <v>2387</v>
      </c>
      <c r="I402" s="31" t="s">
        <v>360</v>
      </c>
      <c r="J402" s="30" t="s">
        <v>2019</v>
      </c>
      <c r="K402" s="30"/>
    </row>
    <row r="403" customFormat="false" ht="15" hidden="false" customHeight="false" outlineLevel="0" collapsed="false">
      <c r="A403" s="30" t="s">
        <v>2367</v>
      </c>
      <c r="B403" s="30" t="s">
        <v>2039</v>
      </c>
      <c r="C403" s="30" t="s">
        <v>2020</v>
      </c>
      <c r="D403" s="30" t="s">
        <v>2388</v>
      </c>
      <c r="E403" s="31" t="s">
        <v>32</v>
      </c>
      <c r="F403" s="30" t="s">
        <v>2389</v>
      </c>
      <c r="G403" s="31" t="s">
        <v>184</v>
      </c>
      <c r="H403" s="30"/>
      <c r="I403" s="30"/>
      <c r="J403" s="30" t="s">
        <v>2019</v>
      </c>
      <c r="K403" s="30"/>
    </row>
    <row r="404" customFormat="false" ht="15" hidden="false" customHeight="false" outlineLevel="0" collapsed="false">
      <c r="A404" s="30" t="s">
        <v>2367</v>
      </c>
      <c r="B404" s="30" t="s">
        <v>2045</v>
      </c>
      <c r="C404" s="30" t="s">
        <v>2016</v>
      </c>
      <c r="D404" s="30" t="s">
        <v>2357</v>
      </c>
      <c r="E404" s="31" t="s">
        <v>16</v>
      </c>
      <c r="F404" s="30" t="s">
        <v>2390</v>
      </c>
      <c r="G404" s="31" t="s">
        <v>293</v>
      </c>
      <c r="H404" s="30" t="s">
        <v>2044</v>
      </c>
      <c r="I404" s="31" t="s">
        <v>314</v>
      </c>
      <c r="J404" s="30" t="s">
        <v>2019</v>
      </c>
      <c r="K404" s="30"/>
    </row>
    <row r="405" customFormat="false" ht="15" hidden="false" customHeight="false" outlineLevel="0" collapsed="false">
      <c r="A405" s="30" t="s">
        <v>2367</v>
      </c>
      <c r="B405" s="30" t="s">
        <v>2045</v>
      </c>
      <c r="C405" s="30" t="s">
        <v>2020</v>
      </c>
      <c r="D405" s="30" t="s">
        <v>2368</v>
      </c>
      <c r="E405" s="31" t="s">
        <v>51</v>
      </c>
      <c r="F405" s="30" t="s">
        <v>2391</v>
      </c>
      <c r="G405" s="31" t="s">
        <v>195</v>
      </c>
      <c r="H405" s="30" t="s">
        <v>2293</v>
      </c>
      <c r="I405" s="31" t="s">
        <v>340</v>
      </c>
      <c r="J405" s="30" t="s">
        <v>2019</v>
      </c>
      <c r="K405" s="30"/>
    </row>
    <row r="406" customFormat="false" ht="15" hidden="false" customHeight="false" outlineLevel="0" collapsed="false">
      <c r="A406" s="30" t="s">
        <v>2367</v>
      </c>
      <c r="B406" s="30" t="s">
        <v>2050</v>
      </c>
      <c r="C406" s="30" t="s">
        <v>2016</v>
      </c>
      <c r="D406" s="30" t="s">
        <v>2392</v>
      </c>
      <c r="E406" s="31" t="s">
        <v>38</v>
      </c>
      <c r="F406" s="30" t="s">
        <v>2393</v>
      </c>
      <c r="G406" s="31" t="s">
        <v>282</v>
      </c>
      <c r="H406" s="30" t="s">
        <v>2259</v>
      </c>
      <c r="I406" s="31" t="s">
        <v>306</v>
      </c>
      <c r="J406" s="30" t="s">
        <v>384</v>
      </c>
      <c r="K406" s="30"/>
    </row>
    <row r="407" customFormat="false" ht="15" hidden="false" customHeight="false" outlineLevel="0" collapsed="false">
      <c r="A407" s="30" t="s">
        <v>2367</v>
      </c>
      <c r="B407" s="30" t="s">
        <v>2050</v>
      </c>
      <c r="C407" s="30" t="s">
        <v>2020</v>
      </c>
      <c r="D407" s="30" t="s">
        <v>2051</v>
      </c>
      <c r="E407" s="31" t="s">
        <v>9</v>
      </c>
      <c r="F407" s="30" t="s">
        <v>46</v>
      </c>
      <c r="G407" s="31" t="s">
        <v>46</v>
      </c>
      <c r="H407" s="30"/>
      <c r="I407" s="30"/>
      <c r="J407" s="30" t="s">
        <v>2019</v>
      </c>
      <c r="K407" s="30"/>
    </row>
    <row r="408" customFormat="false" ht="15" hidden="false" customHeight="false" outlineLevel="0" collapsed="false">
      <c r="A408" s="30" t="s">
        <v>2394</v>
      </c>
      <c r="B408" s="30" t="s">
        <v>2015</v>
      </c>
      <c r="C408" s="30" t="s">
        <v>2016</v>
      </c>
      <c r="D408" s="30" t="s">
        <v>2395</v>
      </c>
      <c r="E408" s="31" t="s">
        <v>83</v>
      </c>
      <c r="F408" s="30" t="s">
        <v>2396</v>
      </c>
      <c r="G408" s="31" t="s">
        <v>177</v>
      </c>
      <c r="H408" s="30" t="s">
        <v>2126</v>
      </c>
      <c r="I408" s="31" t="s">
        <v>309</v>
      </c>
      <c r="J408" s="30" t="s">
        <v>2019</v>
      </c>
      <c r="K408" s="30"/>
    </row>
    <row r="409" customFormat="false" ht="15" hidden="false" customHeight="false" outlineLevel="0" collapsed="false">
      <c r="A409" s="30" t="s">
        <v>2394</v>
      </c>
      <c r="B409" s="30" t="s">
        <v>2015</v>
      </c>
      <c r="C409" s="30" t="s">
        <v>2020</v>
      </c>
      <c r="D409" s="30" t="s">
        <v>2397</v>
      </c>
      <c r="E409" s="31" t="s">
        <v>52</v>
      </c>
      <c r="F409" s="30" t="s">
        <v>2194</v>
      </c>
      <c r="G409" s="31" t="s">
        <v>100</v>
      </c>
      <c r="H409" s="30"/>
      <c r="I409" s="30"/>
      <c r="J409" s="30" t="s">
        <v>2019</v>
      </c>
      <c r="K409" s="30"/>
    </row>
    <row r="410" customFormat="false" ht="15" hidden="false" customHeight="false" outlineLevel="0" collapsed="false">
      <c r="A410" s="30" t="s">
        <v>2394</v>
      </c>
      <c r="B410" s="30" t="s">
        <v>2024</v>
      </c>
      <c r="C410" s="30" t="s">
        <v>2016</v>
      </c>
      <c r="D410" s="30" t="s">
        <v>2362</v>
      </c>
      <c r="E410" s="31" t="s">
        <v>43</v>
      </c>
      <c r="F410" s="30" t="s">
        <v>2398</v>
      </c>
      <c r="G410" s="31" t="s">
        <v>226</v>
      </c>
      <c r="H410" s="30" t="s">
        <v>338</v>
      </c>
      <c r="I410" s="31" t="s">
        <v>338</v>
      </c>
      <c r="J410" s="30" t="s">
        <v>384</v>
      </c>
      <c r="K410" s="30"/>
    </row>
    <row r="411" customFormat="false" ht="15" hidden="false" customHeight="false" outlineLevel="0" collapsed="false">
      <c r="A411" s="30" t="s">
        <v>2394</v>
      </c>
      <c r="B411" s="30" t="s">
        <v>2024</v>
      </c>
      <c r="C411" s="30" t="s">
        <v>2020</v>
      </c>
      <c r="D411" s="30" t="s">
        <v>2399</v>
      </c>
      <c r="E411" s="31" t="s">
        <v>72</v>
      </c>
      <c r="F411" s="30" t="s">
        <v>2400</v>
      </c>
      <c r="G411" s="31" t="s">
        <v>256</v>
      </c>
      <c r="H411" s="30"/>
      <c r="I411" s="30"/>
      <c r="J411" s="30" t="s">
        <v>2019</v>
      </c>
      <c r="K411" s="30"/>
    </row>
    <row r="412" customFormat="false" ht="15" hidden="false" customHeight="false" outlineLevel="0" collapsed="false">
      <c r="A412" s="30" t="s">
        <v>2394</v>
      </c>
      <c r="B412" s="30" t="s">
        <v>2030</v>
      </c>
      <c r="C412" s="30" t="s">
        <v>2016</v>
      </c>
      <c r="D412" s="30" t="s">
        <v>46</v>
      </c>
      <c r="E412" s="31" t="s">
        <v>46</v>
      </c>
      <c r="F412" s="30" t="s">
        <v>2401</v>
      </c>
      <c r="G412" s="31" t="s">
        <v>159</v>
      </c>
      <c r="H412" s="30" t="s">
        <v>2402</v>
      </c>
      <c r="I412" s="31" t="s">
        <v>314</v>
      </c>
      <c r="J412" s="30" t="s">
        <v>2019</v>
      </c>
      <c r="K412" s="30"/>
    </row>
    <row r="413" customFormat="false" ht="15" hidden="false" customHeight="false" outlineLevel="0" collapsed="false">
      <c r="A413" s="30" t="s">
        <v>2394</v>
      </c>
      <c r="B413" s="30" t="s">
        <v>2030</v>
      </c>
      <c r="C413" s="30" t="s">
        <v>2020</v>
      </c>
      <c r="D413" s="30" t="s">
        <v>2403</v>
      </c>
      <c r="E413" s="31" t="s">
        <v>85</v>
      </c>
      <c r="F413" s="30" t="s">
        <v>2404</v>
      </c>
      <c r="G413" s="31" t="s">
        <v>129</v>
      </c>
      <c r="H413" s="30" t="s">
        <v>2259</v>
      </c>
      <c r="I413" s="31" t="s">
        <v>306</v>
      </c>
      <c r="J413" s="30" t="s">
        <v>2019</v>
      </c>
      <c r="K413" s="30"/>
    </row>
    <row r="414" customFormat="false" ht="15" hidden="false" customHeight="false" outlineLevel="0" collapsed="false">
      <c r="A414" s="30" t="s">
        <v>2394</v>
      </c>
      <c r="B414" s="30" t="s">
        <v>2035</v>
      </c>
      <c r="C414" s="30" t="s">
        <v>2016</v>
      </c>
      <c r="D414" s="30" t="s">
        <v>31</v>
      </c>
      <c r="E414" s="31" t="s">
        <v>31</v>
      </c>
      <c r="F414" s="30" t="s">
        <v>176</v>
      </c>
      <c r="G414" s="31" t="s">
        <v>176</v>
      </c>
      <c r="H414" s="30"/>
      <c r="I414" s="30"/>
      <c r="J414" s="30" t="s">
        <v>2019</v>
      </c>
      <c r="K414" s="30"/>
    </row>
    <row r="415" customFormat="false" ht="15" hidden="false" customHeight="false" outlineLevel="0" collapsed="false">
      <c r="A415" s="30" t="s">
        <v>2394</v>
      </c>
      <c r="B415" s="30" t="s">
        <v>2035</v>
      </c>
      <c r="C415" s="30" t="s">
        <v>2020</v>
      </c>
      <c r="D415" s="30" t="s">
        <v>2357</v>
      </c>
      <c r="E415" s="31" t="s">
        <v>16</v>
      </c>
      <c r="F415" s="30" t="s">
        <v>2300</v>
      </c>
      <c r="G415" s="31" t="s">
        <v>123</v>
      </c>
      <c r="H415" s="30" t="s">
        <v>2385</v>
      </c>
      <c r="I415" s="31" t="s">
        <v>327</v>
      </c>
      <c r="J415" s="30" t="s">
        <v>2019</v>
      </c>
      <c r="K415" s="30"/>
    </row>
    <row r="416" customFormat="false" ht="15" hidden="false" customHeight="false" outlineLevel="0" collapsed="false">
      <c r="A416" s="30" t="s">
        <v>2394</v>
      </c>
      <c r="B416" s="30" t="s">
        <v>2039</v>
      </c>
      <c r="C416" s="30" t="s">
        <v>2016</v>
      </c>
      <c r="D416" s="30" t="s">
        <v>2405</v>
      </c>
      <c r="E416" s="31" t="s">
        <v>68</v>
      </c>
      <c r="F416" s="30" t="s">
        <v>2137</v>
      </c>
      <c r="G416" s="31" t="s">
        <v>137</v>
      </c>
      <c r="H416" s="30" t="s">
        <v>2406</v>
      </c>
      <c r="I416" s="31" t="s">
        <v>357</v>
      </c>
      <c r="J416" s="30" t="s">
        <v>2019</v>
      </c>
      <c r="K416" s="30"/>
    </row>
    <row r="417" customFormat="false" ht="15" hidden="false" customHeight="false" outlineLevel="0" collapsed="false">
      <c r="A417" s="30" t="s">
        <v>2394</v>
      </c>
      <c r="B417" s="30" t="s">
        <v>2039</v>
      </c>
      <c r="C417" s="30" t="s">
        <v>2020</v>
      </c>
      <c r="D417" s="30" t="s">
        <v>2407</v>
      </c>
      <c r="E417" s="31" t="s">
        <v>9</v>
      </c>
      <c r="F417" s="30" t="s">
        <v>2359</v>
      </c>
      <c r="G417" s="31" t="s">
        <v>29</v>
      </c>
      <c r="H417" s="30" t="s">
        <v>2408</v>
      </c>
      <c r="I417" s="31" t="s">
        <v>61</v>
      </c>
      <c r="J417" s="30" t="s">
        <v>2019</v>
      </c>
      <c r="K417" s="30"/>
    </row>
    <row r="418" customFormat="false" ht="15" hidden="false" customHeight="false" outlineLevel="0" collapsed="false">
      <c r="A418" s="30" t="s">
        <v>2394</v>
      </c>
      <c r="B418" s="30" t="s">
        <v>2045</v>
      </c>
      <c r="C418" s="30" t="s">
        <v>2016</v>
      </c>
      <c r="D418" s="30" t="s">
        <v>2310</v>
      </c>
      <c r="E418" s="31" t="s">
        <v>64</v>
      </c>
      <c r="F418" s="30" t="s">
        <v>2409</v>
      </c>
      <c r="G418" s="31" t="s">
        <v>163</v>
      </c>
      <c r="H418" s="30" t="s">
        <v>2410</v>
      </c>
      <c r="I418" s="31" t="s">
        <v>322</v>
      </c>
      <c r="J418" s="30" t="s">
        <v>2019</v>
      </c>
      <c r="K418" s="30"/>
    </row>
    <row r="419" customFormat="false" ht="15" hidden="false" customHeight="false" outlineLevel="0" collapsed="false">
      <c r="A419" s="30" t="s">
        <v>2394</v>
      </c>
      <c r="B419" s="30" t="s">
        <v>2045</v>
      </c>
      <c r="C419" s="30" t="s">
        <v>2020</v>
      </c>
      <c r="D419" s="30" t="s">
        <v>2124</v>
      </c>
      <c r="E419" s="31" t="s">
        <v>17</v>
      </c>
      <c r="F419" s="30" t="s">
        <v>2411</v>
      </c>
      <c r="G419" s="31" t="s">
        <v>114</v>
      </c>
      <c r="H419" s="30" t="s">
        <v>2412</v>
      </c>
      <c r="I419" s="31" t="s">
        <v>359</v>
      </c>
      <c r="J419" s="30" t="s">
        <v>2019</v>
      </c>
      <c r="K419" s="30"/>
    </row>
    <row r="420" customFormat="false" ht="15" hidden="false" customHeight="false" outlineLevel="0" collapsed="false">
      <c r="A420" s="30" t="s">
        <v>2394</v>
      </c>
      <c r="B420" s="30" t="s">
        <v>2050</v>
      </c>
      <c r="C420" s="30" t="s">
        <v>2016</v>
      </c>
      <c r="D420" s="30" t="s">
        <v>2295</v>
      </c>
      <c r="E420" s="31" t="s">
        <v>80</v>
      </c>
      <c r="F420" s="30" t="s">
        <v>2304</v>
      </c>
      <c r="G420" s="31" t="s">
        <v>141</v>
      </c>
      <c r="H420" s="30" t="s">
        <v>2413</v>
      </c>
      <c r="I420" s="31" t="s">
        <v>375</v>
      </c>
      <c r="J420" s="30" t="s">
        <v>384</v>
      </c>
      <c r="K420" s="30"/>
    </row>
    <row r="421" customFormat="false" ht="15" hidden="false" customHeight="false" outlineLevel="0" collapsed="false">
      <c r="A421" s="30" t="s">
        <v>2394</v>
      </c>
      <c r="B421" s="30" t="s">
        <v>2050</v>
      </c>
      <c r="C421" s="30" t="s">
        <v>2020</v>
      </c>
      <c r="D421" s="30" t="s">
        <v>2414</v>
      </c>
      <c r="E421" s="31" t="s">
        <v>63</v>
      </c>
      <c r="F421" s="30" t="s">
        <v>2415</v>
      </c>
      <c r="G421" s="31" t="s">
        <v>172</v>
      </c>
      <c r="H421" s="30"/>
      <c r="I421" s="30"/>
      <c r="J421" s="30" t="s">
        <v>2019</v>
      </c>
      <c r="K421" s="30"/>
    </row>
    <row r="422" customFormat="false" ht="15" hidden="false" customHeight="false" outlineLevel="0" collapsed="false">
      <c r="A422" s="30" t="s">
        <v>2416</v>
      </c>
      <c r="B422" s="30" t="s">
        <v>2015</v>
      </c>
      <c r="C422" s="30" t="s">
        <v>2016</v>
      </c>
      <c r="D422" s="30" t="s">
        <v>2417</v>
      </c>
      <c r="E422" s="31" t="s">
        <v>62</v>
      </c>
      <c r="F422" s="30" t="s">
        <v>2268</v>
      </c>
      <c r="G422" s="31" t="s">
        <v>199</v>
      </c>
      <c r="H422" s="30" t="s">
        <v>2210</v>
      </c>
      <c r="I422" s="31" t="s">
        <v>310</v>
      </c>
      <c r="J422" s="30" t="s">
        <v>2019</v>
      </c>
      <c r="K422" s="30"/>
    </row>
    <row r="423" customFormat="false" ht="15" hidden="false" customHeight="false" outlineLevel="0" collapsed="false">
      <c r="A423" s="30" t="s">
        <v>2416</v>
      </c>
      <c r="B423" s="30" t="s">
        <v>2015</v>
      </c>
      <c r="C423" s="30" t="s">
        <v>2020</v>
      </c>
      <c r="D423" s="30" t="s">
        <v>2292</v>
      </c>
      <c r="E423" s="31" t="s">
        <v>23</v>
      </c>
      <c r="F423" s="30" t="s">
        <v>2418</v>
      </c>
      <c r="G423" s="31" t="s">
        <v>157</v>
      </c>
      <c r="H423" s="30" t="s">
        <v>2199</v>
      </c>
      <c r="I423" s="31" t="s">
        <v>340</v>
      </c>
      <c r="J423" s="30" t="s">
        <v>2019</v>
      </c>
      <c r="K423" s="30"/>
    </row>
    <row r="424" customFormat="false" ht="15" hidden="false" customHeight="false" outlineLevel="0" collapsed="false">
      <c r="A424" s="30" t="s">
        <v>2416</v>
      </c>
      <c r="B424" s="30" t="s">
        <v>2024</v>
      </c>
      <c r="C424" s="30" t="s">
        <v>2016</v>
      </c>
      <c r="D424" s="30" t="s">
        <v>2419</v>
      </c>
      <c r="E424" s="31" t="s">
        <v>117</v>
      </c>
      <c r="F424" s="30" t="s">
        <v>2420</v>
      </c>
      <c r="G424" s="31" t="s">
        <v>320</v>
      </c>
      <c r="H424" s="30" t="s">
        <v>2180</v>
      </c>
      <c r="I424" s="31" t="s">
        <v>146</v>
      </c>
      <c r="J424" s="30" t="s">
        <v>2421</v>
      </c>
      <c r="K424" s="31" t="s">
        <v>394</v>
      </c>
    </row>
    <row r="425" customFormat="false" ht="15" hidden="false" customHeight="false" outlineLevel="0" collapsed="false">
      <c r="A425" s="30" t="s">
        <v>2416</v>
      </c>
      <c r="B425" s="30" t="s">
        <v>2024</v>
      </c>
      <c r="C425" s="30" t="s">
        <v>2020</v>
      </c>
      <c r="D425" s="30" t="s">
        <v>2383</v>
      </c>
      <c r="E425" s="31" t="s">
        <v>40</v>
      </c>
      <c r="F425" s="30" t="s">
        <v>2422</v>
      </c>
      <c r="G425" s="31" t="s">
        <v>235</v>
      </c>
      <c r="H425" s="30"/>
      <c r="I425" s="30"/>
      <c r="J425" s="30" t="s">
        <v>2019</v>
      </c>
      <c r="K425" s="30"/>
    </row>
    <row r="426" customFormat="false" ht="15" hidden="false" customHeight="false" outlineLevel="0" collapsed="false">
      <c r="A426" s="30" t="s">
        <v>2416</v>
      </c>
      <c r="B426" s="30" t="s">
        <v>2030</v>
      </c>
      <c r="C426" s="30" t="s">
        <v>2016</v>
      </c>
      <c r="D426" s="30" t="s">
        <v>2423</v>
      </c>
      <c r="E426" s="31" t="s">
        <v>49</v>
      </c>
      <c r="F426" s="30" t="s">
        <v>2360</v>
      </c>
      <c r="G426" s="31" t="s">
        <v>133</v>
      </c>
      <c r="H426" s="30" t="s">
        <v>2259</v>
      </c>
      <c r="I426" s="31" t="s">
        <v>306</v>
      </c>
      <c r="J426" s="30" t="s">
        <v>2019</v>
      </c>
      <c r="K426" s="30"/>
    </row>
    <row r="427" customFormat="false" ht="15" hidden="false" customHeight="false" outlineLevel="0" collapsed="false">
      <c r="A427" s="30" t="s">
        <v>2416</v>
      </c>
      <c r="B427" s="30" t="s">
        <v>2030</v>
      </c>
      <c r="C427" s="30" t="s">
        <v>2020</v>
      </c>
      <c r="D427" s="30" t="s">
        <v>2424</v>
      </c>
      <c r="E427" s="31" t="s">
        <v>55</v>
      </c>
      <c r="F427" s="30" t="s">
        <v>2425</v>
      </c>
      <c r="G427" s="31" t="s">
        <v>161</v>
      </c>
      <c r="H427" s="30"/>
      <c r="I427" s="30"/>
      <c r="J427" s="30" t="s">
        <v>2019</v>
      </c>
      <c r="K427" s="30"/>
    </row>
    <row r="428" customFormat="false" ht="15" hidden="false" customHeight="false" outlineLevel="0" collapsed="false">
      <c r="A428" s="30" t="s">
        <v>2416</v>
      </c>
      <c r="B428" s="30" t="s">
        <v>2035</v>
      </c>
      <c r="C428" s="30" t="s">
        <v>2016</v>
      </c>
      <c r="D428" s="30" t="s">
        <v>2426</v>
      </c>
      <c r="E428" s="31" t="s">
        <v>93</v>
      </c>
      <c r="F428" s="30" t="s">
        <v>2427</v>
      </c>
      <c r="G428" s="31" t="s">
        <v>256</v>
      </c>
      <c r="H428" s="30"/>
      <c r="I428" s="30"/>
      <c r="J428" s="30" t="s">
        <v>2019</v>
      </c>
      <c r="K428" s="30"/>
    </row>
    <row r="429" customFormat="false" ht="15" hidden="false" customHeight="false" outlineLevel="0" collapsed="false">
      <c r="A429" s="30" t="s">
        <v>2416</v>
      </c>
      <c r="B429" s="30" t="s">
        <v>2035</v>
      </c>
      <c r="C429" s="30" t="s">
        <v>2020</v>
      </c>
      <c r="D429" s="30" t="s">
        <v>2428</v>
      </c>
      <c r="E429" s="31" t="s">
        <v>79</v>
      </c>
      <c r="F429" s="30" t="s">
        <v>2429</v>
      </c>
      <c r="G429" s="31" t="s">
        <v>303</v>
      </c>
      <c r="H429" s="30"/>
      <c r="I429" s="30"/>
      <c r="J429" s="30" t="s">
        <v>2019</v>
      </c>
      <c r="K429" s="30"/>
    </row>
    <row r="430" customFormat="false" ht="15" hidden="false" customHeight="false" outlineLevel="0" collapsed="false">
      <c r="A430" s="30" t="s">
        <v>2416</v>
      </c>
      <c r="B430" s="30" t="s">
        <v>2039</v>
      </c>
      <c r="C430" s="30" t="s">
        <v>2016</v>
      </c>
      <c r="D430" s="30" t="s">
        <v>2388</v>
      </c>
      <c r="E430" s="31" t="s">
        <v>32</v>
      </c>
      <c r="F430" s="30" t="s">
        <v>2430</v>
      </c>
      <c r="G430" s="31" t="s">
        <v>154</v>
      </c>
      <c r="H430" s="30" t="s">
        <v>2053</v>
      </c>
      <c r="I430" s="31" t="s">
        <v>308</v>
      </c>
      <c r="J430" s="30" t="s">
        <v>2019</v>
      </c>
      <c r="K430" s="30"/>
    </row>
    <row r="431" customFormat="false" ht="15" hidden="false" customHeight="false" outlineLevel="0" collapsed="false">
      <c r="A431" s="30" t="s">
        <v>2416</v>
      </c>
      <c r="B431" s="30" t="s">
        <v>2039</v>
      </c>
      <c r="C431" s="30" t="s">
        <v>2020</v>
      </c>
      <c r="D431" s="30" t="s">
        <v>2359</v>
      </c>
      <c r="E431" s="31" t="s">
        <v>29</v>
      </c>
      <c r="F431" s="30" t="s">
        <v>2300</v>
      </c>
      <c r="G431" s="31" t="s">
        <v>123</v>
      </c>
      <c r="H431" s="30" t="s">
        <v>2431</v>
      </c>
      <c r="I431" s="31" t="s">
        <v>319</v>
      </c>
      <c r="J431" s="30" t="s">
        <v>2019</v>
      </c>
      <c r="K431" s="30"/>
    </row>
    <row r="432" customFormat="false" ht="15" hidden="false" customHeight="false" outlineLevel="0" collapsed="false">
      <c r="A432" s="30" t="s">
        <v>2416</v>
      </c>
      <c r="B432" s="30" t="s">
        <v>2045</v>
      </c>
      <c r="C432" s="30" t="s">
        <v>2016</v>
      </c>
      <c r="D432" s="30" t="s">
        <v>2432</v>
      </c>
      <c r="E432" s="31" t="s">
        <v>35</v>
      </c>
      <c r="F432" s="30" t="s">
        <v>2433</v>
      </c>
      <c r="G432" s="31" t="s">
        <v>292</v>
      </c>
      <c r="H432" s="30" t="s">
        <v>2434</v>
      </c>
      <c r="I432" s="31" t="s">
        <v>371</v>
      </c>
      <c r="J432" s="30" t="s">
        <v>2019</v>
      </c>
      <c r="K432" s="30"/>
    </row>
    <row r="433" customFormat="false" ht="15" hidden="false" customHeight="false" outlineLevel="0" collapsed="false">
      <c r="A433" s="30" t="s">
        <v>2416</v>
      </c>
      <c r="B433" s="30" t="s">
        <v>2045</v>
      </c>
      <c r="C433" s="30" t="s">
        <v>2020</v>
      </c>
      <c r="D433" s="30" t="s">
        <v>2051</v>
      </c>
      <c r="E433" s="31" t="s">
        <v>9</v>
      </c>
      <c r="F433" s="30" t="s">
        <v>2435</v>
      </c>
      <c r="G433" s="31" t="s">
        <v>150</v>
      </c>
      <c r="H433" s="30"/>
      <c r="I433" s="30"/>
      <c r="J433" s="30" t="s">
        <v>2019</v>
      </c>
      <c r="K433" s="30"/>
    </row>
    <row r="434" customFormat="false" ht="15" hidden="false" customHeight="false" outlineLevel="0" collapsed="false">
      <c r="A434" s="30" t="s">
        <v>2416</v>
      </c>
      <c r="B434" s="30" t="s">
        <v>2050</v>
      </c>
      <c r="C434" s="30" t="s">
        <v>2016</v>
      </c>
      <c r="D434" s="30" t="s">
        <v>2145</v>
      </c>
      <c r="E434" s="31" t="s">
        <v>372</v>
      </c>
      <c r="F434" s="30" t="s">
        <v>2436</v>
      </c>
      <c r="G434" s="31" t="s">
        <v>217</v>
      </c>
      <c r="H434" s="30" t="s">
        <v>2311</v>
      </c>
      <c r="I434" s="31" t="s">
        <v>344</v>
      </c>
      <c r="J434" s="30" t="s">
        <v>2437</v>
      </c>
      <c r="K434" s="31" t="s">
        <v>395</v>
      </c>
    </row>
    <row r="435" customFormat="false" ht="15" hidden="false" customHeight="false" outlineLevel="0" collapsed="false">
      <c r="A435" s="30" t="s">
        <v>2416</v>
      </c>
      <c r="B435" s="30" t="s">
        <v>2050</v>
      </c>
      <c r="C435" s="30" t="s">
        <v>2020</v>
      </c>
      <c r="D435" s="30" t="s">
        <v>2438</v>
      </c>
      <c r="E435" s="31" t="s">
        <v>45</v>
      </c>
      <c r="F435" s="30" t="s">
        <v>2439</v>
      </c>
      <c r="G435" s="31" t="s">
        <v>230</v>
      </c>
      <c r="H435" s="30"/>
      <c r="I435" s="30"/>
      <c r="J435" s="30" t="s">
        <v>2019</v>
      </c>
      <c r="K435" s="30"/>
    </row>
    <row r="436" customFormat="false" ht="15" hidden="false" customHeight="false" outlineLevel="0" collapsed="false">
      <c r="A436" s="30" t="s">
        <v>2440</v>
      </c>
      <c r="B436" s="30" t="s">
        <v>2015</v>
      </c>
      <c r="C436" s="30" t="s">
        <v>2016</v>
      </c>
      <c r="D436" s="30" t="s">
        <v>2441</v>
      </c>
      <c r="E436" s="31" t="s">
        <v>48</v>
      </c>
      <c r="F436" s="30" t="s">
        <v>2381</v>
      </c>
      <c r="G436" s="31" t="s">
        <v>130</v>
      </c>
      <c r="H436" s="30" t="s">
        <v>2323</v>
      </c>
      <c r="I436" s="31" t="s">
        <v>312</v>
      </c>
      <c r="J436" s="30" t="s">
        <v>2019</v>
      </c>
      <c r="K436" s="30"/>
    </row>
    <row r="437" customFormat="false" ht="15" hidden="false" customHeight="false" outlineLevel="0" collapsed="false">
      <c r="A437" s="30" t="s">
        <v>2440</v>
      </c>
      <c r="B437" s="30" t="s">
        <v>2015</v>
      </c>
      <c r="C437" s="30" t="s">
        <v>2020</v>
      </c>
      <c r="D437" s="30" t="s">
        <v>2051</v>
      </c>
      <c r="E437" s="31" t="s">
        <v>9</v>
      </c>
      <c r="F437" s="30" t="s">
        <v>2318</v>
      </c>
      <c r="G437" s="31" t="s">
        <v>179</v>
      </c>
      <c r="H437" s="30"/>
      <c r="I437" s="30"/>
      <c r="J437" s="30" t="s">
        <v>2019</v>
      </c>
      <c r="K437" s="30"/>
    </row>
    <row r="438" customFormat="false" ht="15" hidden="false" customHeight="false" outlineLevel="0" collapsed="false">
      <c r="A438" s="30" t="s">
        <v>2440</v>
      </c>
      <c r="B438" s="30" t="s">
        <v>2024</v>
      </c>
      <c r="C438" s="30" t="s">
        <v>2016</v>
      </c>
      <c r="D438" s="30" t="s">
        <v>2442</v>
      </c>
      <c r="E438" s="31" t="s">
        <v>98</v>
      </c>
      <c r="F438" s="30" t="s">
        <v>2443</v>
      </c>
      <c r="G438" s="31" t="s">
        <v>288</v>
      </c>
      <c r="H438" s="30" t="s">
        <v>2444</v>
      </c>
      <c r="I438" s="31" t="s">
        <v>324</v>
      </c>
      <c r="J438" s="30" t="s">
        <v>2445</v>
      </c>
      <c r="K438" s="30"/>
    </row>
    <row r="439" customFormat="false" ht="15" hidden="false" customHeight="false" outlineLevel="0" collapsed="false">
      <c r="A439" s="30" t="s">
        <v>2440</v>
      </c>
      <c r="B439" s="30" t="s">
        <v>2024</v>
      </c>
      <c r="C439" s="30" t="s">
        <v>2020</v>
      </c>
      <c r="D439" s="30" t="s">
        <v>2357</v>
      </c>
      <c r="E439" s="31" t="s">
        <v>16</v>
      </c>
      <c r="F439" s="30" t="s">
        <v>2108</v>
      </c>
      <c r="G439" s="31" t="s">
        <v>197</v>
      </c>
      <c r="H439" s="30" t="s">
        <v>2446</v>
      </c>
      <c r="I439" s="31" t="s">
        <v>368</v>
      </c>
      <c r="J439" s="30" t="s">
        <v>2019</v>
      </c>
      <c r="K439" s="30"/>
    </row>
    <row r="440" customFormat="false" ht="15" hidden="false" customHeight="false" outlineLevel="0" collapsed="false">
      <c r="A440" s="30" t="s">
        <v>2440</v>
      </c>
      <c r="B440" s="30" t="s">
        <v>2030</v>
      </c>
      <c r="C440" s="30" t="s">
        <v>2016</v>
      </c>
      <c r="D440" s="30" t="s">
        <v>2447</v>
      </c>
      <c r="E440" s="31" t="s">
        <v>86</v>
      </c>
      <c r="F440" s="30" t="s">
        <v>2448</v>
      </c>
      <c r="G440" s="31" t="s">
        <v>187</v>
      </c>
      <c r="H440" s="30" t="s">
        <v>2126</v>
      </c>
      <c r="I440" s="31" t="s">
        <v>309</v>
      </c>
      <c r="J440" s="30" t="s">
        <v>2019</v>
      </c>
      <c r="K440" s="30"/>
    </row>
    <row r="441" customFormat="false" ht="15" hidden="false" customHeight="false" outlineLevel="0" collapsed="false">
      <c r="A441" s="30" t="s">
        <v>2440</v>
      </c>
      <c r="B441" s="30" t="s">
        <v>2030</v>
      </c>
      <c r="C441" s="30" t="s">
        <v>2020</v>
      </c>
      <c r="D441" s="30" t="s">
        <v>2449</v>
      </c>
      <c r="E441" s="31" t="s">
        <v>79</v>
      </c>
      <c r="F441" s="30" t="s">
        <v>2450</v>
      </c>
      <c r="G441" s="31" t="s">
        <v>124</v>
      </c>
      <c r="H441" s="30" t="s">
        <v>2293</v>
      </c>
      <c r="I441" s="31" t="s">
        <v>340</v>
      </c>
      <c r="J441" s="30" t="s">
        <v>2019</v>
      </c>
      <c r="K441" s="30"/>
    </row>
    <row r="442" customFormat="false" ht="15" hidden="false" customHeight="false" outlineLevel="0" collapsed="false">
      <c r="A442" s="30" t="s">
        <v>2440</v>
      </c>
      <c r="B442" s="30" t="s">
        <v>2035</v>
      </c>
      <c r="C442" s="30" t="s">
        <v>2016</v>
      </c>
      <c r="D442" s="30" t="s">
        <v>2359</v>
      </c>
      <c r="E442" s="31" t="s">
        <v>29</v>
      </c>
      <c r="F442" s="30" t="s">
        <v>2451</v>
      </c>
      <c r="G442" s="31" t="s">
        <v>290</v>
      </c>
      <c r="H442" s="30" t="s">
        <v>2331</v>
      </c>
      <c r="I442" s="31" t="s">
        <v>348</v>
      </c>
      <c r="J442" s="30" t="s">
        <v>2019</v>
      </c>
      <c r="K442" s="30"/>
    </row>
    <row r="443" customFormat="false" ht="15" hidden="false" customHeight="false" outlineLevel="0" collapsed="false">
      <c r="A443" s="30" t="s">
        <v>2440</v>
      </c>
      <c r="B443" s="30" t="s">
        <v>2035</v>
      </c>
      <c r="C443" s="30" t="s">
        <v>2020</v>
      </c>
      <c r="D443" s="30" t="s">
        <v>2452</v>
      </c>
      <c r="E443" s="31" t="s">
        <v>28</v>
      </c>
      <c r="F443" s="30" t="s">
        <v>2453</v>
      </c>
      <c r="G443" s="31" t="s">
        <v>121</v>
      </c>
      <c r="H443" s="30" t="s">
        <v>2454</v>
      </c>
      <c r="I443" s="31" t="s">
        <v>370</v>
      </c>
      <c r="J443" s="30" t="s">
        <v>2019</v>
      </c>
      <c r="K443" s="30"/>
    </row>
    <row r="444" customFormat="false" ht="15" hidden="false" customHeight="false" outlineLevel="0" collapsed="false">
      <c r="A444" s="30" t="s">
        <v>2440</v>
      </c>
      <c r="B444" s="30" t="s">
        <v>2039</v>
      </c>
      <c r="C444" s="30" t="s">
        <v>2016</v>
      </c>
      <c r="D444" s="30" t="s">
        <v>2368</v>
      </c>
      <c r="E444" s="31" t="s">
        <v>51</v>
      </c>
      <c r="F444" s="30" t="s">
        <v>2455</v>
      </c>
      <c r="G444" s="31" t="s">
        <v>253</v>
      </c>
      <c r="H444" s="30" t="s">
        <v>2259</v>
      </c>
      <c r="I444" s="31" t="s">
        <v>306</v>
      </c>
      <c r="J444" s="30" t="s">
        <v>2019</v>
      </c>
      <c r="K444" s="30"/>
    </row>
    <row r="445" customFormat="false" ht="15" hidden="false" customHeight="false" outlineLevel="0" collapsed="false">
      <c r="A445" s="30" t="s">
        <v>2440</v>
      </c>
      <c r="B445" s="30" t="s">
        <v>2039</v>
      </c>
      <c r="C445" s="30" t="s">
        <v>2020</v>
      </c>
      <c r="D445" s="30" t="s">
        <v>2456</v>
      </c>
      <c r="E445" s="31" t="s">
        <v>55</v>
      </c>
      <c r="F445" s="30" t="s">
        <v>2457</v>
      </c>
      <c r="G445" s="31" t="s">
        <v>143</v>
      </c>
      <c r="H445" s="30"/>
      <c r="I445" s="30"/>
      <c r="J445" s="30" t="s">
        <v>2019</v>
      </c>
      <c r="K445" s="30"/>
    </row>
    <row r="446" customFormat="false" ht="15" hidden="false" customHeight="false" outlineLevel="0" collapsed="false">
      <c r="A446" s="30" t="s">
        <v>2440</v>
      </c>
      <c r="B446" s="30" t="s">
        <v>2045</v>
      </c>
      <c r="C446" s="30" t="s">
        <v>2016</v>
      </c>
      <c r="D446" s="30" t="s">
        <v>2124</v>
      </c>
      <c r="E446" s="31" t="s">
        <v>17</v>
      </c>
      <c r="F446" s="30" t="s">
        <v>2401</v>
      </c>
      <c r="G446" s="31" t="s">
        <v>159</v>
      </c>
      <c r="H446" s="30" t="s">
        <v>2044</v>
      </c>
      <c r="I446" s="31" t="s">
        <v>314</v>
      </c>
      <c r="J446" s="30" t="s">
        <v>2019</v>
      </c>
      <c r="K446" s="30"/>
    </row>
    <row r="447" customFormat="false" ht="15" hidden="false" customHeight="false" outlineLevel="0" collapsed="false">
      <c r="A447" s="30" t="s">
        <v>2440</v>
      </c>
      <c r="B447" s="30" t="s">
        <v>2045</v>
      </c>
      <c r="C447" s="30" t="s">
        <v>2020</v>
      </c>
      <c r="D447" s="30" t="s">
        <v>2458</v>
      </c>
      <c r="E447" s="31" t="s">
        <v>49</v>
      </c>
      <c r="F447" s="30" t="s">
        <v>2459</v>
      </c>
      <c r="G447" s="31" t="s">
        <v>292</v>
      </c>
      <c r="H447" s="30" t="s">
        <v>2129</v>
      </c>
      <c r="I447" s="31" t="s">
        <v>336</v>
      </c>
      <c r="J447" s="30" t="s">
        <v>2019</v>
      </c>
      <c r="K447" s="30"/>
    </row>
    <row r="448" customFormat="false" ht="15" hidden="false" customHeight="false" outlineLevel="0" collapsed="false">
      <c r="A448" s="30" t="s">
        <v>2440</v>
      </c>
      <c r="B448" s="30" t="s">
        <v>2050</v>
      </c>
      <c r="C448" s="30" t="s">
        <v>2016</v>
      </c>
      <c r="D448" s="30" t="s">
        <v>2460</v>
      </c>
      <c r="E448" s="31" t="s">
        <v>30</v>
      </c>
      <c r="F448" s="30" t="s">
        <v>2461</v>
      </c>
      <c r="G448" s="31" t="s">
        <v>165</v>
      </c>
      <c r="H448" s="30" t="s">
        <v>2308</v>
      </c>
      <c r="I448" s="31" t="s">
        <v>322</v>
      </c>
      <c r="J448" s="30" t="s">
        <v>384</v>
      </c>
      <c r="K448" s="30"/>
    </row>
    <row r="449" customFormat="false" ht="15" hidden="false" customHeight="false" outlineLevel="0" collapsed="false">
      <c r="A449" s="30" t="s">
        <v>2440</v>
      </c>
      <c r="B449" s="30" t="s">
        <v>2050</v>
      </c>
      <c r="C449" s="30" t="s">
        <v>2020</v>
      </c>
      <c r="D449" s="30" t="s">
        <v>2051</v>
      </c>
      <c r="E449" s="31" t="s">
        <v>9</v>
      </c>
      <c r="F449" s="30" t="s">
        <v>2435</v>
      </c>
      <c r="G449" s="31" t="s">
        <v>150</v>
      </c>
      <c r="H449" s="30"/>
      <c r="I449" s="30"/>
      <c r="J449" s="30" t="s">
        <v>2019</v>
      </c>
      <c r="K449" s="30"/>
    </row>
    <row r="450" customFormat="false" ht="15" hidden="false" customHeight="false" outlineLevel="0" collapsed="false">
      <c r="A450" s="30" t="s">
        <v>2462</v>
      </c>
      <c r="B450" s="30" t="s">
        <v>2015</v>
      </c>
      <c r="C450" s="30" t="s">
        <v>2016</v>
      </c>
      <c r="D450" s="30" t="s">
        <v>2342</v>
      </c>
      <c r="E450" s="31" t="s">
        <v>40</v>
      </c>
      <c r="F450" s="30" t="s">
        <v>282</v>
      </c>
      <c r="G450" s="31" t="s">
        <v>282</v>
      </c>
      <c r="H450" s="30" t="s">
        <v>2344</v>
      </c>
      <c r="I450" s="31" t="s">
        <v>363</v>
      </c>
      <c r="J450" s="30" t="s">
        <v>2019</v>
      </c>
      <c r="K450" s="30"/>
    </row>
    <row r="451" customFormat="false" ht="15" hidden="false" customHeight="false" outlineLevel="0" collapsed="false">
      <c r="A451" s="30" t="s">
        <v>2462</v>
      </c>
      <c r="B451" s="30" t="s">
        <v>2015</v>
      </c>
      <c r="C451" s="30" t="s">
        <v>2020</v>
      </c>
      <c r="D451" s="30" t="s">
        <v>2051</v>
      </c>
      <c r="E451" s="31" t="s">
        <v>9</v>
      </c>
      <c r="F451" s="30" t="s">
        <v>2345</v>
      </c>
      <c r="G451" s="31" t="s">
        <v>171</v>
      </c>
      <c r="H451" s="30"/>
      <c r="I451" s="30"/>
      <c r="J451" s="30" t="s">
        <v>2019</v>
      </c>
      <c r="K451" s="30"/>
    </row>
    <row r="452" customFormat="false" ht="15" hidden="false" customHeight="false" outlineLevel="0" collapsed="false">
      <c r="A452" s="30" t="s">
        <v>2462</v>
      </c>
      <c r="B452" s="30" t="s">
        <v>2024</v>
      </c>
      <c r="C452" s="30" t="s">
        <v>2016</v>
      </c>
      <c r="D452" s="30" t="s">
        <v>29</v>
      </c>
      <c r="E452" s="31" t="s">
        <v>29</v>
      </c>
      <c r="F452" s="30" t="s">
        <v>2346</v>
      </c>
      <c r="G452" s="31" t="s">
        <v>255</v>
      </c>
      <c r="H452" s="30" t="s">
        <v>338</v>
      </c>
      <c r="I452" s="31" t="s">
        <v>338</v>
      </c>
      <c r="J452" s="30" t="s">
        <v>384</v>
      </c>
      <c r="K452" s="30"/>
    </row>
    <row r="453" customFormat="false" ht="15" hidden="false" customHeight="false" outlineLevel="0" collapsed="false">
      <c r="A453" s="30" t="s">
        <v>2462</v>
      </c>
      <c r="B453" s="30" t="s">
        <v>2024</v>
      </c>
      <c r="C453" s="30" t="s">
        <v>2020</v>
      </c>
      <c r="D453" s="30" t="s">
        <v>2463</v>
      </c>
      <c r="E453" s="31" t="s">
        <v>51</v>
      </c>
      <c r="F453" s="30" t="s">
        <v>62</v>
      </c>
      <c r="G453" s="31" t="s">
        <v>62</v>
      </c>
      <c r="H453" s="30" t="s">
        <v>2044</v>
      </c>
      <c r="I453" s="31" t="s">
        <v>314</v>
      </c>
      <c r="J453" s="30" t="s">
        <v>2019</v>
      </c>
      <c r="K453" s="30"/>
    </row>
    <row r="454" customFormat="false" ht="15" hidden="false" customHeight="false" outlineLevel="0" collapsed="false">
      <c r="A454" s="30" t="s">
        <v>2462</v>
      </c>
      <c r="B454" s="30" t="s">
        <v>2030</v>
      </c>
      <c r="C454" s="30" t="s">
        <v>2016</v>
      </c>
      <c r="D454" s="30" t="s">
        <v>55</v>
      </c>
      <c r="E454" s="31" t="s">
        <v>55</v>
      </c>
      <c r="F454" s="30" t="s">
        <v>121</v>
      </c>
      <c r="G454" s="31" t="s">
        <v>121</v>
      </c>
      <c r="H454" s="30" t="s">
        <v>2348</v>
      </c>
      <c r="I454" s="31" t="s">
        <v>362</v>
      </c>
      <c r="J454" s="30" t="s">
        <v>2019</v>
      </c>
      <c r="K454" s="30"/>
    </row>
    <row r="455" customFormat="false" ht="15" hidden="false" customHeight="false" outlineLevel="0" collapsed="false">
      <c r="A455" s="30" t="s">
        <v>2462</v>
      </c>
      <c r="B455" s="30" t="s">
        <v>2030</v>
      </c>
      <c r="C455" s="30" t="s">
        <v>2020</v>
      </c>
      <c r="D455" s="30" t="s">
        <v>2349</v>
      </c>
      <c r="E455" s="31" t="s">
        <v>23</v>
      </c>
      <c r="F455" s="30" t="s">
        <v>2327</v>
      </c>
      <c r="G455" s="31" t="s">
        <v>180</v>
      </c>
      <c r="H455" s="30"/>
      <c r="I455" s="30"/>
      <c r="J455" s="30" t="s">
        <v>2019</v>
      </c>
      <c r="K455" s="30"/>
    </row>
    <row r="456" customFormat="false" ht="15" hidden="false" customHeight="false" outlineLevel="0" collapsed="false">
      <c r="A456" s="30" t="s">
        <v>2462</v>
      </c>
      <c r="B456" s="30" t="s">
        <v>2035</v>
      </c>
      <c r="C456" s="30" t="s">
        <v>2016</v>
      </c>
      <c r="D456" s="30" t="s">
        <v>2351</v>
      </c>
      <c r="E456" s="31" t="s">
        <v>30</v>
      </c>
      <c r="F456" s="30" t="s">
        <v>2352</v>
      </c>
      <c r="G456" s="31" t="s">
        <v>249</v>
      </c>
      <c r="H456" s="30" t="s">
        <v>2353</v>
      </c>
      <c r="I456" s="31" t="s">
        <v>332</v>
      </c>
      <c r="J456" s="30" t="s">
        <v>2019</v>
      </c>
      <c r="K456" s="30"/>
    </row>
    <row r="457" customFormat="false" ht="15" hidden="false" customHeight="false" outlineLevel="0" collapsed="false">
      <c r="A457" s="30" t="s">
        <v>2462</v>
      </c>
      <c r="B457" s="30" t="s">
        <v>2035</v>
      </c>
      <c r="C457" s="30" t="s">
        <v>2020</v>
      </c>
      <c r="D457" s="30" t="s">
        <v>2354</v>
      </c>
      <c r="E457" s="31" t="s">
        <v>35</v>
      </c>
      <c r="F457" s="30" t="s">
        <v>2206</v>
      </c>
      <c r="G457" s="31" t="s">
        <v>84</v>
      </c>
      <c r="H457" s="30"/>
      <c r="I457" s="30"/>
      <c r="J457" s="30" t="s">
        <v>2019</v>
      </c>
      <c r="K457" s="30"/>
    </row>
    <row r="458" customFormat="false" ht="15" hidden="false" customHeight="false" outlineLevel="0" collapsed="false">
      <c r="A458" s="30" t="s">
        <v>2462</v>
      </c>
      <c r="B458" s="30" t="s">
        <v>2039</v>
      </c>
      <c r="C458" s="30" t="s">
        <v>2016</v>
      </c>
      <c r="D458" s="30" t="s">
        <v>2464</v>
      </c>
      <c r="E458" s="31" t="s">
        <v>45</v>
      </c>
      <c r="F458" s="30" t="s">
        <v>2465</v>
      </c>
      <c r="G458" s="31" t="s">
        <v>273</v>
      </c>
      <c r="H458" s="30"/>
      <c r="I458" s="30"/>
      <c r="J458" s="30" t="s">
        <v>2019</v>
      </c>
      <c r="K458" s="30"/>
    </row>
    <row r="459" customFormat="false" ht="15" hidden="false" customHeight="false" outlineLevel="0" collapsed="false">
      <c r="A459" s="30" t="s">
        <v>2462</v>
      </c>
      <c r="B459" s="30" t="s">
        <v>2039</v>
      </c>
      <c r="C459" s="30" t="s">
        <v>2020</v>
      </c>
      <c r="D459" s="30" t="s">
        <v>2356</v>
      </c>
      <c r="E459" s="31" t="s">
        <v>54</v>
      </c>
      <c r="F459" s="30" t="s">
        <v>124</v>
      </c>
      <c r="G459" s="31" t="s">
        <v>124</v>
      </c>
      <c r="H459" s="30"/>
      <c r="I459" s="30"/>
      <c r="J459" s="30" t="s">
        <v>2019</v>
      </c>
      <c r="K459" s="30"/>
    </row>
    <row r="460" customFormat="false" ht="15" hidden="false" customHeight="false" outlineLevel="0" collapsed="false">
      <c r="A460" s="30" t="s">
        <v>2462</v>
      </c>
      <c r="B460" s="30" t="s">
        <v>2045</v>
      </c>
      <c r="C460" s="30" t="s">
        <v>2016</v>
      </c>
      <c r="D460" s="30" t="s">
        <v>2357</v>
      </c>
      <c r="E460" s="31" t="s">
        <v>16</v>
      </c>
      <c r="F460" s="30" t="s">
        <v>2358</v>
      </c>
      <c r="G460" s="31" t="s">
        <v>159</v>
      </c>
      <c r="H460" s="30" t="s">
        <v>2126</v>
      </c>
      <c r="I460" s="31" t="s">
        <v>309</v>
      </c>
      <c r="J460" s="30" t="s">
        <v>2019</v>
      </c>
      <c r="K460" s="30"/>
    </row>
    <row r="461" customFormat="false" ht="15" hidden="false" customHeight="false" outlineLevel="0" collapsed="false">
      <c r="A461" s="30" t="s">
        <v>2462</v>
      </c>
      <c r="B461" s="30" t="s">
        <v>2045</v>
      </c>
      <c r="C461" s="30" t="s">
        <v>2020</v>
      </c>
      <c r="D461" s="30" t="s">
        <v>2359</v>
      </c>
      <c r="E461" s="31" t="s">
        <v>29</v>
      </c>
      <c r="F461" s="30" t="s">
        <v>2360</v>
      </c>
      <c r="G461" s="31" t="s">
        <v>133</v>
      </c>
      <c r="H461" s="30" t="s">
        <v>2211</v>
      </c>
      <c r="I461" s="31" t="s">
        <v>322</v>
      </c>
      <c r="J461" s="30" t="s">
        <v>2361</v>
      </c>
      <c r="K461" s="30"/>
    </row>
    <row r="462" customFormat="false" ht="15" hidden="false" customHeight="false" outlineLevel="0" collapsed="false">
      <c r="A462" s="30" t="s">
        <v>2462</v>
      </c>
      <c r="B462" s="30" t="s">
        <v>2050</v>
      </c>
      <c r="C462" s="30" t="s">
        <v>2016</v>
      </c>
      <c r="D462" s="30" t="s">
        <v>2362</v>
      </c>
      <c r="E462" s="31" t="s">
        <v>43</v>
      </c>
      <c r="F462" s="30" t="s">
        <v>2363</v>
      </c>
      <c r="G462" s="31" t="s">
        <v>189</v>
      </c>
      <c r="H462" s="30" t="s">
        <v>2420</v>
      </c>
      <c r="I462" s="31" t="s">
        <v>320</v>
      </c>
      <c r="J462" s="30" t="s">
        <v>384</v>
      </c>
      <c r="K462" s="30"/>
    </row>
    <row r="463" customFormat="false" ht="15" hidden="false" customHeight="false" outlineLevel="0" collapsed="false">
      <c r="A463" s="30" t="s">
        <v>2462</v>
      </c>
      <c r="B463" s="30" t="s">
        <v>2050</v>
      </c>
      <c r="C463" s="30" t="s">
        <v>2020</v>
      </c>
      <c r="D463" s="30" t="s">
        <v>2365</v>
      </c>
      <c r="E463" s="31" t="s">
        <v>22</v>
      </c>
      <c r="F463" s="30" t="s">
        <v>2366</v>
      </c>
      <c r="G463" s="31" t="s">
        <v>143</v>
      </c>
      <c r="H463" s="30"/>
      <c r="I463" s="30"/>
      <c r="J463" s="30" t="s">
        <v>2019</v>
      </c>
      <c r="K463" s="30"/>
    </row>
    <row r="464" customFormat="false" ht="15" hidden="false" customHeight="false" outlineLevel="0" collapsed="false">
      <c r="A464" s="30" t="s">
        <v>2466</v>
      </c>
      <c r="B464" s="30" t="s">
        <v>2015</v>
      </c>
      <c r="C464" s="30" t="s">
        <v>2016</v>
      </c>
      <c r="D464" s="30" t="s">
        <v>2357</v>
      </c>
      <c r="E464" s="31" t="s">
        <v>16</v>
      </c>
      <c r="F464" s="30" t="s">
        <v>2369</v>
      </c>
      <c r="G464" s="31" t="s">
        <v>173</v>
      </c>
      <c r="H464" s="30" t="s">
        <v>2323</v>
      </c>
      <c r="I464" s="31" t="s">
        <v>312</v>
      </c>
      <c r="J464" s="30" t="s">
        <v>2019</v>
      </c>
      <c r="K464" s="30"/>
    </row>
    <row r="465" customFormat="false" ht="15" hidden="false" customHeight="false" outlineLevel="0" collapsed="false">
      <c r="A465" s="30" t="s">
        <v>2466</v>
      </c>
      <c r="B465" s="30" t="s">
        <v>2015</v>
      </c>
      <c r="C465" s="30" t="s">
        <v>2020</v>
      </c>
      <c r="D465" s="30" t="s">
        <v>2449</v>
      </c>
      <c r="E465" s="31" t="s">
        <v>79</v>
      </c>
      <c r="F465" s="30" t="s">
        <v>2418</v>
      </c>
      <c r="G465" s="31" t="s">
        <v>157</v>
      </c>
      <c r="H465" s="30" t="s">
        <v>2372</v>
      </c>
      <c r="I465" s="31" t="s">
        <v>318</v>
      </c>
      <c r="J465" s="30" t="s">
        <v>2019</v>
      </c>
      <c r="K465" s="30"/>
    </row>
    <row r="466" customFormat="false" ht="15" hidden="false" customHeight="false" outlineLevel="0" collapsed="false">
      <c r="A466" s="30" t="s">
        <v>2466</v>
      </c>
      <c r="B466" s="30" t="s">
        <v>2024</v>
      </c>
      <c r="C466" s="30" t="s">
        <v>2016</v>
      </c>
      <c r="D466" s="30" t="s">
        <v>29</v>
      </c>
      <c r="E466" s="31" t="s">
        <v>29</v>
      </c>
      <c r="F466" s="30" t="s">
        <v>2307</v>
      </c>
      <c r="G466" s="31" t="s">
        <v>200</v>
      </c>
      <c r="H466" s="30" t="s">
        <v>2259</v>
      </c>
      <c r="I466" s="31" t="s">
        <v>306</v>
      </c>
      <c r="J466" s="30" t="s">
        <v>384</v>
      </c>
      <c r="K466" s="30"/>
    </row>
    <row r="467" customFormat="false" ht="15" hidden="false" customHeight="false" outlineLevel="0" collapsed="false">
      <c r="A467" s="30" t="s">
        <v>2466</v>
      </c>
      <c r="B467" s="30" t="s">
        <v>2024</v>
      </c>
      <c r="C467" s="30" t="s">
        <v>2020</v>
      </c>
      <c r="D467" s="30" t="s">
        <v>2467</v>
      </c>
      <c r="E467" s="31" t="s">
        <v>70</v>
      </c>
      <c r="F467" s="30" t="s">
        <v>2376</v>
      </c>
      <c r="G467" s="31" t="s">
        <v>230</v>
      </c>
      <c r="H467" s="30"/>
      <c r="I467" s="30"/>
      <c r="J467" s="30" t="s">
        <v>2361</v>
      </c>
      <c r="K467" s="30"/>
    </row>
    <row r="468" customFormat="false" ht="15" hidden="false" customHeight="false" outlineLevel="0" collapsed="false">
      <c r="A468" s="30" t="s">
        <v>2466</v>
      </c>
      <c r="B468" s="30" t="s">
        <v>2030</v>
      </c>
      <c r="C468" s="30" t="s">
        <v>2016</v>
      </c>
      <c r="D468" s="30" t="s">
        <v>2377</v>
      </c>
      <c r="E468" s="31" t="s">
        <v>60</v>
      </c>
      <c r="F468" s="30" t="s">
        <v>2378</v>
      </c>
      <c r="G468" s="31" t="s">
        <v>146</v>
      </c>
      <c r="H468" s="30" t="s">
        <v>2354</v>
      </c>
      <c r="I468" s="31" t="s">
        <v>35</v>
      </c>
      <c r="J468" s="30" t="s">
        <v>2019</v>
      </c>
      <c r="K468" s="30"/>
    </row>
    <row r="469" customFormat="false" ht="15" hidden="false" customHeight="false" outlineLevel="0" collapsed="false">
      <c r="A469" s="30" t="s">
        <v>2466</v>
      </c>
      <c r="B469" s="30" t="s">
        <v>2030</v>
      </c>
      <c r="C469" s="30" t="s">
        <v>2020</v>
      </c>
      <c r="D469" s="30" t="s">
        <v>2379</v>
      </c>
      <c r="E469" s="31" t="s">
        <v>45</v>
      </c>
      <c r="F469" s="30" t="s">
        <v>2380</v>
      </c>
      <c r="G469" s="31" t="s">
        <v>151</v>
      </c>
      <c r="H469" s="30"/>
      <c r="I469" s="30"/>
      <c r="J469" s="30" t="s">
        <v>2019</v>
      </c>
      <c r="K469" s="30"/>
    </row>
    <row r="470" customFormat="false" ht="15" hidden="false" customHeight="false" outlineLevel="0" collapsed="false">
      <c r="A470" s="30" t="s">
        <v>2466</v>
      </c>
      <c r="B470" s="30" t="s">
        <v>2035</v>
      </c>
      <c r="C470" s="30" t="s">
        <v>2016</v>
      </c>
      <c r="D470" s="30" t="s">
        <v>2021</v>
      </c>
      <c r="E470" s="31" t="s">
        <v>43</v>
      </c>
      <c r="F470" s="30" t="s">
        <v>2468</v>
      </c>
      <c r="G470" s="31" t="s">
        <v>260</v>
      </c>
      <c r="H470" s="30"/>
      <c r="I470" s="30"/>
      <c r="J470" s="30" t="s">
        <v>2019</v>
      </c>
      <c r="K470" s="30"/>
    </row>
    <row r="471" customFormat="false" ht="15" hidden="false" customHeight="false" outlineLevel="0" collapsed="false">
      <c r="A471" s="30" t="s">
        <v>2466</v>
      </c>
      <c r="B471" s="30" t="s">
        <v>2035</v>
      </c>
      <c r="C471" s="30" t="s">
        <v>2020</v>
      </c>
      <c r="D471" s="30" t="s">
        <v>2145</v>
      </c>
      <c r="E471" s="31" t="s">
        <v>372</v>
      </c>
      <c r="F471" s="30" t="s">
        <v>2469</v>
      </c>
      <c r="G471" s="31" t="s">
        <v>195</v>
      </c>
      <c r="H471" s="30" t="s">
        <v>2293</v>
      </c>
      <c r="I471" s="31" t="s">
        <v>340</v>
      </c>
      <c r="J471" s="30" t="s">
        <v>2019</v>
      </c>
      <c r="K471" s="30"/>
    </row>
    <row r="472" customFormat="false" ht="15" hidden="false" customHeight="false" outlineLevel="0" collapsed="false">
      <c r="A472" s="30" t="s">
        <v>2466</v>
      </c>
      <c r="B472" s="30" t="s">
        <v>2039</v>
      </c>
      <c r="C472" s="30" t="s">
        <v>2016</v>
      </c>
      <c r="D472" s="30" t="s">
        <v>2383</v>
      </c>
      <c r="E472" s="31" t="s">
        <v>40</v>
      </c>
      <c r="F472" s="30" t="s">
        <v>2404</v>
      </c>
      <c r="G472" s="31" t="s">
        <v>129</v>
      </c>
      <c r="H472" s="30" t="s">
        <v>2470</v>
      </c>
      <c r="I472" s="31" t="s">
        <v>64</v>
      </c>
      <c r="J472" s="30" t="s">
        <v>2019</v>
      </c>
      <c r="K472" s="30"/>
    </row>
    <row r="473" customFormat="false" ht="15" hidden="false" customHeight="false" outlineLevel="0" collapsed="false">
      <c r="A473" s="30" t="s">
        <v>2466</v>
      </c>
      <c r="B473" s="30" t="s">
        <v>2039</v>
      </c>
      <c r="C473" s="30" t="s">
        <v>2020</v>
      </c>
      <c r="D473" s="30" t="s">
        <v>2388</v>
      </c>
      <c r="E473" s="31" t="s">
        <v>32</v>
      </c>
      <c r="F473" s="30" t="s">
        <v>2471</v>
      </c>
      <c r="G473" s="31" t="s">
        <v>56</v>
      </c>
      <c r="H473" s="30"/>
      <c r="I473" s="30"/>
      <c r="J473" s="30" t="s">
        <v>2019</v>
      </c>
      <c r="K473" s="30"/>
    </row>
    <row r="474" customFormat="false" ht="15" hidden="false" customHeight="false" outlineLevel="0" collapsed="false">
      <c r="A474" s="30" t="s">
        <v>2466</v>
      </c>
      <c r="B474" s="30" t="s">
        <v>2045</v>
      </c>
      <c r="C474" s="30" t="s">
        <v>2016</v>
      </c>
      <c r="D474" s="30" t="s">
        <v>74</v>
      </c>
      <c r="E474" s="31" t="s">
        <v>74</v>
      </c>
      <c r="F474" s="30" t="s">
        <v>2401</v>
      </c>
      <c r="G474" s="31" t="s">
        <v>159</v>
      </c>
      <c r="H474" s="30" t="s">
        <v>2044</v>
      </c>
      <c r="I474" s="31" t="s">
        <v>314</v>
      </c>
      <c r="J474" s="30" t="s">
        <v>2019</v>
      </c>
      <c r="K474" s="30"/>
    </row>
    <row r="475" customFormat="false" ht="15" hidden="false" customHeight="false" outlineLevel="0" collapsed="false">
      <c r="A475" s="30" t="s">
        <v>2466</v>
      </c>
      <c r="B475" s="30" t="s">
        <v>2045</v>
      </c>
      <c r="C475" s="30" t="s">
        <v>2020</v>
      </c>
      <c r="D475" s="30" t="s">
        <v>2292</v>
      </c>
      <c r="E475" s="31" t="s">
        <v>23</v>
      </c>
      <c r="F475" s="30" t="s">
        <v>2300</v>
      </c>
      <c r="G475" s="31" t="s">
        <v>123</v>
      </c>
      <c r="H475" s="30" t="s">
        <v>2385</v>
      </c>
      <c r="I475" s="31" t="s">
        <v>327</v>
      </c>
      <c r="J475" s="30" t="s">
        <v>2019</v>
      </c>
      <c r="K475" s="30"/>
    </row>
    <row r="476" customFormat="false" ht="15" hidden="false" customHeight="false" outlineLevel="0" collapsed="false">
      <c r="A476" s="30" t="s">
        <v>2466</v>
      </c>
      <c r="B476" s="30" t="s">
        <v>2050</v>
      </c>
      <c r="C476" s="30" t="s">
        <v>2016</v>
      </c>
      <c r="D476" s="30" t="s">
        <v>2392</v>
      </c>
      <c r="E476" s="31" t="s">
        <v>38</v>
      </c>
      <c r="F476" s="30" t="s">
        <v>2330</v>
      </c>
      <c r="G476" s="31" t="s">
        <v>258</v>
      </c>
      <c r="H476" s="30" t="s">
        <v>2259</v>
      </c>
      <c r="I476" s="31" t="s">
        <v>306</v>
      </c>
      <c r="J476" s="30" t="s">
        <v>384</v>
      </c>
      <c r="K476" s="30"/>
    </row>
    <row r="477" customFormat="false" ht="15" hidden="false" customHeight="false" outlineLevel="0" collapsed="false">
      <c r="A477" s="30" t="s">
        <v>2466</v>
      </c>
      <c r="B477" s="30" t="s">
        <v>2050</v>
      </c>
      <c r="C477" s="30" t="s">
        <v>2020</v>
      </c>
      <c r="D477" s="30" t="s">
        <v>2051</v>
      </c>
      <c r="E477" s="31" t="s">
        <v>9</v>
      </c>
      <c r="F477" s="30" t="s">
        <v>2426</v>
      </c>
      <c r="G477" s="31" t="s">
        <v>93</v>
      </c>
      <c r="H477" s="30"/>
      <c r="I477" s="30"/>
      <c r="J477" s="30" t="s">
        <v>2019</v>
      </c>
      <c r="K477" s="30"/>
    </row>
    <row r="478" customFormat="false" ht="15" hidden="false" customHeight="false" outlineLevel="0" collapsed="false">
      <c r="A478" s="30" t="s">
        <v>2472</v>
      </c>
      <c r="B478" s="30" t="s">
        <v>2015</v>
      </c>
      <c r="C478" s="30" t="s">
        <v>2016</v>
      </c>
      <c r="D478" s="30" t="s">
        <v>2395</v>
      </c>
      <c r="E478" s="31" t="s">
        <v>83</v>
      </c>
      <c r="F478" s="30" t="s">
        <v>2473</v>
      </c>
      <c r="G478" s="31" t="s">
        <v>175</v>
      </c>
      <c r="H478" s="30" t="s">
        <v>2126</v>
      </c>
      <c r="I478" s="31" t="s">
        <v>309</v>
      </c>
      <c r="J478" s="30" t="s">
        <v>2019</v>
      </c>
      <c r="K478" s="30"/>
    </row>
    <row r="479" customFormat="false" ht="15" hidden="false" customHeight="false" outlineLevel="0" collapsed="false">
      <c r="A479" s="30" t="s">
        <v>2472</v>
      </c>
      <c r="B479" s="30" t="s">
        <v>2015</v>
      </c>
      <c r="C479" s="30" t="s">
        <v>2020</v>
      </c>
      <c r="D479" s="30" t="s">
        <v>16</v>
      </c>
      <c r="E479" s="31" t="s">
        <v>16</v>
      </c>
      <c r="F479" s="30" t="s">
        <v>2194</v>
      </c>
      <c r="G479" s="31" t="s">
        <v>100</v>
      </c>
      <c r="H479" s="30"/>
      <c r="I479" s="30"/>
      <c r="J479" s="30" t="s">
        <v>2019</v>
      </c>
      <c r="K479" s="30"/>
    </row>
    <row r="480" customFormat="false" ht="15" hidden="false" customHeight="false" outlineLevel="0" collapsed="false">
      <c r="A480" s="30" t="s">
        <v>2472</v>
      </c>
      <c r="B480" s="30" t="s">
        <v>2024</v>
      </c>
      <c r="C480" s="30" t="s">
        <v>2016</v>
      </c>
      <c r="D480" s="30" t="s">
        <v>2362</v>
      </c>
      <c r="E480" s="31" t="s">
        <v>43</v>
      </c>
      <c r="F480" s="30" t="s">
        <v>2401</v>
      </c>
      <c r="G480" s="31" t="s">
        <v>159</v>
      </c>
      <c r="H480" s="30" t="s">
        <v>2474</v>
      </c>
      <c r="I480" s="31" t="s">
        <v>367</v>
      </c>
      <c r="J480" s="30" t="s">
        <v>384</v>
      </c>
      <c r="K480" s="30"/>
    </row>
    <row r="481" customFormat="false" ht="15" hidden="false" customHeight="false" outlineLevel="0" collapsed="false">
      <c r="A481" s="30" t="s">
        <v>2472</v>
      </c>
      <c r="B481" s="30" t="s">
        <v>2024</v>
      </c>
      <c r="C481" s="30" t="s">
        <v>2020</v>
      </c>
      <c r="D481" s="30" t="s">
        <v>2399</v>
      </c>
      <c r="E481" s="31" t="s">
        <v>72</v>
      </c>
      <c r="F481" s="30" t="s">
        <v>2400</v>
      </c>
      <c r="G481" s="31" t="s">
        <v>256</v>
      </c>
      <c r="H481" s="30"/>
      <c r="I481" s="30"/>
      <c r="J481" s="30" t="s">
        <v>2019</v>
      </c>
      <c r="K481" s="30"/>
    </row>
    <row r="482" customFormat="false" ht="15" hidden="false" customHeight="false" outlineLevel="0" collapsed="false">
      <c r="A482" s="30" t="s">
        <v>2472</v>
      </c>
      <c r="B482" s="30" t="s">
        <v>2030</v>
      </c>
      <c r="C482" s="30" t="s">
        <v>2016</v>
      </c>
      <c r="D482" s="30" t="s">
        <v>2475</v>
      </c>
      <c r="E482" s="31" t="s">
        <v>91</v>
      </c>
      <c r="F482" s="30" t="s">
        <v>176</v>
      </c>
      <c r="G482" s="31" t="s">
        <v>176</v>
      </c>
      <c r="H482" s="30"/>
      <c r="I482" s="30"/>
      <c r="J482" s="30" t="s">
        <v>2019</v>
      </c>
      <c r="K482" s="30"/>
    </row>
    <row r="483" customFormat="false" ht="15" hidden="false" customHeight="false" outlineLevel="0" collapsed="false">
      <c r="A483" s="30" t="s">
        <v>2472</v>
      </c>
      <c r="B483" s="30" t="s">
        <v>2030</v>
      </c>
      <c r="C483" s="30" t="s">
        <v>2020</v>
      </c>
      <c r="D483" s="30" t="s">
        <v>49</v>
      </c>
      <c r="E483" s="31" t="s">
        <v>49</v>
      </c>
      <c r="F483" s="30" t="s">
        <v>2345</v>
      </c>
      <c r="G483" s="31" t="s">
        <v>171</v>
      </c>
      <c r="H483" s="30"/>
      <c r="I483" s="30"/>
      <c r="J483" s="30" t="s">
        <v>2019</v>
      </c>
      <c r="K483" s="30"/>
    </row>
    <row r="484" customFormat="false" ht="15" hidden="false" customHeight="false" outlineLevel="0" collapsed="false">
      <c r="A484" s="30" t="s">
        <v>2472</v>
      </c>
      <c r="B484" s="30" t="s">
        <v>2035</v>
      </c>
      <c r="C484" s="30" t="s">
        <v>2016</v>
      </c>
      <c r="D484" s="30" t="s">
        <v>2432</v>
      </c>
      <c r="E484" s="31" t="s">
        <v>35</v>
      </c>
      <c r="F484" s="30" t="s">
        <v>2476</v>
      </c>
      <c r="G484" s="31" t="s">
        <v>121</v>
      </c>
      <c r="H484" s="30" t="s">
        <v>2477</v>
      </c>
      <c r="I484" s="31" t="s">
        <v>374</v>
      </c>
      <c r="J484" s="30" t="s">
        <v>2019</v>
      </c>
      <c r="K484" s="30"/>
    </row>
    <row r="485" customFormat="false" ht="15" hidden="false" customHeight="false" outlineLevel="0" collapsed="false">
      <c r="A485" s="30" t="s">
        <v>2472</v>
      </c>
      <c r="B485" s="30" t="s">
        <v>2035</v>
      </c>
      <c r="C485" s="30" t="s">
        <v>2020</v>
      </c>
      <c r="D485" s="30" t="s">
        <v>2221</v>
      </c>
      <c r="E485" s="31" t="s">
        <v>40</v>
      </c>
      <c r="F485" s="30" t="s">
        <v>2300</v>
      </c>
      <c r="G485" s="31" t="s">
        <v>123</v>
      </c>
      <c r="H485" s="30" t="s">
        <v>2412</v>
      </c>
      <c r="I485" s="31" t="s">
        <v>359</v>
      </c>
      <c r="J485" s="30" t="s">
        <v>2019</v>
      </c>
      <c r="K485" s="30"/>
    </row>
    <row r="486" customFormat="false" ht="15" hidden="false" customHeight="false" outlineLevel="0" collapsed="false">
      <c r="A486" s="30" t="s">
        <v>2472</v>
      </c>
      <c r="B486" s="30" t="s">
        <v>2039</v>
      </c>
      <c r="C486" s="30" t="s">
        <v>2016</v>
      </c>
      <c r="D486" s="30" t="s">
        <v>2145</v>
      </c>
      <c r="E486" s="31" t="s">
        <v>372</v>
      </c>
      <c r="F486" s="30" t="s">
        <v>2327</v>
      </c>
      <c r="G486" s="31" t="s">
        <v>180</v>
      </c>
      <c r="H486" s="30"/>
      <c r="I486" s="30"/>
      <c r="J486" s="30" t="s">
        <v>2019</v>
      </c>
      <c r="K486" s="30"/>
    </row>
    <row r="487" customFormat="false" ht="15" hidden="false" customHeight="false" outlineLevel="0" collapsed="false">
      <c r="A487" s="30" t="s">
        <v>2472</v>
      </c>
      <c r="B487" s="30" t="s">
        <v>2039</v>
      </c>
      <c r="C487" s="30" t="s">
        <v>2020</v>
      </c>
      <c r="D487" s="30" t="s">
        <v>2405</v>
      </c>
      <c r="E487" s="31" t="s">
        <v>68</v>
      </c>
      <c r="F487" s="30" t="s">
        <v>2359</v>
      </c>
      <c r="G487" s="31" t="s">
        <v>29</v>
      </c>
      <c r="H487" s="30" t="s">
        <v>2408</v>
      </c>
      <c r="I487" s="31" t="s">
        <v>61</v>
      </c>
      <c r="J487" s="30" t="s">
        <v>2019</v>
      </c>
      <c r="K487" s="30"/>
    </row>
    <row r="488" customFormat="false" ht="15" hidden="false" customHeight="false" outlineLevel="0" collapsed="false">
      <c r="A488" s="30" t="s">
        <v>2472</v>
      </c>
      <c r="B488" s="30" t="s">
        <v>2045</v>
      </c>
      <c r="C488" s="30" t="s">
        <v>2016</v>
      </c>
      <c r="D488" s="30" t="s">
        <v>2478</v>
      </c>
      <c r="E488" s="31" t="s">
        <v>119</v>
      </c>
      <c r="F488" s="30" t="s">
        <v>2422</v>
      </c>
      <c r="G488" s="31" t="s">
        <v>235</v>
      </c>
      <c r="H488" s="30" t="s">
        <v>2259</v>
      </c>
      <c r="I488" s="31" t="s">
        <v>306</v>
      </c>
      <c r="J488" s="30" t="s">
        <v>2019</v>
      </c>
      <c r="K488" s="30"/>
    </row>
    <row r="489" customFormat="false" ht="15" hidden="false" customHeight="false" outlineLevel="0" collapsed="false">
      <c r="A489" s="30" t="s">
        <v>2472</v>
      </c>
      <c r="B489" s="30" t="s">
        <v>2045</v>
      </c>
      <c r="C489" s="30" t="s">
        <v>2020</v>
      </c>
      <c r="D489" s="30" t="s">
        <v>2456</v>
      </c>
      <c r="E489" s="31" t="s">
        <v>55</v>
      </c>
      <c r="F489" s="30" t="s">
        <v>2404</v>
      </c>
      <c r="G489" s="31" t="s">
        <v>129</v>
      </c>
      <c r="H489" s="30" t="s">
        <v>2479</v>
      </c>
      <c r="I489" s="31" t="s">
        <v>368</v>
      </c>
      <c r="J489" s="30" t="s">
        <v>2019</v>
      </c>
      <c r="K489" s="30"/>
    </row>
    <row r="490" customFormat="false" ht="15" hidden="false" customHeight="false" outlineLevel="0" collapsed="false">
      <c r="A490" s="30" t="s">
        <v>2472</v>
      </c>
      <c r="B490" s="30" t="s">
        <v>2050</v>
      </c>
      <c r="C490" s="30" t="s">
        <v>2016</v>
      </c>
      <c r="D490" s="30" t="s">
        <v>2124</v>
      </c>
      <c r="E490" s="31" t="s">
        <v>17</v>
      </c>
      <c r="F490" s="30" t="s">
        <v>2304</v>
      </c>
      <c r="G490" s="31" t="s">
        <v>141</v>
      </c>
      <c r="H490" s="30" t="s">
        <v>2413</v>
      </c>
      <c r="I490" s="31" t="s">
        <v>375</v>
      </c>
      <c r="J490" s="30" t="s">
        <v>384</v>
      </c>
      <c r="K490" s="30"/>
    </row>
    <row r="491" customFormat="false" ht="15" hidden="false" customHeight="false" outlineLevel="0" collapsed="false">
      <c r="A491" s="30" t="s">
        <v>2472</v>
      </c>
      <c r="B491" s="30" t="s">
        <v>2050</v>
      </c>
      <c r="C491" s="30" t="s">
        <v>2020</v>
      </c>
      <c r="D491" s="30" t="s">
        <v>2414</v>
      </c>
      <c r="E491" s="31" t="s">
        <v>63</v>
      </c>
      <c r="F491" s="30" t="s">
        <v>2480</v>
      </c>
      <c r="G491" s="31" t="s">
        <v>150</v>
      </c>
      <c r="H491" s="30"/>
      <c r="I491" s="30"/>
      <c r="J491" s="30" t="s">
        <v>2019</v>
      </c>
      <c r="K491" s="30"/>
    </row>
    <row r="492" customFormat="false" ht="15" hidden="false" customHeight="false" outlineLevel="0" collapsed="false">
      <c r="A492" s="30" t="s">
        <v>2481</v>
      </c>
      <c r="B492" s="30" t="s">
        <v>2015</v>
      </c>
      <c r="C492" s="30" t="s">
        <v>2016</v>
      </c>
      <c r="D492" s="30" t="s">
        <v>2482</v>
      </c>
      <c r="E492" s="31" t="s">
        <v>62</v>
      </c>
      <c r="F492" s="30" t="s">
        <v>2309</v>
      </c>
      <c r="G492" s="31" t="s">
        <v>173</v>
      </c>
      <c r="H492" s="30" t="s">
        <v>2029</v>
      </c>
      <c r="I492" s="31" t="s">
        <v>310</v>
      </c>
      <c r="J492" s="30" t="s">
        <v>2019</v>
      </c>
      <c r="K492" s="30"/>
    </row>
    <row r="493" customFormat="false" ht="15" hidden="false" customHeight="false" outlineLevel="0" collapsed="false">
      <c r="A493" s="30" t="s">
        <v>2481</v>
      </c>
      <c r="B493" s="30" t="s">
        <v>2015</v>
      </c>
      <c r="C493" s="30" t="s">
        <v>2020</v>
      </c>
      <c r="D493" s="30" t="s">
        <v>2292</v>
      </c>
      <c r="E493" s="31" t="s">
        <v>23</v>
      </c>
      <c r="F493" s="30" t="s">
        <v>2418</v>
      </c>
      <c r="G493" s="31" t="s">
        <v>157</v>
      </c>
      <c r="H493" s="30" t="s">
        <v>2293</v>
      </c>
      <c r="I493" s="31" t="s">
        <v>340</v>
      </c>
      <c r="J493" s="30" t="s">
        <v>2019</v>
      </c>
      <c r="K493" s="30"/>
    </row>
    <row r="494" customFormat="false" ht="15" hidden="false" customHeight="false" outlineLevel="0" collapsed="false">
      <c r="A494" s="30" t="s">
        <v>2481</v>
      </c>
      <c r="B494" s="30" t="s">
        <v>2024</v>
      </c>
      <c r="C494" s="30" t="s">
        <v>2016</v>
      </c>
      <c r="D494" s="30" t="s">
        <v>2051</v>
      </c>
      <c r="E494" s="31" t="s">
        <v>9</v>
      </c>
      <c r="F494" s="30" t="s">
        <v>365</v>
      </c>
      <c r="G494" s="31" t="s">
        <v>365</v>
      </c>
      <c r="H494" s="30" t="s">
        <v>2180</v>
      </c>
      <c r="I494" s="31" t="s">
        <v>146</v>
      </c>
      <c r="J494" s="30" t="s">
        <v>384</v>
      </c>
      <c r="K494" s="30"/>
    </row>
    <row r="495" customFormat="false" ht="15" hidden="false" customHeight="false" outlineLevel="0" collapsed="false">
      <c r="A495" s="30" t="s">
        <v>2481</v>
      </c>
      <c r="B495" s="30" t="s">
        <v>2024</v>
      </c>
      <c r="C495" s="30" t="s">
        <v>2020</v>
      </c>
      <c r="D495" s="30" t="s">
        <v>2383</v>
      </c>
      <c r="E495" s="31" t="s">
        <v>40</v>
      </c>
      <c r="F495" s="30" t="s">
        <v>2483</v>
      </c>
      <c r="G495" s="31" t="s">
        <v>198</v>
      </c>
      <c r="H495" s="30"/>
      <c r="I495" s="30"/>
      <c r="J495" s="30" t="s">
        <v>2019</v>
      </c>
      <c r="K495" s="30"/>
    </row>
    <row r="496" customFormat="false" ht="15" hidden="false" customHeight="false" outlineLevel="0" collapsed="false">
      <c r="A496" s="30" t="s">
        <v>2481</v>
      </c>
      <c r="B496" s="30" t="s">
        <v>2030</v>
      </c>
      <c r="C496" s="30" t="s">
        <v>2016</v>
      </c>
      <c r="D496" s="30" t="s">
        <v>2484</v>
      </c>
      <c r="E496" s="31" t="s">
        <v>58</v>
      </c>
      <c r="F496" s="30" t="s">
        <v>2485</v>
      </c>
      <c r="G496" s="31" t="s">
        <v>249</v>
      </c>
      <c r="H496" s="30" t="s">
        <v>2259</v>
      </c>
      <c r="I496" s="31" t="s">
        <v>306</v>
      </c>
      <c r="J496" s="30" t="s">
        <v>2019</v>
      </c>
      <c r="K496" s="30"/>
    </row>
    <row r="497" customFormat="false" ht="15" hidden="false" customHeight="false" outlineLevel="0" collapsed="false">
      <c r="A497" s="30" t="s">
        <v>2481</v>
      </c>
      <c r="B497" s="30" t="s">
        <v>2030</v>
      </c>
      <c r="C497" s="30" t="s">
        <v>2020</v>
      </c>
      <c r="D497" s="30" t="s">
        <v>2424</v>
      </c>
      <c r="E497" s="31" t="s">
        <v>55</v>
      </c>
      <c r="F497" s="30" t="s">
        <v>2425</v>
      </c>
      <c r="G497" s="31" t="s">
        <v>161</v>
      </c>
      <c r="H497" s="30"/>
      <c r="I497" s="30"/>
      <c r="J497" s="30" t="s">
        <v>2019</v>
      </c>
      <c r="K497" s="30"/>
    </row>
    <row r="498" customFormat="false" ht="15" hidden="false" customHeight="false" outlineLevel="0" collapsed="false">
      <c r="A498" s="30" t="s">
        <v>2481</v>
      </c>
      <c r="B498" s="30" t="s">
        <v>2035</v>
      </c>
      <c r="C498" s="30" t="s">
        <v>2016</v>
      </c>
      <c r="D498" s="30" t="s">
        <v>2486</v>
      </c>
      <c r="E498" s="31" t="s">
        <v>46</v>
      </c>
      <c r="F498" s="30" t="s">
        <v>2487</v>
      </c>
      <c r="G498" s="31" t="s">
        <v>241</v>
      </c>
      <c r="H498" s="30" t="s">
        <v>2488</v>
      </c>
      <c r="I498" s="31" t="s">
        <v>329</v>
      </c>
      <c r="J498" s="30" t="s">
        <v>2019</v>
      </c>
      <c r="K498" s="30"/>
    </row>
    <row r="499" customFormat="false" ht="15" hidden="false" customHeight="false" outlineLevel="0" collapsed="false">
      <c r="A499" s="30" t="s">
        <v>2481</v>
      </c>
      <c r="B499" s="30" t="s">
        <v>2035</v>
      </c>
      <c r="C499" s="30" t="s">
        <v>2020</v>
      </c>
      <c r="D499" s="30" t="s">
        <v>2489</v>
      </c>
      <c r="E499" s="31" t="s">
        <v>53</v>
      </c>
      <c r="F499" s="30" t="s">
        <v>2490</v>
      </c>
      <c r="G499" s="31" t="s">
        <v>303</v>
      </c>
      <c r="H499" s="30"/>
      <c r="I499" s="30"/>
      <c r="J499" s="30" t="s">
        <v>2019</v>
      </c>
      <c r="K499" s="30"/>
    </row>
    <row r="500" customFormat="false" ht="15" hidden="false" customHeight="false" outlineLevel="0" collapsed="false">
      <c r="A500" s="30" t="s">
        <v>2481</v>
      </c>
      <c r="B500" s="30" t="s">
        <v>2039</v>
      </c>
      <c r="C500" s="30" t="s">
        <v>2016</v>
      </c>
      <c r="D500" s="30" t="s">
        <v>2491</v>
      </c>
      <c r="E500" s="31" t="s">
        <v>32</v>
      </c>
      <c r="F500" s="30" t="s">
        <v>2492</v>
      </c>
      <c r="G500" s="31" t="s">
        <v>139</v>
      </c>
      <c r="H500" s="30" t="s">
        <v>2053</v>
      </c>
      <c r="I500" s="31" t="s">
        <v>308</v>
      </c>
      <c r="J500" s="30" t="s">
        <v>2019</v>
      </c>
      <c r="K500" s="30"/>
    </row>
    <row r="501" customFormat="false" ht="15" hidden="false" customHeight="false" outlineLevel="0" collapsed="false">
      <c r="A501" s="30" t="s">
        <v>2481</v>
      </c>
      <c r="B501" s="30" t="s">
        <v>2039</v>
      </c>
      <c r="C501" s="30" t="s">
        <v>2020</v>
      </c>
      <c r="D501" s="30" t="s">
        <v>2359</v>
      </c>
      <c r="E501" s="31" t="s">
        <v>29</v>
      </c>
      <c r="F501" s="30" t="s">
        <v>2300</v>
      </c>
      <c r="G501" s="31" t="s">
        <v>123</v>
      </c>
      <c r="H501" s="30" t="s">
        <v>2431</v>
      </c>
      <c r="I501" s="31" t="s">
        <v>319</v>
      </c>
      <c r="J501" s="30" t="s">
        <v>2019</v>
      </c>
      <c r="K501" s="30"/>
    </row>
    <row r="502" customFormat="false" ht="15" hidden="false" customHeight="false" outlineLevel="0" collapsed="false">
      <c r="A502" s="30" t="s">
        <v>2481</v>
      </c>
      <c r="B502" s="30" t="s">
        <v>2045</v>
      </c>
      <c r="C502" s="30" t="s">
        <v>2016</v>
      </c>
      <c r="D502" s="30" t="s">
        <v>2432</v>
      </c>
      <c r="E502" s="31" t="s">
        <v>35</v>
      </c>
      <c r="F502" s="30" t="s">
        <v>2459</v>
      </c>
      <c r="G502" s="31" t="s">
        <v>292</v>
      </c>
      <c r="H502" s="30" t="s">
        <v>2493</v>
      </c>
      <c r="I502" s="31" t="s">
        <v>371</v>
      </c>
      <c r="J502" s="30" t="s">
        <v>2019</v>
      </c>
      <c r="K502" s="30"/>
    </row>
    <row r="503" customFormat="false" ht="15" hidden="false" customHeight="false" outlineLevel="0" collapsed="false">
      <c r="A503" s="30" t="s">
        <v>2481</v>
      </c>
      <c r="B503" s="30" t="s">
        <v>2045</v>
      </c>
      <c r="C503" s="30" t="s">
        <v>2020</v>
      </c>
      <c r="D503" s="30" t="s">
        <v>2051</v>
      </c>
      <c r="E503" s="31" t="s">
        <v>9</v>
      </c>
      <c r="F503" s="30" t="s">
        <v>2494</v>
      </c>
      <c r="G503" s="31" t="s">
        <v>183</v>
      </c>
      <c r="H503" s="30"/>
      <c r="I503" s="30"/>
      <c r="J503" s="30" t="s">
        <v>2019</v>
      </c>
      <c r="K503" s="30"/>
    </row>
    <row r="504" customFormat="false" ht="15" hidden="false" customHeight="false" outlineLevel="0" collapsed="false">
      <c r="A504" s="30" t="s">
        <v>2481</v>
      </c>
      <c r="B504" s="30" t="s">
        <v>2050</v>
      </c>
      <c r="C504" s="30" t="s">
        <v>2016</v>
      </c>
      <c r="D504" s="30" t="s">
        <v>2145</v>
      </c>
      <c r="E504" s="31" t="s">
        <v>372</v>
      </c>
      <c r="F504" s="30" t="s">
        <v>2495</v>
      </c>
      <c r="G504" s="31" t="s">
        <v>217</v>
      </c>
      <c r="H504" s="30" t="s">
        <v>2311</v>
      </c>
      <c r="I504" s="31" t="s">
        <v>344</v>
      </c>
      <c r="J504" s="30" t="s">
        <v>384</v>
      </c>
      <c r="K504" s="30"/>
    </row>
    <row r="505" customFormat="false" ht="15" hidden="false" customHeight="false" outlineLevel="0" collapsed="false">
      <c r="A505" s="30" t="s">
        <v>2481</v>
      </c>
      <c r="B505" s="30" t="s">
        <v>2050</v>
      </c>
      <c r="C505" s="30" t="s">
        <v>2020</v>
      </c>
      <c r="D505" s="30" t="s">
        <v>2496</v>
      </c>
      <c r="E505" s="31" t="s">
        <v>45</v>
      </c>
      <c r="F505" s="30" t="s">
        <v>2497</v>
      </c>
      <c r="G505" s="31" t="s">
        <v>230</v>
      </c>
      <c r="H505" s="30"/>
      <c r="I505" s="30"/>
      <c r="J505" s="30" t="s">
        <v>2019</v>
      </c>
      <c r="K505" s="30"/>
    </row>
    <row r="506" customFormat="false" ht="15" hidden="false" customHeight="false" outlineLevel="0" collapsed="false">
      <c r="A506" s="30" t="s">
        <v>2498</v>
      </c>
      <c r="B506" s="30" t="s">
        <v>2015</v>
      </c>
      <c r="C506" s="30" t="s">
        <v>2016</v>
      </c>
      <c r="D506" s="30" t="s">
        <v>2441</v>
      </c>
      <c r="E506" s="31" t="s">
        <v>48</v>
      </c>
      <c r="F506" s="30" t="s">
        <v>2381</v>
      </c>
      <c r="G506" s="31" t="s">
        <v>130</v>
      </c>
      <c r="H506" s="30" t="s">
        <v>2323</v>
      </c>
      <c r="I506" s="31" t="s">
        <v>312</v>
      </c>
      <c r="J506" s="30" t="s">
        <v>2019</v>
      </c>
      <c r="K506" s="30"/>
    </row>
    <row r="507" customFormat="false" ht="15" hidden="false" customHeight="false" outlineLevel="0" collapsed="false">
      <c r="A507" s="30" t="s">
        <v>2498</v>
      </c>
      <c r="B507" s="30" t="s">
        <v>2015</v>
      </c>
      <c r="C507" s="30" t="s">
        <v>2020</v>
      </c>
      <c r="D507" s="30" t="s">
        <v>2051</v>
      </c>
      <c r="E507" s="31" t="s">
        <v>9</v>
      </c>
      <c r="F507" s="30" t="s">
        <v>2318</v>
      </c>
      <c r="G507" s="31" t="s">
        <v>179</v>
      </c>
      <c r="H507" s="30"/>
      <c r="I507" s="30"/>
      <c r="J507" s="30" t="s">
        <v>2019</v>
      </c>
      <c r="K507" s="30"/>
    </row>
    <row r="508" customFormat="false" ht="15" hidden="false" customHeight="false" outlineLevel="0" collapsed="false">
      <c r="A508" s="30" t="s">
        <v>2498</v>
      </c>
      <c r="B508" s="30" t="s">
        <v>2024</v>
      </c>
      <c r="C508" s="30" t="s">
        <v>2016</v>
      </c>
      <c r="D508" s="30" t="s">
        <v>2442</v>
      </c>
      <c r="E508" s="31" t="s">
        <v>98</v>
      </c>
      <c r="F508" s="30" t="s">
        <v>2443</v>
      </c>
      <c r="G508" s="31" t="s">
        <v>288</v>
      </c>
      <c r="H508" s="30" t="s">
        <v>2444</v>
      </c>
      <c r="I508" s="31" t="s">
        <v>324</v>
      </c>
      <c r="J508" s="30" t="s">
        <v>2445</v>
      </c>
      <c r="K508" s="30"/>
    </row>
    <row r="509" customFormat="false" ht="15" hidden="false" customHeight="false" outlineLevel="0" collapsed="false">
      <c r="A509" s="30" t="s">
        <v>2498</v>
      </c>
      <c r="B509" s="30" t="s">
        <v>2024</v>
      </c>
      <c r="C509" s="30" t="s">
        <v>2020</v>
      </c>
      <c r="D509" s="30" t="s">
        <v>2499</v>
      </c>
      <c r="E509" s="31" t="s">
        <v>40</v>
      </c>
      <c r="F509" s="30" t="s">
        <v>2404</v>
      </c>
      <c r="G509" s="31" t="s">
        <v>129</v>
      </c>
      <c r="H509" s="30" t="s">
        <v>2446</v>
      </c>
      <c r="I509" s="31" t="s">
        <v>368</v>
      </c>
      <c r="J509" s="30" t="s">
        <v>2019</v>
      </c>
      <c r="K509" s="30"/>
    </row>
    <row r="510" customFormat="false" ht="15" hidden="false" customHeight="false" outlineLevel="0" collapsed="false">
      <c r="A510" s="30" t="s">
        <v>2498</v>
      </c>
      <c r="B510" s="30" t="s">
        <v>2030</v>
      </c>
      <c r="C510" s="30" t="s">
        <v>2016</v>
      </c>
      <c r="D510" s="30" t="s">
        <v>2447</v>
      </c>
      <c r="E510" s="31" t="s">
        <v>86</v>
      </c>
      <c r="F510" s="30" t="s">
        <v>2448</v>
      </c>
      <c r="G510" s="31" t="s">
        <v>187</v>
      </c>
      <c r="H510" s="30" t="s">
        <v>2126</v>
      </c>
      <c r="I510" s="31" t="s">
        <v>309</v>
      </c>
      <c r="J510" s="30" t="s">
        <v>2019</v>
      </c>
      <c r="K510" s="30"/>
    </row>
    <row r="511" customFormat="false" ht="15" hidden="false" customHeight="false" outlineLevel="0" collapsed="false">
      <c r="A511" s="30" t="s">
        <v>2498</v>
      </c>
      <c r="B511" s="30" t="s">
        <v>2030</v>
      </c>
      <c r="C511" s="30" t="s">
        <v>2020</v>
      </c>
      <c r="D511" s="30" t="s">
        <v>2449</v>
      </c>
      <c r="E511" s="31" t="s">
        <v>79</v>
      </c>
      <c r="F511" s="30" t="s">
        <v>2450</v>
      </c>
      <c r="G511" s="31" t="s">
        <v>124</v>
      </c>
      <c r="H511" s="30" t="s">
        <v>2293</v>
      </c>
      <c r="I511" s="31" t="s">
        <v>340</v>
      </c>
      <c r="J511" s="30" t="s">
        <v>2019</v>
      </c>
      <c r="K511" s="30"/>
    </row>
    <row r="512" customFormat="false" ht="15" hidden="false" customHeight="false" outlineLevel="0" collapsed="false">
      <c r="A512" s="30" t="s">
        <v>2498</v>
      </c>
      <c r="B512" s="30" t="s">
        <v>2035</v>
      </c>
      <c r="C512" s="30" t="s">
        <v>2016</v>
      </c>
      <c r="D512" s="30" t="s">
        <v>2359</v>
      </c>
      <c r="E512" s="31" t="s">
        <v>29</v>
      </c>
      <c r="F512" s="30" t="s">
        <v>2451</v>
      </c>
      <c r="G512" s="31" t="s">
        <v>290</v>
      </c>
      <c r="H512" s="30" t="s">
        <v>2331</v>
      </c>
      <c r="I512" s="31" t="s">
        <v>348</v>
      </c>
      <c r="J512" s="30" t="s">
        <v>2019</v>
      </c>
      <c r="K512" s="30"/>
    </row>
    <row r="513" customFormat="false" ht="15" hidden="false" customHeight="false" outlineLevel="0" collapsed="false">
      <c r="A513" s="30" t="s">
        <v>2498</v>
      </c>
      <c r="B513" s="30" t="s">
        <v>2035</v>
      </c>
      <c r="C513" s="30" t="s">
        <v>2020</v>
      </c>
      <c r="D513" s="30" t="s">
        <v>2452</v>
      </c>
      <c r="E513" s="31" t="s">
        <v>28</v>
      </c>
      <c r="F513" s="30" t="s">
        <v>2453</v>
      </c>
      <c r="G513" s="31" t="s">
        <v>121</v>
      </c>
      <c r="H513" s="30" t="s">
        <v>2454</v>
      </c>
      <c r="I513" s="31" t="s">
        <v>370</v>
      </c>
      <c r="J513" s="30" t="s">
        <v>2019</v>
      </c>
      <c r="K513" s="30"/>
    </row>
    <row r="514" customFormat="false" ht="15" hidden="false" customHeight="false" outlineLevel="0" collapsed="false">
      <c r="A514" s="30" t="s">
        <v>2498</v>
      </c>
      <c r="B514" s="30" t="s">
        <v>2039</v>
      </c>
      <c r="C514" s="30" t="s">
        <v>2016</v>
      </c>
      <c r="D514" s="30" t="s">
        <v>2368</v>
      </c>
      <c r="E514" s="31" t="s">
        <v>51</v>
      </c>
      <c r="F514" s="30" t="s">
        <v>2455</v>
      </c>
      <c r="G514" s="31" t="s">
        <v>253</v>
      </c>
      <c r="H514" s="30" t="s">
        <v>2259</v>
      </c>
      <c r="I514" s="31" t="s">
        <v>306</v>
      </c>
      <c r="J514" s="30" t="s">
        <v>2019</v>
      </c>
      <c r="K514" s="30"/>
    </row>
    <row r="515" customFormat="false" ht="15" hidden="false" customHeight="false" outlineLevel="0" collapsed="false">
      <c r="A515" s="30" t="s">
        <v>2498</v>
      </c>
      <c r="B515" s="30" t="s">
        <v>2039</v>
      </c>
      <c r="C515" s="30" t="s">
        <v>2020</v>
      </c>
      <c r="D515" s="30" t="s">
        <v>2456</v>
      </c>
      <c r="E515" s="31" t="s">
        <v>55</v>
      </c>
      <c r="F515" s="30" t="s">
        <v>2304</v>
      </c>
      <c r="G515" s="31" t="s">
        <v>141</v>
      </c>
      <c r="H515" s="30" t="s">
        <v>2500</v>
      </c>
      <c r="I515" s="31" t="s">
        <v>359</v>
      </c>
      <c r="J515" s="30" t="s">
        <v>2019</v>
      </c>
      <c r="K515" s="30"/>
    </row>
    <row r="516" customFormat="false" ht="15" hidden="false" customHeight="false" outlineLevel="0" collapsed="false">
      <c r="A516" s="30" t="s">
        <v>2498</v>
      </c>
      <c r="B516" s="30" t="s">
        <v>2045</v>
      </c>
      <c r="C516" s="30" t="s">
        <v>2016</v>
      </c>
      <c r="D516" s="30" t="s">
        <v>2124</v>
      </c>
      <c r="E516" s="31" t="s">
        <v>17</v>
      </c>
      <c r="F516" s="30" t="s">
        <v>2401</v>
      </c>
      <c r="G516" s="31" t="s">
        <v>159</v>
      </c>
      <c r="H516" s="30" t="s">
        <v>2044</v>
      </c>
      <c r="I516" s="31" t="s">
        <v>314</v>
      </c>
      <c r="J516" s="30" t="s">
        <v>2019</v>
      </c>
      <c r="K516" s="30"/>
    </row>
    <row r="517" customFormat="false" ht="15" hidden="false" customHeight="false" outlineLevel="0" collapsed="false">
      <c r="A517" s="30" t="s">
        <v>2498</v>
      </c>
      <c r="B517" s="30" t="s">
        <v>2045</v>
      </c>
      <c r="C517" s="30" t="s">
        <v>2020</v>
      </c>
      <c r="D517" s="30" t="s">
        <v>2458</v>
      </c>
      <c r="E517" s="31" t="s">
        <v>49</v>
      </c>
      <c r="F517" s="30" t="s">
        <v>2469</v>
      </c>
      <c r="G517" s="31" t="s">
        <v>195</v>
      </c>
      <c r="H517" s="30" t="s">
        <v>2129</v>
      </c>
      <c r="I517" s="31" t="s">
        <v>336</v>
      </c>
      <c r="J517" s="30" t="s">
        <v>2019</v>
      </c>
      <c r="K517" s="30"/>
    </row>
    <row r="518" customFormat="false" ht="15" hidden="false" customHeight="false" outlineLevel="0" collapsed="false">
      <c r="A518" s="30" t="s">
        <v>2498</v>
      </c>
      <c r="B518" s="30" t="s">
        <v>2050</v>
      </c>
      <c r="C518" s="30" t="s">
        <v>2016</v>
      </c>
      <c r="D518" s="30" t="s">
        <v>2460</v>
      </c>
      <c r="E518" s="31" t="s">
        <v>30</v>
      </c>
      <c r="F518" s="30" t="s">
        <v>2461</v>
      </c>
      <c r="G518" s="31" t="s">
        <v>165</v>
      </c>
      <c r="H518" s="30" t="s">
        <v>2308</v>
      </c>
      <c r="I518" s="31" t="s">
        <v>322</v>
      </c>
      <c r="J518" s="30" t="s">
        <v>384</v>
      </c>
      <c r="K518" s="30"/>
    </row>
    <row r="519" customFormat="false" ht="15" hidden="false" customHeight="false" outlineLevel="0" collapsed="false">
      <c r="A519" s="30" t="s">
        <v>2498</v>
      </c>
      <c r="B519" s="30" t="s">
        <v>2050</v>
      </c>
      <c r="C519" s="30" t="s">
        <v>2020</v>
      </c>
      <c r="D519" s="30" t="s">
        <v>2051</v>
      </c>
      <c r="E519" s="31" t="s">
        <v>9</v>
      </c>
      <c r="F519" s="30" t="s">
        <v>2435</v>
      </c>
      <c r="G519" s="31" t="s">
        <v>150</v>
      </c>
      <c r="H519" s="30"/>
      <c r="I519" s="30"/>
      <c r="J519" s="30" t="s">
        <v>2019</v>
      </c>
      <c r="K519" s="30"/>
    </row>
    <row r="520" customFormat="false" ht="15" hidden="false" customHeight="false" outlineLevel="0" collapsed="false">
      <c r="A520" s="30" t="s">
        <v>2501</v>
      </c>
      <c r="B520" s="30" t="s">
        <v>2015</v>
      </c>
      <c r="C520" s="30" t="s">
        <v>2016</v>
      </c>
      <c r="D520" s="30" t="s">
        <v>2342</v>
      </c>
      <c r="E520" s="31" t="s">
        <v>40</v>
      </c>
      <c r="F520" s="30" t="s">
        <v>2343</v>
      </c>
      <c r="G520" s="31" t="s">
        <v>233</v>
      </c>
      <c r="H520" s="30" t="s">
        <v>2344</v>
      </c>
      <c r="I520" s="31" t="s">
        <v>363</v>
      </c>
      <c r="J520" s="30" t="s">
        <v>2019</v>
      </c>
      <c r="K520" s="30"/>
    </row>
    <row r="521" customFormat="false" ht="15" hidden="false" customHeight="false" outlineLevel="0" collapsed="false">
      <c r="A521" s="30" t="s">
        <v>2501</v>
      </c>
      <c r="B521" s="30" t="s">
        <v>2015</v>
      </c>
      <c r="C521" s="30" t="s">
        <v>2020</v>
      </c>
      <c r="D521" s="30" t="s">
        <v>2362</v>
      </c>
      <c r="E521" s="31" t="s">
        <v>43</v>
      </c>
      <c r="F521" s="30" t="s">
        <v>2345</v>
      </c>
      <c r="G521" s="31" t="s">
        <v>171</v>
      </c>
      <c r="H521" s="30"/>
      <c r="I521" s="30"/>
      <c r="J521" s="30" t="s">
        <v>2019</v>
      </c>
      <c r="K521" s="30"/>
    </row>
    <row r="522" customFormat="false" ht="15" hidden="false" customHeight="false" outlineLevel="0" collapsed="false">
      <c r="A522" s="30" t="s">
        <v>2501</v>
      </c>
      <c r="B522" s="30" t="s">
        <v>2024</v>
      </c>
      <c r="C522" s="30" t="s">
        <v>2016</v>
      </c>
      <c r="D522" s="30" t="s">
        <v>29</v>
      </c>
      <c r="E522" s="31" t="s">
        <v>29</v>
      </c>
      <c r="F522" s="30" t="s">
        <v>2346</v>
      </c>
      <c r="G522" s="31" t="s">
        <v>255</v>
      </c>
      <c r="H522" s="30" t="s">
        <v>338</v>
      </c>
      <c r="I522" s="31" t="s">
        <v>338</v>
      </c>
      <c r="J522" s="30" t="s">
        <v>384</v>
      </c>
      <c r="K522" s="30"/>
    </row>
    <row r="523" customFormat="false" ht="15" hidden="false" customHeight="false" outlineLevel="0" collapsed="false">
      <c r="A523" s="30" t="s">
        <v>2501</v>
      </c>
      <c r="B523" s="30" t="s">
        <v>2024</v>
      </c>
      <c r="C523" s="30" t="s">
        <v>2020</v>
      </c>
      <c r="D523" s="30" t="s">
        <v>62</v>
      </c>
      <c r="E523" s="31" t="s">
        <v>62</v>
      </c>
      <c r="F523" s="30" t="s">
        <v>2502</v>
      </c>
      <c r="G523" s="31" t="s">
        <v>256</v>
      </c>
      <c r="H523" s="30" t="s">
        <v>2259</v>
      </c>
      <c r="I523" s="31" t="s">
        <v>306</v>
      </c>
      <c r="J523" s="30" t="s">
        <v>2019</v>
      </c>
      <c r="K523" s="30"/>
    </row>
    <row r="524" customFormat="false" ht="15" hidden="false" customHeight="false" outlineLevel="0" collapsed="false">
      <c r="A524" s="30" t="s">
        <v>2501</v>
      </c>
      <c r="B524" s="30" t="s">
        <v>2030</v>
      </c>
      <c r="C524" s="30" t="s">
        <v>2016</v>
      </c>
      <c r="D524" s="30" t="s">
        <v>55</v>
      </c>
      <c r="E524" s="31" t="s">
        <v>55</v>
      </c>
      <c r="F524" s="30" t="s">
        <v>121</v>
      </c>
      <c r="G524" s="31" t="s">
        <v>121</v>
      </c>
      <c r="H524" s="30" t="s">
        <v>2348</v>
      </c>
      <c r="I524" s="31" t="s">
        <v>362</v>
      </c>
      <c r="J524" s="30" t="s">
        <v>2019</v>
      </c>
      <c r="K524" s="30"/>
    </row>
    <row r="525" customFormat="false" ht="15" hidden="false" customHeight="false" outlineLevel="0" collapsed="false">
      <c r="A525" s="30" t="s">
        <v>2501</v>
      </c>
      <c r="B525" s="30" t="s">
        <v>2030</v>
      </c>
      <c r="C525" s="30" t="s">
        <v>2020</v>
      </c>
      <c r="D525" s="30" t="s">
        <v>2349</v>
      </c>
      <c r="E525" s="31" t="s">
        <v>23</v>
      </c>
      <c r="F525" s="30" t="s">
        <v>2503</v>
      </c>
      <c r="G525" s="31" t="s">
        <v>151</v>
      </c>
      <c r="H525" s="30"/>
      <c r="I525" s="30"/>
      <c r="J525" s="30" t="s">
        <v>2019</v>
      </c>
      <c r="K525" s="30"/>
    </row>
    <row r="526" customFormat="false" ht="15" hidden="false" customHeight="false" outlineLevel="0" collapsed="false">
      <c r="A526" s="30" t="s">
        <v>2501</v>
      </c>
      <c r="B526" s="30" t="s">
        <v>2035</v>
      </c>
      <c r="C526" s="30" t="s">
        <v>2016</v>
      </c>
      <c r="D526" s="30" t="s">
        <v>2464</v>
      </c>
      <c r="E526" s="31" t="s">
        <v>45</v>
      </c>
      <c r="F526" s="30" t="s">
        <v>2409</v>
      </c>
      <c r="G526" s="31" t="s">
        <v>163</v>
      </c>
      <c r="H526" s="30" t="s">
        <v>2353</v>
      </c>
      <c r="I526" s="31" t="s">
        <v>332</v>
      </c>
      <c r="J526" s="30" t="s">
        <v>2019</v>
      </c>
      <c r="K526" s="30"/>
    </row>
    <row r="527" customFormat="false" ht="15" hidden="false" customHeight="false" outlineLevel="0" collapsed="false">
      <c r="A527" s="30" t="s">
        <v>2501</v>
      </c>
      <c r="B527" s="30" t="s">
        <v>2035</v>
      </c>
      <c r="C527" s="30" t="s">
        <v>2020</v>
      </c>
      <c r="D527" s="30" t="s">
        <v>2504</v>
      </c>
      <c r="E527" s="31" t="s">
        <v>84</v>
      </c>
      <c r="F527" s="30" t="s">
        <v>2354</v>
      </c>
      <c r="G527" s="31" t="s">
        <v>35</v>
      </c>
      <c r="H527" s="30" t="s">
        <v>2505</v>
      </c>
      <c r="I527" s="31" t="s">
        <v>146</v>
      </c>
      <c r="J527" s="30" t="s">
        <v>2019</v>
      </c>
      <c r="K527" s="30"/>
    </row>
    <row r="528" customFormat="false" ht="15" hidden="false" customHeight="false" outlineLevel="0" collapsed="false">
      <c r="A528" s="30" t="s">
        <v>2501</v>
      </c>
      <c r="B528" s="30" t="s">
        <v>2039</v>
      </c>
      <c r="C528" s="30" t="s">
        <v>2016</v>
      </c>
      <c r="D528" s="30" t="s">
        <v>17</v>
      </c>
      <c r="E528" s="31" t="s">
        <v>17</v>
      </c>
      <c r="F528" s="30" t="s">
        <v>2430</v>
      </c>
      <c r="G528" s="31" t="s">
        <v>154</v>
      </c>
      <c r="H528" s="30" t="s">
        <v>2053</v>
      </c>
      <c r="I528" s="31" t="s">
        <v>308</v>
      </c>
      <c r="J528" s="30" t="s">
        <v>2019</v>
      </c>
      <c r="K528" s="30"/>
    </row>
    <row r="529" customFormat="false" ht="15" hidden="false" customHeight="false" outlineLevel="0" collapsed="false">
      <c r="A529" s="30" t="s">
        <v>2501</v>
      </c>
      <c r="B529" s="30" t="s">
        <v>2039</v>
      </c>
      <c r="C529" s="30" t="s">
        <v>2020</v>
      </c>
      <c r="D529" s="30" t="s">
        <v>2506</v>
      </c>
      <c r="E529" s="31" t="s">
        <v>54</v>
      </c>
      <c r="F529" s="30" t="s">
        <v>124</v>
      </c>
      <c r="G529" s="31" t="s">
        <v>124</v>
      </c>
      <c r="H529" s="30"/>
      <c r="I529" s="30"/>
      <c r="J529" s="30" t="s">
        <v>2019</v>
      </c>
      <c r="K529" s="30"/>
    </row>
    <row r="530" customFormat="false" ht="15" hidden="false" customHeight="false" outlineLevel="0" collapsed="false">
      <c r="A530" s="30" t="s">
        <v>2501</v>
      </c>
      <c r="B530" s="30" t="s">
        <v>2045</v>
      </c>
      <c r="C530" s="30" t="s">
        <v>2016</v>
      </c>
      <c r="D530" s="30" t="s">
        <v>2357</v>
      </c>
      <c r="E530" s="31" t="s">
        <v>16</v>
      </c>
      <c r="F530" s="30" t="s">
        <v>2358</v>
      </c>
      <c r="G530" s="31" t="s">
        <v>159</v>
      </c>
      <c r="H530" s="30" t="s">
        <v>2126</v>
      </c>
      <c r="I530" s="31" t="s">
        <v>309</v>
      </c>
      <c r="J530" s="30" t="s">
        <v>2019</v>
      </c>
      <c r="K530" s="30"/>
    </row>
    <row r="531" customFormat="false" ht="15" hidden="false" customHeight="false" outlineLevel="0" collapsed="false">
      <c r="A531" s="30" t="s">
        <v>2501</v>
      </c>
      <c r="B531" s="30" t="s">
        <v>2045</v>
      </c>
      <c r="C531" s="30" t="s">
        <v>2020</v>
      </c>
      <c r="D531" s="30" t="s">
        <v>2359</v>
      </c>
      <c r="E531" s="31" t="s">
        <v>29</v>
      </c>
      <c r="F531" s="30" t="s">
        <v>2360</v>
      </c>
      <c r="G531" s="31" t="s">
        <v>133</v>
      </c>
      <c r="H531" s="30" t="s">
        <v>2211</v>
      </c>
      <c r="I531" s="31" t="s">
        <v>322</v>
      </c>
      <c r="J531" s="30" t="s">
        <v>2361</v>
      </c>
      <c r="K531" s="30"/>
    </row>
    <row r="532" customFormat="false" ht="15" hidden="false" customHeight="false" outlineLevel="0" collapsed="false">
      <c r="A532" s="30" t="s">
        <v>2501</v>
      </c>
      <c r="B532" s="30" t="s">
        <v>2050</v>
      </c>
      <c r="C532" s="30" t="s">
        <v>2016</v>
      </c>
      <c r="D532" s="30" t="s">
        <v>2362</v>
      </c>
      <c r="E532" s="31" t="s">
        <v>43</v>
      </c>
      <c r="F532" s="30" t="s">
        <v>2363</v>
      </c>
      <c r="G532" s="31" t="s">
        <v>189</v>
      </c>
      <c r="H532" s="30" t="s">
        <v>2364</v>
      </c>
      <c r="I532" s="31" t="s">
        <v>344</v>
      </c>
      <c r="J532" s="30" t="s">
        <v>384</v>
      </c>
      <c r="K532" s="30"/>
    </row>
    <row r="533" customFormat="false" ht="15" hidden="false" customHeight="false" outlineLevel="0" collapsed="false">
      <c r="A533" s="30" t="s">
        <v>2501</v>
      </c>
      <c r="B533" s="30" t="s">
        <v>2050</v>
      </c>
      <c r="C533" s="30" t="s">
        <v>2020</v>
      </c>
      <c r="D533" s="30" t="s">
        <v>2365</v>
      </c>
      <c r="E533" s="31" t="s">
        <v>22</v>
      </c>
      <c r="F533" s="30" t="s">
        <v>2507</v>
      </c>
      <c r="G533" s="31" t="s">
        <v>141</v>
      </c>
      <c r="H533" s="30" t="s">
        <v>2508</v>
      </c>
      <c r="I533" s="31" t="s">
        <v>368</v>
      </c>
      <c r="J533" s="30" t="s">
        <v>2019</v>
      </c>
      <c r="K533" s="30"/>
    </row>
    <row r="534" customFormat="false" ht="15" hidden="false" customHeight="false" outlineLevel="0" collapsed="false">
      <c r="A534" s="30" t="s">
        <v>2509</v>
      </c>
      <c r="B534" s="30" t="s">
        <v>2015</v>
      </c>
      <c r="C534" s="30" t="s">
        <v>2016</v>
      </c>
      <c r="D534" s="30" t="s">
        <v>16</v>
      </c>
      <c r="E534" s="31" t="s">
        <v>16</v>
      </c>
      <c r="F534" s="30" t="s">
        <v>2510</v>
      </c>
      <c r="G534" s="31" t="s">
        <v>249</v>
      </c>
      <c r="H534" s="30" t="s">
        <v>2511</v>
      </c>
      <c r="I534" s="31" t="s">
        <v>363</v>
      </c>
      <c r="J534" s="30" t="s">
        <v>2019</v>
      </c>
      <c r="K534" s="30"/>
    </row>
    <row r="535" customFormat="false" ht="15" hidden="false" customHeight="false" outlineLevel="0" collapsed="false">
      <c r="A535" s="30" t="s">
        <v>2509</v>
      </c>
      <c r="B535" s="30" t="s">
        <v>2015</v>
      </c>
      <c r="C535" s="30" t="s">
        <v>2020</v>
      </c>
      <c r="D535" s="30" t="s">
        <v>2091</v>
      </c>
      <c r="E535" s="31" t="s">
        <v>19</v>
      </c>
      <c r="F535" s="30" t="s">
        <v>176</v>
      </c>
      <c r="G535" s="31" t="s">
        <v>176</v>
      </c>
      <c r="H535" s="30"/>
      <c r="I535" s="30"/>
      <c r="J535" s="30" t="s">
        <v>2019</v>
      </c>
      <c r="K535" s="30"/>
    </row>
    <row r="536" customFormat="false" ht="15" hidden="false" customHeight="false" outlineLevel="0" collapsed="false">
      <c r="A536" s="30" t="s">
        <v>2509</v>
      </c>
      <c r="B536" s="30" t="s">
        <v>2024</v>
      </c>
      <c r="C536" s="30" t="s">
        <v>2016</v>
      </c>
      <c r="D536" s="30" t="s">
        <v>31</v>
      </c>
      <c r="E536" s="31" t="s">
        <v>31</v>
      </c>
      <c r="F536" s="30" t="s">
        <v>206</v>
      </c>
      <c r="G536" s="31" t="s">
        <v>206</v>
      </c>
      <c r="H536" s="30"/>
      <c r="I536" s="30"/>
      <c r="J536" s="30" t="s">
        <v>384</v>
      </c>
      <c r="K536" s="30"/>
    </row>
    <row r="537" customFormat="false" ht="15" hidden="false" customHeight="false" outlineLevel="0" collapsed="false">
      <c r="A537" s="30" t="s">
        <v>2509</v>
      </c>
      <c r="B537" s="30" t="s">
        <v>2024</v>
      </c>
      <c r="C537" s="30" t="s">
        <v>2020</v>
      </c>
      <c r="D537" s="30" t="s">
        <v>2395</v>
      </c>
      <c r="E537" s="31" t="s">
        <v>83</v>
      </c>
      <c r="F537" s="30" t="s">
        <v>2512</v>
      </c>
      <c r="G537" s="31" t="s">
        <v>229</v>
      </c>
      <c r="H537" s="30" t="s">
        <v>2513</v>
      </c>
      <c r="I537" s="31" t="s">
        <v>360</v>
      </c>
      <c r="J537" s="30" t="s">
        <v>2019</v>
      </c>
      <c r="K537" s="30"/>
    </row>
    <row r="538" customFormat="false" ht="15" hidden="false" customHeight="false" outlineLevel="0" collapsed="false">
      <c r="A538" s="30" t="s">
        <v>2509</v>
      </c>
      <c r="B538" s="30" t="s">
        <v>2030</v>
      </c>
      <c r="C538" s="30" t="s">
        <v>2016</v>
      </c>
      <c r="D538" s="30" t="s">
        <v>2139</v>
      </c>
      <c r="E538" s="31" t="s">
        <v>35</v>
      </c>
      <c r="F538" s="30" t="s">
        <v>2381</v>
      </c>
      <c r="G538" s="31" t="s">
        <v>130</v>
      </c>
      <c r="H538" s="30" t="s">
        <v>2159</v>
      </c>
      <c r="I538" s="31" t="s">
        <v>309</v>
      </c>
      <c r="J538" s="30" t="s">
        <v>2019</v>
      </c>
      <c r="K538" s="30"/>
    </row>
    <row r="539" customFormat="false" ht="15" hidden="false" customHeight="false" outlineLevel="0" collapsed="false">
      <c r="A539" s="30" t="s">
        <v>2509</v>
      </c>
      <c r="B539" s="30" t="s">
        <v>2030</v>
      </c>
      <c r="C539" s="30" t="s">
        <v>2020</v>
      </c>
      <c r="D539" s="30" t="s">
        <v>2407</v>
      </c>
      <c r="E539" s="31" t="s">
        <v>9</v>
      </c>
      <c r="F539" s="30" t="s">
        <v>227</v>
      </c>
      <c r="G539" s="31" t="s">
        <v>227</v>
      </c>
      <c r="H539" s="30" t="s">
        <v>2202</v>
      </c>
      <c r="I539" s="31" t="s">
        <v>322</v>
      </c>
      <c r="J539" s="30" t="s">
        <v>2019</v>
      </c>
      <c r="K539" s="30"/>
    </row>
    <row r="540" customFormat="false" ht="15" hidden="false" customHeight="false" outlineLevel="0" collapsed="false">
      <c r="A540" s="30" t="s">
        <v>2509</v>
      </c>
      <c r="B540" s="30" t="s">
        <v>2035</v>
      </c>
      <c r="C540" s="30" t="s">
        <v>2016</v>
      </c>
      <c r="D540" s="30" t="s">
        <v>2184</v>
      </c>
      <c r="E540" s="31" t="s">
        <v>34</v>
      </c>
      <c r="F540" s="30" t="s">
        <v>2514</v>
      </c>
      <c r="G540" s="31" t="s">
        <v>173</v>
      </c>
      <c r="H540" s="30" t="s">
        <v>2323</v>
      </c>
      <c r="I540" s="31" t="s">
        <v>312</v>
      </c>
      <c r="J540" s="30" t="s">
        <v>2019</v>
      </c>
      <c r="K540" s="30"/>
    </row>
    <row r="541" customFormat="false" ht="15" hidden="false" customHeight="false" outlineLevel="0" collapsed="false">
      <c r="A541" s="30" t="s">
        <v>2509</v>
      </c>
      <c r="B541" s="30" t="s">
        <v>2035</v>
      </c>
      <c r="C541" s="30" t="s">
        <v>2020</v>
      </c>
      <c r="D541" s="30" t="s">
        <v>2515</v>
      </c>
      <c r="E541" s="31" t="s">
        <v>70</v>
      </c>
      <c r="F541" s="30" t="s">
        <v>2162</v>
      </c>
      <c r="G541" s="31" t="s">
        <v>123</v>
      </c>
      <c r="H541" s="30" t="s">
        <v>2516</v>
      </c>
      <c r="I541" s="31" t="s">
        <v>368</v>
      </c>
      <c r="J541" s="30" t="s">
        <v>2019</v>
      </c>
      <c r="K541" s="30"/>
    </row>
    <row r="542" customFormat="false" ht="15" hidden="false" customHeight="false" outlineLevel="0" collapsed="false">
      <c r="A542" s="30" t="s">
        <v>2509</v>
      </c>
      <c r="B542" s="30" t="s">
        <v>2039</v>
      </c>
      <c r="C542" s="30" t="s">
        <v>2016</v>
      </c>
      <c r="D542" s="30" t="s">
        <v>2040</v>
      </c>
      <c r="E542" s="31" t="s">
        <v>60</v>
      </c>
      <c r="F542" s="30" t="s">
        <v>2324</v>
      </c>
      <c r="G542" s="31" t="s">
        <v>154</v>
      </c>
      <c r="H542" s="30" t="s">
        <v>2517</v>
      </c>
      <c r="I542" s="31" t="s">
        <v>316</v>
      </c>
      <c r="J542" s="30" t="s">
        <v>2019</v>
      </c>
      <c r="K542" s="30"/>
    </row>
    <row r="543" customFormat="false" ht="15" hidden="false" customHeight="false" outlineLevel="0" collapsed="false">
      <c r="A543" s="30" t="s">
        <v>2509</v>
      </c>
      <c r="B543" s="30" t="s">
        <v>2039</v>
      </c>
      <c r="C543" s="30" t="s">
        <v>2020</v>
      </c>
      <c r="D543" s="30" t="s">
        <v>2164</v>
      </c>
      <c r="E543" s="31" t="s">
        <v>38</v>
      </c>
      <c r="F543" s="30" t="s">
        <v>2165</v>
      </c>
      <c r="G543" s="31" t="s">
        <v>228</v>
      </c>
      <c r="H543" s="30" t="s">
        <v>2042</v>
      </c>
      <c r="I543" s="31" t="s">
        <v>306</v>
      </c>
      <c r="J543" s="30" t="s">
        <v>2019</v>
      </c>
      <c r="K543" s="30"/>
    </row>
    <row r="544" customFormat="false" ht="15" hidden="false" customHeight="false" outlineLevel="0" collapsed="false">
      <c r="A544" s="30" t="s">
        <v>2509</v>
      </c>
      <c r="B544" s="30" t="s">
        <v>2045</v>
      </c>
      <c r="C544" s="30" t="s">
        <v>2016</v>
      </c>
      <c r="D544" s="30" t="s">
        <v>2518</v>
      </c>
      <c r="E544" s="31" t="s">
        <v>55</v>
      </c>
      <c r="F544" s="30" t="s">
        <v>2167</v>
      </c>
      <c r="G544" s="31" t="s">
        <v>141</v>
      </c>
      <c r="H544" s="30" t="s">
        <v>329</v>
      </c>
      <c r="I544" s="31" t="s">
        <v>329</v>
      </c>
      <c r="J544" s="30" t="s">
        <v>2019</v>
      </c>
      <c r="K544" s="30"/>
    </row>
    <row r="545" customFormat="false" ht="15" hidden="false" customHeight="false" outlineLevel="0" collapsed="false">
      <c r="A545" s="30" t="s">
        <v>2509</v>
      </c>
      <c r="B545" s="30" t="s">
        <v>2045</v>
      </c>
      <c r="C545" s="30" t="s">
        <v>2020</v>
      </c>
      <c r="D545" s="30" t="s">
        <v>2519</v>
      </c>
      <c r="E545" s="31" t="s">
        <v>9</v>
      </c>
      <c r="F545" s="30" t="s">
        <v>2168</v>
      </c>
      <c r="G545" s="31" t="s">
        <v>179</v>
      </c>
      <c r="H545" s="30"/>
      <c r="I545" s="30"/>
      <c r="J545" s="30" t="s">
        <v>2019</v>
      </c>
      <c r="K545" s="30"/>
    </row>
    <row r="546" customFormat="false" ht="15" hidden="false" customHeight="false" outlineLevel="0" collapsed="false">
      <c r="A546" s="30" t="s">
        <v>2509</v>
      </c>
      <c r="B546" s="30" t="s">
        <v>2050</v>
      </c>
      <c r="C546" s="30" t="s">
        <v>2016</v>
      </c>
      <c r="D546" s="30" t="s">
        <v>2520</v>
      </c>
      <c r="E546" s="31" t="s">
        <v>91</v>
      </c>
      <c r="F546" s="30" t="s">
        <v>2284</v>
      </c>
      <c r="G546" s="31" t="s">
        <v>145</v>
      </c>
      <c r="H546" s="30" t="s">
        <v>2029</v>
      </c>
      <c r="I546" s="31" t="s">
        <v>310</v>
      </c>
      <c r="J546" s="30" t="s">
        <v>384</v>
      </c>
      <c r="K546" s="30"/>
    </row>
    <row r="547" customFormat="false" ht="15" hidden="false" customHeight="false" outlineLevel="0" collapsed="false">
      <c r="A547" s="30" t="s">
        <v>2509</v>
      </c>
      <c r="B547" s="30" t="s">
        <v>2050</v>
      </c>
      <c r="C547" s="30" t="s">
        <v>2020</v>
      </c>
      <c r="D547" s="30" t="s">
        <v>2073</v>
      </c>
      <c r="E547" s="31" t="s">
        <v>45</v>
      </c>
      <c r="F547" s="30" t="s">
        <v>2521</v>
      </c>
      <c r="G547" s="31" t="s">
        <v>129</v>
      </c>
      <c r="H547" s="30" t="s">
        <v>2056</v>
      </c>
      <c r="I547" s="31" t="s">
        <v>341</v>
      </c>
      <c r="J547" s="30" t="s">
        <v>2019</v>
      </c>
      <c r="K547" s="30"/>
    </row>
    <row r="548" customFormat="false" ht="15" hidden="false" customHeight="false" outlineLevel="0" collapsed="false">
      <c r="A548" s="30" t="s">
        <v>2522</v>
      </c>
      <c r="B548" s="30" t="s">
        <v>2015</v>
      </c>
      <c r="C548" s="30" t="s">
        <v>2016</v>
      </c>
      <c r="D548" s="30" t="s">
        <v>46</v>
      </c>
      <c r="E548" s="31" t="s">
        <v>46</v>
      </c>
      <c r="F548" s="30" t="s">
        <v>159</v>
      </c>
      <c r="G548" s="31" t="s">
        <v>159</v>
      </c>
      <c r="H548" s="30" t="s">
        <v>318</v>
      </c>
      <c r="I548" s="31" t="s">
        <v>318</v>
      </c>
      <c r="J548" s="30" t="s">
        <v>2019</v>
      </c>
      <c r="K548" s="30"/>
    </row>
    <row r="549" customFormat="false" ht="15" hidden="false" customHeight="false" outlineLevel="0" collapsed="false">
      <c r="A549" s="30" t="s">
        <v>2522</v>
      </c>
      <c r="B549" s="30" t="s">
        <v>2015</v>
      </c>
      <c r="C549" s="30" t="s">
        <v>2020</v>
      </c>
      <c r="D549" s="30" t="s">
        <v>32</v>
      </c>
      <c r="E549" s="31" t="s">
        <v>32</v>
      </c>
      <c r="F549" s="30" t="s">
        <v>171</v>
      </c>
      <c r="G549" s="31" t="s">
        <v>171</v>
      </c>
      <c r="H549" s="30"/>
      <c r="I549" s="30"/>
      <c r="J549" s="30" t="s">
        <v>2019</v>
      </c>
      <c r="K549" s="30"/>
    </row>
    <row r="550" customFormat="false" ht="15" hidden="false" customHeight="false" outlineLevel="0" collapsed="false">
      <c r="A550" s="30" t="s">
        <v>2522</v>
      </c>
      <c r="B550" s="30" t="s">
        <v>2024</v>
      </c>
      <c r="C550" s="30" t="s">
        <v>2016</v>
      </c>
      <c r="D550" s="30" t="s">
        <v>2523</v>
      </c>
      <c r="E550" s="31" t="s">
        <v>42</v>
      </c>
      <c r="F550" s="30" t="s">
        <v>2212</v>
      </c>
      <c r="G550" s="31" t="s">
        <v>169</v>
      </c>
      <c r="H550" s="30" t="s">
        <v>2524</v>
      </c>
      <c r="I550" s="31" t="s">
        <v>380</v>
      </c>
      <c r="J550" s="30" t="s">
        <v>384</v>
      </c>
      <c r="K550" s="30"/>
    </row>
    <row r="551" customFormat="false" ht="15" hidden="false" customHeight="false" outlineLevel="0" collapsed="false">
      <c r="A551" s="30" t="s">
        <v>2522</v>
      </c>
      <c r="B551" s="30" t="s">
        <v>2024</v>
      </c>
      <c r="C551" s="30" t="s">
        <v>2020</v>
      </c>
      <c r="D551" s="30" t="s">
        <v>16</v>
      </c>
      <c r="E551" s="31" t="s">
        <v>16</v>
      </c>
      <c r="F551" s="30" t="s">
        <v>124</v>
      </c>
      <c r="G551" s="31" t="s">
        <v>124</v>
      </c>
      <c r="H551" s="30" t="s">
        <v>359</v>
      </c>
      <c r="I551" s="31" t="s">
        <v>359</v>
      </c>
      <c r="J551" s="30" t="s">
        <v>2019</v>
      </c>
      <c r="K551" s="30"/>
    </row>
    <row r="552" customFormat="false" ht="15" hidden="false" customHeight="false" outlineLevel="0" collapsed="false">
      <c r="A552" s="30" t="s">
        <v>2522</v>
      </c>
      <c r="B552" s="30" t="s">
        <v>2030</v>
      </c>
      <c r="C552" s="30" t="s">
        <v>2016</v>
      </c>
      <c r="D552" s="30" t="s">
        <v>20</v>
      </c>
      <c r="E552" s="31" t="s">
        <v>20</v>
      </c>
      <c r="F552" s="30" t="s">
        <v>2525</v>
      </c>
      <c r="G552" s="31" t="s">
        <v>175</v>
      </c>
      <c r="H552" s="30" t="s">
        <v>2202</v>
      </c>
      <c r="I552" s="31" t="s">
        <v>322</v>
      </c>
      <c r="J552" s="30" t="s">
        <v>2019</v>
      </c>
      <c r="K552" s="30"/>
    </row>
    <row r="553" customFormat="false" ht="15" hidden="false" customHeight="false" outlineLevel="0" collapsed="false">
      <c r="A553" s="30" t="s">
        <v>2522</v>
      </c>
      <c r="B553" s="30" t="s">
        <v>2030</v>
      </c>
      <c r="C553" s="30" t="s">
        <v>2020</v>
      </c>
      <c r="D553" s="30" t="s">
        <v>2526</v>
      </c>
      <c r="E553" s="31" t="s">
        <v>9</v>
      </c>
      <c r="F553" s="30" t="s">
        <v>93</v>
      </c>
      <c r="G553" s="31" t="s">
        <v>93</v>
      </c>
      <c r="H553" s="30"/>
      <c r="I553" s="30"/>
      <c r="J553" s="30" t="s">
        <v>2019</v>
      </c>
      <c r="K553" s="30"/>
    </row>
    <row r="554" customFormat="false" ht="15" hidden="false" customHeight="false" outlineLevel="0" collapsed="false">
      <c r="A554" s="30" t="s">
        <v>2522</v>
      </c>
      <c r="B554" s="30" t="s">
        <v>2035</v>
      </c>
      <c r="C554" s="30" t="s">
        <v>2016</v>
      </c>
      <c r="D554" s="30" t="s">
        <v>66</v>
      </c>
      <c r="E554" s="31" t="s">
        <v>66</v>
      </c>
      <c r="F554" s="30" t="s">
        <v>202</v>
      </c>
      <c r="G554" s="31" t="s">
        <v>202</v>
      </c>
      <c r="H554" s="30" t="s">
        <v>314</v>
      </c>
      <c r="I554" s="31" t="s">
        <v>314</v>
      </c>
      <c r="J554" s="30" t="s">
        <v>2019</v>
      </c>
      <c r="K554" s="30"/>
    </row>
    <row r="555" customFormat="false" ht="15" hidden="false" customHeight="false" outlineLevel="0" collapsed="false">
      <c r="A555" s="30" t="s">
        <v>2522</v>
      </c>
      <c r="B555" s="30" t="s">
        <v>2035</v>
      </c>
      <c r="C555" s="30" t="s">
        <v>2020</v>
      </c>
      <c r="D555" s="30" t="s">
        <v>99</v>
      </c>
      <c r="E555" s="31" t="s">
        <v>99</v>
      </c>
      <c r="F555" s="30" t="s">
        <v>147</v>
      </c>
      <c r="G555" s="31" t="s">
        <v>147</v>
      </c>
      <c r="H555" s="30" t="s">
        <v>2042</v>
      </c>
      <c r="I555" s="31" t="s">
        <v>306</v>
      </c>
      <c r="J555" s="30" t="s">
        <v>2019</v>
      </c>
      <c r="K555" s="30"/>
    </row>
    <row r="556" customFormat="false" ht="15" hidden="false" customHeight="false" outlineLevel="0" collapsed="false">
      <c r="A556" s="30" t="s">
        <v>2522</v>
      </c>
      <c r="B556" s="30" t="s">
        <v>2039</v>
      </c>
      <c r="C556" s="30" t="s">
        <v>2016</v>
      </c>
      <c r="D556" s="30" t="s">
        <v>43</v>
      </c>
      <c r="E556" s="31" t="s">
        <v>43</v>
      </c>
      <c r="F556" s="30" t="s">
        <v>154</v>
      </c>
      <c r="G556" s="31" t="s">
        <v>154</v>
      </c>
      <c r="H556" s="30" t="s">
        <v>2527</v>
      </c>
      <c r="I556" s="31" t="s">
        <v>348</v>
      </c>
      <c r="J556" s="30" t="s">
        <v>2019</v>
      </c>
      <c r="K556" s="30"/>
    </row>
    <row r="557" customFormat="false" ht="15" hidden="false" customHeight="false" outlineLevel="0" collapsed="false">
      <c r="A557" s="30" t="s">
        <v>2522</v>
      </c>
      <c r="B557" s="30" t="s">
        <v>2039</v>
      </c>
      <c r="C557" s="30" t="s">
        <v>2020</v>
      </c>
      <c r="D557" s="30" t="s">
        <v>56</v>
      </c>
      <c r="E557" s="31" t="s">
        <v>56</v>
      </c>
      <c r="F557" s="30" t="s">
        <v>2528</v>
      </c>
      <c r="G557" s="31" t="s">
        <v>135</v>
      </c>
      <c r="H557" s="30" t="s">
        <v>312</v>
      </c>
      <c r="I557" s="31" t="s">
        <v>312</v>
      </c>
      <c r="J557" s="30" t="s">
        <v>2019</v>
      </c>
      <c r="K557" s="30"/>
    </row>
    <row r="558" customFormat="false" ht="15" hidden="false" customHeight="false" outlineLevel="0" collapsed="false">
      <c r="A558" s="30" t="s">
        <v>2522</v>
      </c>
      <c r="B558" s="30" t="s">
        <v>2045</v>
      </c>
      <c r="C558" s="30" t="s">
        <v>2016</v>
      </c>
      <c r="D558" s="30" t="s">
        <v>2529</v>
      </c>
      <c r="E558" s="31" t="s">
        <v>62</v>
      </c>
      <c r="F558" s="30" t="s">
        <v>2530</v>
      </c>
      <c r="G558" s="31" t="s">
        <v>187</v>
      </c>
      <c r="H558" s="30" t="s">
        <v>309</v>
      </c>
      <c r="I558" s="31" t="s">
        <v>64</v>
      </c>
      <c r="J558" s="30" t="s">
        <v>2019</v>
      </c>
      <c r="K558" s="30"/>
    </row>
    <row r="559" customFormat="false" ht="15" hidden="false" customHeight="false" outlineLevel="0" collapsed="false">
      <c r="A559" s="30" t="s">
        <v>2522</v>
      </c>
      <c r="B559" s="30" t="s">
        <v>2045</v>
      </c>
      <c r="C559" s="30" t="s">
        <v>2020</v>
      </c>
      <c r="D559" s="30" t="s">
        <v>45</v>
      </c>
      <c r="E559" s="31" t="s">
        <v>45</v>
      </c>
      <c r="F559" s="30" t="s">
        <v>2115</v>
      </c>
      <c r="G559" s="31" t="s">
        <v>150</v>
      </c>
      <c r="H559" s="30"/>
      <c r="I559" s="30"/>
      <c r="J559" s="30" t="s">
        <v>2019</v>
      </c>
      <c r="K559" s="30"/>
    </row>
    <row r="560" customFormat="false" ht="15" hidden="false" customHeight="false" outlineLevel="0" collapsed="false">
      <c r="A560" s="30" t="s">
        <v>2522</v>
      </c>
      <c r="B560" s="30" t="s">
        <v>2050</v>
      </c>
      <c r="C560" s="30" t="s">
        <v>2016</v>
      </c>
      <c r="D560" s="30" t="s">
        <v>23</v>
      </c>
      <c r="E560" s="31" t="s">
        <v>23</v>
      </c>
      <c r="F560" s="30" t="s">
        <v>241</v>
      </c>
      <c r="G560" s="31" t="s">
        <v>241</v>
      </c>
      <c r="H560" s="30" t="s">
        <v>334</v>
      </c>
      <c r="I560" s="31" t="s">
        <v>334</v>
      </c>
      <c r="J560" s="30" t="s">
        <v>384</v>
      </c>
      <c r="K560" s="30"/>
    </row>
    <row r="561" customFormat="false" ht="15" hidden="false" customHeight="false" outlineLevel="0" collapsed="false">
      <c r="A561" s="30" t="s">
        <v>2522</v>
      </c>
      <c r="B561" s="30" t="s">
        <v>2050</v>
      </c>
      <c r="C561" s="30" t="s">
        <v>2020</v>
      </c>
      <c r="D561" s="30" t="s">
        <v>100</v>
      </c>
      <c r="E561" s="31" t="s">
        <v>100</v>
      </c>
      <c r="F561" s="30" t="s">
        <v>294</v>
      </c>
      <c r="G561" s="31" t="s">
        <v>294</v>
      </c>
      <c r="H561" s="30"/>
      <c r="I561" s="30"/>
      <c r="J561" s="30" t="s">
        <v>2019</v>
      </c>
      <c r="K561" s="30"/>
    </row>
    <row r="562" customFormat="false" ht="15" hidden="false" customHeight="false" outlineLevel="0" collapsed="false">
      <c r="A562" s="30" t="s">
        <v>2531</v>
      </c>
      <c r="B562" s="30" t="s">
        <v>2015</v>
      </c>
      <c r="C562" s="30" t="s">
        <v>2016</v>
      </c>
      <c r="D562" s="30" t="s">
        <v>2532</v>
      </c>
      <c r="E562" s="31" t="s">
        <v>61</v>
      </c>
      <c r="F562" s="30" t="s">
        <v>130</v>
      </c>
      <c r="G562" s="31" t="s">
        <v>130</v>
      </c>
      <c r="H562" s="30" t="s">
        <v>2533</v>
      </c>
      <c r="I562" s="31" t="s">
        <v>373</v>
      </c>
      <c r="J562" s="30" t="s">
        <v>2019</v>
      </c>
      <c r="K562" s="30"/>
    </row>
    <row r="563" customFormat="false" ht="15" hidden="false" customHeight="false" outlineLevel="0" collapsed="false">
      <c r="A563" s="30" t="s">
        <v>2531</v>
      </c>
      <c r="B563" s="30" t="s">
        <v>2015</v>
      </c>
      <c r="C563" s="30" t="s">
        <v>2020</v>
      </c>
      <c r="D563" s="30" t="s">
        <v>45</v>
      </c>
      <c r="E563" s="31" t="s">
        <v>45</v>
      </c>
      <c r="F563" s="30" t="s">
        <v>129</v>
      </c>
      <c r="G563" s="31" t="s">
        <v>129</v>
      </c>
      <c r="H563" s="30" t="s">
        <v>328</v>
      </c>
      <c r="I563" s="31" t="s">
        <v>328</v>
      </c>
      <c r="J563" s="30" t="s">
        <v>2019</v>
      </c>
      <c r="K563" s="30"/>
    </row>
    <row r="564" customFormat="false" ht="15" hidden="false" customHeight="false" outlineLevel="0" collapsed="false">
      <c r="A564" s="30" t="s">
        <v>2531</v>
      </c>
      <c r="B564" s="30" t="s">
        <v>2024</v>
      </c>
      <c r="C564" s="30" t="s">
        <v>2016</v>
      </c>
      <c r="D564" s="30" t="s">
        <v>112</v>
      </c>
      <c r="E564" s="31" t="s">
        <v>112</v>
      </c>
      <c r="F564" s="30" t="s">
        <v>286</v>
      </c>
      <c r="G564" s="31" t="s">
        <v>286</v>
      </c>
      <c r="H564" s="30" t="s">
        <v>2202</v>
      </c>
      <c r="I564" s="31" t="s">
        <v>322</v>
      </c>
      <c r="J564" s="30" t="s">
        <v>384</v>
      </c>
      <c r="K564" s="30"/>
    </row>
    <row r="565" customFormat="false" ht="15" hidden="false" customHeight="false" outlineLevel="0" collapsed="false">
      <c r="A565" s="30" t="s">
        <v>2531</v>
      </c>
      <c r="B565" s="30" t="s">
        <v>2024</v>
      </c>
      <c r="C565" s="30" t="s">
        <v>2020</v>
      </c>
      <c r="D565" s="30" t="s">
        <v>2534</v>
      </c>
      <c r="E565" s="31" t="s">
        <v>99</v>
      </c>
      <c r="F565" s="30" t="s">
        <v>304</v>
      </c>
      <c r="G565" s="31" t="s">
        <v>304</v>
      </c>
      <c r="H565" s="30"/>
      <c r="I565" s="30"/>
      <c r="J565" s="30" t="s">
        <v>2019</v>
      </c>
      <c r="K565" s="30"/>
    </row>
    <row r="566" customFormat="false" ht="15" hidden="false" customHeight="false" outlineLevel="0" collapsed="false">
      <c r="A566" s="30" t="s">
        <v>2531</v>
      </c>
      <c r="B566" s="30" t="s">
        <v>2030</v>
      </c>
      <c r="C566" s="30" t="s">
        <v>2016</v>
      </c>
      <c r="D566" s="30" t="s">
        <v>2357</v>
      </c>
      <c r="E566" s="31" t="s">
        <v>16</v>
      </c>
      <c r="F566" s="30" t="s">
        <v>123</v>
      </c>
      <c r="G566" s="31" t="s">
        <v>123</v>
      </c>
      <c r="H566" s="30" t="s">
        <v>312</v>
      </c>
      <c r="I566" s="31" t="s">
        <v>312</v>
      </c>
      <c r="J566" s="30" t="s">
        <v>2019</v>
      </c>
      <c r="K566" s="30"/>
    </row>
    <row r="567" customFormat="false" ht="15" hidden="false" customHeight="false" outlineLevel="0" collapsed="false">
      <c r="A567" s="30" t="s">
        <v>2531</v>
      </c>
      <c r="B567" s="30" t="s">
        <v>2030</v>
      </c>
      <c r="C567" s="30" t="s">
        <v>2020</v>
      </c>
      <c r="D567" s="30" t="s">
        <v>42</v>
      </c>
      <c r="E567" s="31" t="s">
        <v>42</v>
      </c>
      <c r="F567" s="30" t="s">
        <v>213</v>
      </c>
      <c r="G567" s="31" t="s">
        <v>213</v>
      </c>
      <c r="H567" s="30" t="s">
        <v>2535</v>
      </c>
      <c r="I567" s="31" t="s">
        <v>340</v>
      </c>
      <c r="J567" s="30" t="s">
        <v>2019</v>
      </c>
      <c r="K567" s="30"/>
    </row>
    <row r="568" customFormat="false" ht="15" hidden="false" customHeight="false" outlineLevel="0" collapsed="false">
      <c r="A568" s="30" t="s">
        <v>2531</v>
      </c>
      <c r="B568" s="30" t="s">
        <v>2035</v>
      </c>
      <c r="C568" s="30" t="s">
        <v>2016</v>
      </c>
      <c r="D568" s="30" t="s">
        <v>2536</v>
      </c>
      <c r="E568" s="31" t="s">
        <v>35</v>
      </c>
      <c r="F568" s="30" t="s">
        <v>2537</v>
      </c>
      <c r="G568" s="31" t="s">
        <v>267</v>
      </c>
      <c r="H568" s="30" t="s">
        <v>2211</v>
      </c>
      <c r="I568" s="31" t="s">
        <v>322</v>
      </c>
      <c r="J568" s="30" t="s">
        <v>2019</v>
      </c>
      <c r="K568" s="30"/>
    </row>
    <row r="569" customFormat="false" ht="15" hidden="false" customHeight="false" outlineLevel="0" collapsed="false">
      <c r="A569" s="30" t="s">
        <v>2531</v>
      </c>
      <c r="B569" s="30" t="s">
        <v>2035</v>
      </c>
      <c r="C569" s="30" t="s">
        <v>2020</v>
      </c>
      <c r="D569" s="30" t="s">
        <v>19</v>
      </c>
      <c r="E569" s="31" t="s">
        <v>19</v>
      </c>
      <c r="F569" s="30" t="s">
        <v>126</v>
      </c>
      <c r="G569" s="31" t="s">
        <v>126</v>
      </c>
      <c r="H569" s="30" t="s">
        <v>2538</v>
      </c>
      <c r="I569" s="31" t="s">
        <v>363</v>
      </c>
      <c r="J569" s="30" t="s">
        <v>2019</v>
      </c>
      <c r="K569" s="30"/>
    </row>
    <row r="570" customFormat="false" ht="15" hidden="false" customHeight="false" outlineLevel="0" collapsed="false">
      <c r="A570" s="30" t="s">
        <v>2531</v>
      </c>
      <c r="B570" s="30" t="s">
        <v>2039</v>
      </c>
      <c r="C570" s="30" t="s">
        <v>2016</v>
      </c>
      <c r="D570" s="30" t="s">
        <v>32</v>
      </c>
      <c r="E570" s="31" t="s">
        <v>32</v>
      </c>
      <c r="F570" s="30" t="s">
        <v>2418</v>
      </c>
      <c r="G570" s="31" t="s">
        <v>157</v>
      </c>
      <c r="H570" s="30" t="s">
        <v>2539</v>
      </c>
      <c r="I570" s="31" t="s">
        <v>306</v>
      </c>
      <c r="J570" s="30" t="s">
        <v>2019</v>
      </c>
      <c r="K570" s="30"/>
    </row>
    <row r="571" customFormat="false" ht="15" hidden="false" customHeight="false" outlineLevel="0" collapsed="false">
      <c r="A571" s="30" t="s">
        <v>2531</v>
      </c>
      <c r="B571" s="30" t="s">
        <v>2039</v>
      </c>
      <c r="C571" s="30" t="s">
        <v>2020</v>
      </c>
      <c r="D571" s="30" t="s">
        <v>92</v>
      </c>
      <c r="E571" s="31" t="s">
        <v>92</v>
      </c>
      <c r="F571" s="30" t="s">
        <v>2540</v>
      </c>
      <c r="G571" s="31" t="s">
        <v>132</v>
      </c>
      <c r="H571" s="30" t="s">
        <v>318</v>
      </c>
      <c r="I571" s="31" t="s">
        <v>318</v>
      </c>
      <c r="J571" s="30" t="s">
        <v>2019</v>
      </c>
      <c r="K571" s="30"/>
    </row>
    <row r="572" customFormat="false" ht="15" hidden="false" customHeight="false" outlineLevel="0" collapsed="false">
      <c r="A572" s="30" t="s">
        <v>2531</v>
      </c>
      <c r="B572" s="30" t="s">
        <v>2045</v>
      </c>
      <c r="C572" s="30" t="s">
        <v>2016</v>
      </c>
      <c r="D572" s="30" t="s">
        <v>55</v>
      </c>
      <c r="E572" s="31" t="s">
        <v>55</v>
      </c>
      <c r="F572" s="30" t="s">
        <v>239</v>
      </c>
      <c r="G572" s="31" t="s">
        <v>239</v>
      </c>
      <c r="H572" s="30" t="s">
        <v>379</v>
      </c>
      <c r="I572" s="31" t="s">
        <v>379</v>
      </c>
      <c r="J572" s="30" t="s">
        <v>2019</v>
      </c>
      <c r="K572" s="30"/>
    </row>
    <row r="573" customFormat="false" ht="15" hidden="false" customHeight="false" outlineLevel="0" collapsed="false">
      <c r="A573" s="30" t="s">
        <v>2531</v>
      </c>
      <c r="B573" s="30" t="s">
        <v>2045</v>
      </c>
      <c r="C573" s="30" t="s">
        <v>2020</v>
      </c>
      <c r="D573" s="30" t="s">
        <v>38</v>
      </c>
      <c r="E573" s="31" t="s">
        <v>38</v>
      </c>
      <c r="F573" s="30" t="s">
        <v>121</v>
      </c>
      <c r="G573" s="31" t="s">
        <v>121</v>
      </c>
      <c r="H573" s="30" t="s">
        <v>332</v>
      </c>
      <c r="I573" s="31" t="s">
        <v>332</v>
      </c>
      <c r="J573" s="30" t="s">
        <v>2019</v>
      </c>
      <c r="K573" s="30"/>
    </row>
    <row r="574" customFormat="false" ht="15" hidden="false" customHeight="false" outlineLevel="0" collapsed="false">
      <c r="A574" s="30" t="s">
        <v>2531</v>
      </c>
      <c r="B574" s="30" t="s">
        <v>2050</v>
      </c>
      <c r="C574" s="30" t="s">
        <v>2016</v>
      </c>
      <c r="D574" s="30" t="s">
        <v>26</v>
      </c>
      <c r="E574" s="31" t="s">
        <v>26</v>
      </c>
      <c r="F574" s="30" t="s">
        <v>2541</v>
      </c>
      <c r="G574" s="31" t="s">
        <v>159</v>
      </c>
      <c r="H574" s="30" t="s">
        <v>2542</v>
      </c>
      <c r="I574" s="31" t="s">
        <v>320</v>
      </c>
      <c r="J574" s="30" t="s">
        <v>384</v>
      </c>
      <c r="K574" s="30"/>
    </row>
    <row r="575" customFormat="false" ht="15" hidden="false" customHeight="false" outlineLevel="0" collapsed="false">
      <c r="A575" s="30" t="s">
        <v>2531</v>
      </c>
      <c r="B575" s="30" t="s">
        <v>2050</v>
      </c>
      <c r="C575" s="30" t="s">
        <v>2020</v>
      </c>
      <c r="D575" s="30" t="s">
        <v>1794</v>
      </c>
      <c r="E575" s="31" t="s">
        <v>40</v>
      </c>
      <c r="F575" s="30" t="s">
        <v>2543</v>
      </c>
      <c r="G575" s="31" t="s">
        <v>84</v>
      </c>
      <c r="H575" s="30" t="s">
        <v>9</v>
      </c>
      <c r="I575" s="31" t="s">
        <v>9</v>
      </c>
      <c r="J575" s="30" t="s">
        <v>2019</v>
      </c>
      <c r="K575" s="30"/>
    </row>
    <row r="576" customFormat="false" ht="15" hidden="false" customHeight="false" outlineLevel="0" collapsed="false">
      <c r="A576" s="30" t="s">
        <v>2544</v>
      </c>
      <c r="B576" s="30" t="s">
        <v>2015</v>
      </c>
      <c r="C576" s="30" t="s">
        <v>2016</v>
      </c>
      <c r="D576" s="30" t="s">
        <v>16</v>
      </c>
      <c r="E576" s="31" t="s">
        <v>16</v>
      </c>
      <c r="F576" s="30" t="s">
        <v>135</v>
      </c>
      <c r="G576" s="31" t="s">
        <v>135</v>
      </c>
      <c r="H576" s="30" t="s">
        <v>319</v>
      </c>
      <c r="I576" s="31" t="s">
        <v>319</v>
      </c>
      <c r="J576" s="30" t="s">
        <v>2019</v>
      </c>
      <c r="K576" s="30"/>
    </row>
    <row r="577" customFormat="false" ht="15" hidden="false" customHeight="false" outlineLevel="0" collapsed="false">
      <c r="A577" s="30" t="s">
        <v>2544</v>
      </c>
      <c r="B577" s="30" t="s">
        <v>2015</v>
      </c>
      <c r="C577" s="30" t="s">
        <v>2020</v>
      </c>
      <c r="D577" s="30" t="s">
        <v>2545</v>
      </c>
      <c r="E577" s="31" t="s">
        <v>45</v>
      </c>
      <c r="F577" s="30" t="s">
        <v>2546</v>
      </c>
      <c r="G577" s="31" t="s">
        <v>262</v>
      </c>
      <c r="H577" s="30"/>
      <c r="I577" s="30"/>
      <c r="J577" s="30" t="s">
        <v>2019</v>
      </c>
      <c r="K577" s="30"/>
    </row>
    <row r="578" customFormat="false" ht="15" hidden="false" customHeight="false" outlineLevel="0" collapsed="false">
      <c r="A578" s="30" t="s">
        <v>2544</v>
      </c>
      <c r="B578" s="30" t="s">
        <v>2024</v>
      </c>
      <c r="C578" s="30" t="s">
        <v>2016</v>
      </c>
      <c r="D578" s="30" t="s">
        <v>789</v>
      </c>
      <c r="E578" s="31" t="s">
        <v>50</v>
      </c>
      <c r="F578" s="30" t="s">
        <v>296</v>
      </c>
      <c r="G578" s="31" t="s">
        <v>296</v>
      </c>
      <c r="H578" s="30" t="s">
        <v>324</v>
      </c>
      <c r="I578" s="31" t="s">
        <v>324</v>
      </c>
      <c r="J578" s="30" t="s">
        <v>2547</v>
      </c>
      <c r="K578" s="31" t="s">
        <v>387</v>
      </c>
    </row>
    <row r="579" customFormat="false" ht="15" hidden="false" customHeight="false" outlineLevel="0" collapsed="false">
      <c r="A579" s="30" t="s">
        <v>2544</v>
      </c>
      <c r="B579" s="30" t="s">
        <v>2024</v>
      </c>
      <c r="C579" s="30" t="s">
        <v>2020</v>
      </c>
      <c r="D579" s="30" t="s">
        <v>2548</v>
      </c>
      <c r="E579" s="31" t="s">
        <v>68</v>
      </c>
      <c r="F579" s="30" t="s">
        <v>2268</v>
      </c>
      <c r="G579" s="31" t="s">
        <v>199</v>
      </c>
      <c r="H579" s="30"/>
      <c r="I579" s="30"/>
      <c r="J579" s="30" t="s">
        <v>2019</v>
      </c>
      <c r="K579" s="30"/>
    </row>
    <row r="580" customFormat="false" ht="15" hidden="false" customHeight="false" outlineLevel="0" collapsed="false">
      <c r="A580" s="30" t="s">
        <v>2544</v>
      </c>
      <c r="B580" s="30" t="s">
        <v>2030</v>
      </c>
      <c r="C580" s="30" t="s">
        <v>2016</v>
      </c>
      <c r="D580" s="30" t="s">
        <v>2362</v>
      </c>
      <c r="E580" s="31" t="s">
        <v>43</v>
      </c>
      <c r="F580" s="30" t="s">
        <v>121</v>
      </c>
      <c r="G580" s="31" t="s">
        <v>121</v>
      </c>
      <c r="H580" s="30" t="s">
        <v>370</v>
      </c>
      <c r="I580" s="31" t="s">
        <v>370</v>
      </c>
      <c r="J580" s="30" t="s">
        <v>2019</v>
      </c>
      <c r="K580" s="30"/>
    </row>
    <row r="581" customFormat="false" ht="15" hidden="false" customHeight="false" outlineLevel="0" collapsed="false">
      <c r="A581" s="30" t="s">
        <v>2544</v>
      </c>
      <c r="B581" s="30" t="s">
        <v>2030</v>
      </c>
      <c r="C581" s="30" t="s">
        <v>2020</v>
      </c>
      <c r="D581" s="30" t="s">
        <v>309</v>
      </c>
      <c r="E581" s="31" t="s">
        <v>64</v>
      </c>
      <c r="F581" s="30" t="s">
        <v>2067</v>
      </c>
      <c r="G581" s="31" t="s">
        <v>146</v>
      </c>
      <c r="H581" s="30" t="s">
        <v>330</v>
      </c>
      <c r="I581" s="31" t="s">
        <v>330</v>
      </c>
      <c r="J581" s="30" t="s">
        <v>2019</v>
      </c>
      <c r="K581" s="30"/>
    </row>
    <row r="582" customFormat="false" ht="15" hidden="false" customHeight="false" outlineLevel="0" collapsed="false">
      <c r="A582" s="30" t="s">
        <v>2544</v>
      </c>
      <c r="B582" s="30" t="s">
        <v>2035</v>
      </c>
      <c r="C582" s="30" t="s">
        <v>2016</v>
      </c>
      <c r="D582" s="30" t="s">
        <v>101</v>
      </c>
      <c r="E582" s="31" t="s">
        <v>101</v>
      </c>
      <c r="F582" s="30" t="s">
        <v>223</v>
      </c>
      <c r="G582" s="31" t="s">
        <v>223</v>
      </c>
      <c r="H582" s="30" t="s">
        <v>350</v>
      </c>
      <c r="I582" s="31" t="s">
        <v>350</v>
      </c>
      <c r="J582" s="30" t="s">
        <v>2019</v>
      </c>
      <c r="K582" s="30"/>
    </row>
    <row r="583" customFormat="false" ht="15" hidden="false" customHeight="false" outlineLevel="0" collapsed="false">
      <c r="A583" s="30" t="s">
        <v>2544</v>
      </c>
      <c r="B583" s="30" t="s">
        <v>2035</v>
      </c>
      <c r="C583" s="30" t="s">
        <v>2020</v>
      </c>
      <c r="D583" s="30" t="s">
        <v>1794</v>
      </c>
      <c r="E583" s="31" t="s">
        <v>40</v>
      </c>
      <c r="F583" s="30" t="s">
        <v>123</v>
      </c>
      <c r="G583" s="31" t="s">
        <v>123</v>
      </c>
      <c r="H583" s="30" t="s">
        <v>310</v>
      </c>
      <c r="I583" s="31" t="s">
        <v>310</v>
      </c>
      <c r="J583" s="30" t="s">
        <v>2019</v>
      </c>
      <c r="K583" s="30"/>
    </row>
    <row r="584" customFormat="false" ht="15" hidden="false" customHeight="false" outlineLevel="0" collapsed="false">
      <c r="A584" s="30" t="s">
        <v>2544</v>
      </c>
      <c r="B584" s="30" t="s">
        <v>2039</v>
      </c>
      <c r="C584" s="30" t="s">
        <v>2016</v>
      </c>
      <c r="D584" s="30" t="s">
        <v>22</v>
      </c>
      <c r="E584" s="31" t="s">
        <v>22</v>
      </c>
      <c r="F584" s="30" t="s">
        <v>2324</v>
      </c>
      <c r="G584" s="31" t="s">
        <v>154</v>
      </c>
      <c r="H584" s="30" t="s">
        <v>357</v>
      </c>
      <c r="I584" s="31" t="s">
        <v>357</v>
      </c>
      <c r="J584" s="30" t="s">
        <v>2019</v>
      </c>
      <c r="K584" s="30"/>
    </row>
    <row r="585" customFormat="false" ht="15" hidden="false" customHeight="false" outlineLevel="0" collapsed="false">
      <c r="A585" s="30" t="s">
        <v>2544</v>
      </c>
      <c r="B585" s="30" t="s">
        <v>2039</v>
      </c>
      <c r="C585" s="30" t="s">
        <v>2020</v>
      </c>
      <c r="D585" s="30" t="s">
        <v>19</v>
      </c>
      <c r="E585" s="31" t="s">
        <v>19</v>
      </c>
      <c r="F585" s="30" t="s">
        <v>298</v>
      </c>
      <c r="G585" s="31" t="s">
        <v>298</v>
      </c>
      <c r="H585" s="30" t="s">
        <v>308</v>
      </c>
      <c r="I585" s="31" t="s">
        <v>308</v>
      </c>
      <c r="J585" s="30" t="s">
        <v>2019</v>
      </c>
      <c r="K585" s="30"/>
    </row>
    <row r="586" customFormat="false" ht="15" hidden="false" customHeight="false" outlineLevel="0" collapsed="false">
      <c r="A586" s="30" t="s">
        <v>2544</v>
      </c>
      <c r="B586" s="30" t="s">
        <v>2045</v>
      </c>
      <c r="C586" s="30" t="s">
        <v>2016</v>
      </c>
      <c r="D586" s="30" t="s">
        <v>555</v>
      </c>
      <c r="E586" s="31" t="s">
        <v>82</v>
      </c>
      <c r="F586" s="30" t="s">
        <v>177</v>
      </c>
      <c r="G586" s="31" t="s">
        <v>177</v>
      </c>
      <c r="H586" s="30" t="s">
        <v>2042</v>
      </c>
      <c r="I586" s="31" t="s">
        <v>306</v>
      </c>
      <c r="J586" s="30" t="s">
        <v>2019</v>
      </c>
      <c r="K586" s="30"/>
    </row>
    <row r="587" customFormat="false" ht="15" hidden="false" customHeight="false" outlineLevel="0" collapsed="false">
      <c r="A587" s="30" t="s">
        <v>2544</v>
      </c>
      <c r="B587" s="30" t="s">
        <v>2045</v>
      </c>
      <c r="C587" s="30" t="s">
        <v>2020</v>
      </c>
      <c r="D587" s="30" t="s">
        <v>91</v>
      </c>
      <c r="E587" s="31" t="s">
        <v>91</v>
      </c>
      <c r="F587" s="30" t="s">
        <v>208</v>
      </c>
      <c r="G587" s="31" t="s">
        <v>208</v>
      </c>
      <c r="H587" s="30" t="s">
        <v>2549</v>
      </c>
      <c r="I587" s="31" t="s">
        <v>359</v>
      </c>
      <c r="J587" s="30" t="s">
        <v>2019</v>
      </c>
      <c r="K587" s="30"/>
    </row>
    <row r="588" customFormat="false" ht="15" hidden="false" customHeight="false" outlineLevel="0" collapsed="false">
      <c r="A588" s="30" t="s">
        <v>2544</v>
      </c>
      <c r="B588" s="30" t="s">
        <v>2050</v>
      </c>
      <c r="C588" s="30" t="s">
        <v>2016</v>
      </c>
      <c r="D588" s="30" t="s">
        <v>2550</v>
      </c>
      <c r="E588" s="31" t="s">
        <v>43</v>
      </c>
      <c r="F588" s="30" t="s">
        <v>141</v>
      </c>
      <c r="G588" s="31" t="s">
        <v>141</v>
      </c>
      <c r="H588" s="30" t="s">
        <v>2551</v>
      </c>
      <c r="I588" s="31" t="s">
        <v>313</v>
      </c>
      <c r="J588" s="30" t="s">
        <v>384</v>
      </c>
      <c r="K588" s="30"/>
    </row>
    <row r="589" customFormat="false" ht="15" hidden="false" customHeight="false" outlineLevel="0" collapsed="false">
      <c r="A589" s="30" t="s">
        <v>2544</v>
      </c>
      <c r="B589" s="30" t="s">
        <v>2050</v>
      </c>
      <c r="C589" s="30" t="s">
        <v>2020</v>
      </c>
      <c r="D589" s="30" t="s">
        <v>9</v>
      </c>
      <c r="E589" s="31" t="s">
        <v>9</v>
      </c>
      <c r="F589" s="30" t="s">
        <v>2552</v>
      </c>
      <c r="G589" s="31" t="s">
        <v>179</v>
      </c>
      <c r="H589" s="30"/>
      <c r="I589" s="30"/>
      <c r="J589" s="30" t="s">
        <v>2019</v>
      </c>
      <c r="K589" s="30"/>
    </row>
    <row r="590" customFormat="false" ht="15" hidden="false" customHeight="false" outlineLevel="0" collapsed="false">
      <c r="A590" s="30" t="s">
        <v>2553</v>
      </c>
      <c r="B590" s="30" t="s">
        <v>2015</v>
      </c>
      <c r="C590" s="30" t="s">
        <v>2016</v>
      </c>
      <c r="D590" s="30" t="s">
        <v>2554</v>
      </c>
      <c r="E590" s="31" t="s">
        <v>87</v>
      </c>
      <c r="F590" s="30" t="s">
        <v>173</v>
      </c>
      <c r="G590" s="31" t="s">
        <v>173</v>
      </c>
      <c r="H590" s="30" t="s">
        <v>363</v>
      </c>
      <c r="I590" s="31" t="s">
        <v>363</v>
      </c>
      <c r="J590" s="30" t="s">
        <v>2019</v>
      </c>
      <c r="K590" s="30"/>
    </row>
    <row r="591" customFormat="false" ht="15" hidden="false" customHeight="false" outlineLevel="0" collapsed="false">
      <c r="A591" s="30" t="s">
        <v>2553</v>
      </c>
      <c r="B591" s="30" t="s">
        <v>2015</v>
      </c>
      <c r="C591" s="30" t="s">
        <v>2020</v>
      </c>
      <c r="D591" s="30" t="s">
        <v>16</v>
      </c>
      <c r="E591" s="31" t="s">
        <v>16</v>
      </c>
      <c r="F591" s="30" t="s">
        <v>121</v>
      </c>
      <c r="G591" s="31" t="s">
        <v>121</v>
      </c>
      <c r="H591" s="30" t="s">
        <v>309</v>
      </c>
      <c r="I591" s="31" t="s">
        <v>64</v>
      </c>
      <c r="J591" s="30" t="s">
        <v>2019</v>
      </c>
      <c r="K591" s="30"/>
    </row>
    <row r="592" customFormat="false" ht="15" hidden="false" customHeight="false" outlineLevel="0" collapsed="false">
      <c r="A592" s="30" t="s">
        <v>2553</v>
      </c>
      <c r="B592" s="30" t="s">
        <v>2024</v>
      </c>
      <c r="C592" s="30" t="s">
        <v>2016</v>
      </c>
      <c r="D592" s="30" t="s">
        <v>21</v>
      </c>
      <c r="E592" s="31" t="s">
        <v>21</v>
      </c>
      <c r="F592" s="30" t="s">
        <v>284</v>
      </c>
      <c r="G592" s="31" t="s">
        <v>284</v>
      </c>
      <c r="H592" s="30" t="s">
        <v>2042</v>
      </c>
      <c r="I592" s="31" t="s">
        <v>306</v>
      </c>
      <c r="J592" s="30" t="s">
        <v>384</v>
      </c>
      <c r="K592" s="30"/>
    </row>
    <row r="593" customFormat="false" ht="15" hidden="false" customHeight="false" outlineLevel="0" collapsed="false">
      <c r="A593" s="30" t="s">
        <v>2553</v>
      </c>
      <c r="B593" s="30" t="s">
        <v>2024</v>
      </c>
      <c r="C593" s="30" t="s">
        <v>2020</v>
      </c>
      <c r="D593" s="30" t="s">
        <v>45</v>
      </c>
      <c r="E593" s="31" t="s">
        <v>45</v>
      </c>
      <c r="F593" s="30" t="s">
        <v>2115</v>
      </c>
      <c r="G593" s="31" t="s">
        <v>150</v>
      </c>
      <c r="H593" s="30"/>
      <c r="I593" s="30"/>
      <c r="J593" s="30" t="s">
        <v>2019</v>
      </c>
      <c r="K593" s="30"/>
    </row>
    <row r="594" customFormat="false" ht="15" hidden="false" customHeight="false" outlineLevel="0" collapsed="false">
      <c r="A594" s="30" t="s">
        <v>2553</v>
      </c>
      <c r="B594" s="30" t="s">
        <v>2030</v>
      </c>
      <c r="C594" s="30" t="s">
        <v>2016</v>
      </c>
      <c r="D594" s="30" t="s">
        <v>2102</v>
      </c>
      <c r="E594" s="31" t="s">
        <v>23</v>
      </c>
      <c r="F594" s="30" t="s">
        <v>200</v>
      </c>
      <c r="G594" s="31" t="s">
        <v>200</v>
      </c>
      <c r="H594" s="30" t="s">
        <v>2555</v>
      </c>
      <c r="I594" s="31" t="s">
        <v>344</v>
      </c>
      <c r="J594" s="30" t="s">
        <v>2019</v>
      </c>
      <c r="K594" s="30"/>
    </row>
    <row r="595" customFormat="false" ht="15" hidden="false" customHeight="false" outlineLevel="0" collapsed="false">
      <c r="A595" s="30" t="s">
        <v>2553</v>
      </c>
      <c r="B595" s="30" t="s">
        <v>2030</v>
      </c>
      <c r="C595" s="30" t="s">
        <v>2020</v>
      </c>
      <c r="D595" s="30" t="s">
        <v>22</v>
      </c>
      <c r="E595" s="31" t="s">
        <v>22</v>
      </c>
      <c r="F595" s="30" t="s">
        <v>2556</v>
      </c>
      <c r="G595" s="31" t="s">
        <v>126</v>
      </c>
      <c r="H595" s="30" t="s">
        <v>352</v>
      </c>
      <c r="I595" s="31" t="s">
        <v>352</v>
      </c>
      <c r="J595" s="30" t="s">
        <v>2019</v>
      </c>
      <c r="K595" s="30"/>
    </row>
    <row r="596" customFormat="false" ht="15" hidden="false" customHeight="false" outlineLevel="0" collapsed="false">
      <c r="A596" s="30" t="s">
        <v>2553</v>
      </c>
      <c r="B596" s="30" t="s">
        <v>2035</v>
      </c>
      <c r="C596" s="30" t="s">
        <v>2016</v>
      </c>
      <c r="D596" s="30" t="s">
        <v>2557</v>
      </c>
      <c r="E596" s="31" t="s">
        <v>73</v>
      </c>
      <c r="F596" s="30" t="s">
        <v>187</v>
      </c>
      <c r="G596" s="31" t="s">
        <v>187</v>
      </c>
      <c r="H596" s="30" t="s">
        <v>309</v>
      </c>
      <c r="I596" s="31" t="s">
        <v>64</v>
      </c>
      <c r="J596" s="30" t="s">
        <v>2019</v>
      </c>
      <c r="K596" s="30"/>
    </row>
    <row r="597" customFormat="false" ht="15" hidden="false" customHeight="false" outlineLevel="0" collapsed="false">
      <c r="A597" s="30" t="s">
        <v>2553</v>
      </c>
      <c r="B597" s="30" t="s">
        <v>2035</v>
      </c>
      <c r="C597" s="30" t="s">
        <v>2020</v>
      </c>
      <c r="D597" s="30" t="s">
        <v>2102</v>
      </c>
      <c r="E597" s="31" t="s">
        <v>23</v>
      </c>
      <c r="F597" s="30" t="s">
        <v>123</v>
      </c>
      <c r="G597" s="31" t="s">
        <v>123</v>
      </c>
      <c r="H597" s="30" t="s">
        <v>323</v>
      </c>
      <c r="I597" s="31" t="s">
        <v>323</v>
      </c>
      <c r="J597" s="30" t="s">
        <v>2019</v>
      </c>
      <c r="K597" s="30"/>
    </row>
    <row r="598" customFormat="false" ht="15" hidden="false" customHeight="false" outlineLevel="0" collapsed="false">
      <c r="A598" s="30" t="s">
        <v>2553</v>
      </c>
      <c r="B598" s="30" t="s">
        <v>2039</v>
      </c>
      <c r="C598" s="30" t="s">
        <v>2016</v>
      </c>
      <c r="D598" s="30" t="s">
        <v>9</v>
      </c>
      <c r="E598" s="31" t="s">
        <v>9</v>
      </c>
      <c r="F598" s="30" t="s">
        <v>2558</v>
      </c>
      <c r="G598" s="31" t="s">
        <v>180</v>
      </c>
      <c r="H598" s="30" t="s">
        <v>2517</v>
      </c>
      <c r="I598" s="31" t="s">
        <v>316</v>
      </c>
      <c r="J598" s="30" t="s">
        <v>2019</v>
      </c>
      <c r="K598" s="30"/>
    </row>
    <row r="599" customFormat="false" ht="15" hidden="false" customHeight="false" outlineLevel="0" collapsed="false">
      <c r="A599" s="30" t="s">
        <v>2553</v>
      </c>
      <c r="B599" s="30" t="s">
        <v>2039</v>
      </c>
      <c r="C599" s="30" t="s">
        <v>2020</v>
      </c>
      <c r="D599" s="30" t="s">
        <v>1794</v>
      </c>
      <c r="E599" s="31" t="s">
        <v>40</v>
      </c>
      <c r="F599" s="30" t="s">
        <v>146</v>
      </c>
      <c r="G599" s="31" t="s">
        <v>146</v>
      </c>
      <c r="H599" s="30" t="s">
        <v>356</v>
      </c>
      <c r="I599" s="31" t="s">
        <v>356</v>
      </c>
      <c r="J599" s="30" t="s">
        <v>2019</v>
      </c>
      <c r="K599" s="30"/>
    </row>
    <row r="600" customFormat="false" ht="15" hidden="false" customHeight="false" outlineLevel="0" collapsed="false">
      <c r="A600" s="30" t="s">
        <v>2553</v>
      </c>
      <c r="B600" s="30" t="s">
        <v>2045</v>
      </c>
      <c r="C600" s="30" t="s">
        <v>2016</v>
      </c>
      <c r="D600" s="30" t="s">
        <v>35</v>
      </c>
      <c r="E600" s="31" t="s">
        <v>35</v>
      </c>
      <c r="F600" s="30" t="s">
        <v>159</v>
      </c>
      <c r="G600" s="31" t="s">
        <v>159</v>
      </c>
      <c r="H600" s="30" t="s">
        <v>2533</v>
      </c>
      <c r="I600" s="31" t="s">
        <v>373</v>
      </c>
      <c r="J600" s="30" t="s">
        <v>2019</v>
      </c>
      <c r="K600" s="30"/>
    </row>
    <row r="601" customFormat="false" ht="15" hidden="false" customHeight="false" outlineLevel="0" collapsed="false">
      <c r="A601" s="30" t="s">
        <v>2553</v>
      </c>
      <c r="B601" s="30" t="s">
        <v>2045</v>
      </c>
      <c r="C601" s="30" t="s">
        <v>2020</v>
      </c>
      <c r="D601" s="30" t="s">
        <v>2559</v>
      </c>
      <c r="E601" s="31" t="s">
        <v>99</v>
      </c>
      <c r="F601" s="30" t="s">
        <v>149</v>
      </c>
      <c r="G601" s="31" t="s">
        <v>149</v>
      </c>
      <c r="H601" s="30" t="s">
        <v>308</v>
      </c>
      <c r="I601" s="31" t="s">
        <v>308</v>
      </c>
      <c r="J601" s="30" t="s">
        <v>2019</v>
      </c>
      <c r="K601" s="30"/>
    </row>
    <row r="602" customFormat="false" ht="15" hidden="false" customHeight="false" outlineLevel="0" collapsed="false">
      <c r="A602" s="30" t="s">
        <v>2553</v>
      </c>
      <c r="B602" s="30" t="s">
        <v>2050</v>
      </c>
      <c r="C602" s="30" t="s">
        <v>2016</v>
      </c>
      <c r="D602" s="30" t="s">
        <v>555</v>
      </c>
      <c r="E602" s="31" t="s">
        <v>82</v>
      </c>
      <c r="F602" s="30" t="s">
        <v>2276</v>
      </c>
      <c r="G602" s="31" t="s">
        <v>231</v>
      </c>
      <c r="H602" s="30" t="s">
        <v>320</v>
      </c>
      <c r="I602" s="31" t="s">
        <v>320</v>
      </c>
      <c r="J602" s="30" t="s">
        <v>384</v>
      </c>
      <c r="K602" s="30"/>
    </row>
    <row r="603" customFormat="false" ht="15" hidden="false" customHeight="false" outlineLevel="0" collapsed="false">
      <c r="A603" s="30" t="s">
        <v>2553</v>
      </c>
      <c r="B603" s="30" t="s">
        <v>2050</v>
      </c>
      <c r="C603" s="30" t="s">
        <v>2020</v>
      </c>
      <c r="D603" s="30" t="s">
        <v>9</v>
      </c>
      <c r="E603" s="31" t="s">
        <v>9</v>
      </c>
      <c r="F603" s="30" t="s">
        <v>94</v>
      </c>
      <c r="G603" s="31" t="s">
        <v>94</v>
      </c>
      <c r="H603" s="30"/>
      <c r="I603" s="30"/>
      <c r="J603" s="30" t="s">
        <v>2019</v>
      </c>
      <c r="K603" s="30"/>
    </row>
    <row r="604" customFormat="false" ht="15" hidden="false" customHeight="false" outlineLevel="0" collapsed="false">
      <c r="A604" s="30" t="s">
        <v>2560</v>
      </c>
      <c r="B604" s="30" t="s">
        <v>2015</v>
      </c>
      <c r="C604" s="30" t="s">
        <v>2016</v>
      </c>
      <c r="D604" s="30" t="s">
        <v>46</v>
      </c>
      <c r="E604" s="31" t="s">
        <v>46</v>
      </c>
      <c r="F604" s="30" t="s">
        <v>159</v>
      </c>
      <c r="G604" s="31" t="s">
        <v>159</v>
      </c>
      <c r="H604" s="30" t="s">
        <v>318</v>
      </c>
      <c r="I604" s="31" t="s">
        <v>318</v>
      </c>
      <c r="J604" s="30" t="s">
        <v>2019</v>
      </c>
      <c r="K604" s="30"/>
    </row>
    <row r="605" customFormat="false" ht="15" hidden="false" customHeight="false" outlineLevel="0" collapsed="false">
      <c r="A605" s="30" t="s">
        <v>2560</v>
      </c>
      <c r="B605" s="30" t="s">
        <v>2015</v>
      </c>
      <c r="C605" s="30" t="s">
        <v>2020</v>
      </c>
      <c r="D605" s="30" t="s">
        <v>32</v>
      </c>
      <c r="E605" s="31" t="s">
        <v>32</v>
      </c>
      <c r="F605" s="30" t="s">
        <v>171</v>
      </c>
      <c r="G605" s="31" t="s">
        <v>171</v>
      </c>
      <c r="H605" s="30"/>
      <c r="I605" s="30"/>
      <c r="J605" s="30" t="s">
        <v>2019</v>
      </c>
      <c r="K605" s="30"/>
    </row>
    <row r="606" customFormat="false" ht="15" hidden="false" customHeight="false" outlineLevel="0" collapsed="false">
      <c r="A606" s="30" t="s">
        <v>2560</v>
      </c>
      <c r="B606" s="30" t="s">
        <v>2024</v>
      </c>
      <c r="C606" s="30" t="s">
        <v>2016</v>
      </c>
      <c r="D606" s="30" t="s">
        <v>45</v>
      </c>
      <c r="E606" s="31" t="s">
        <v>45</v>
      </c>
      <c r="F606" s="30" t="s">
        <v>2212</v>
      </c>
      <c r="G606" s="31" t="s">
        <v>169</v>
      </c>
      <c r="H606" s="30" t="s">
        <v>2524</v>
      </c>
      <c r="I606" s="31" t="s">
        <v>380</v>
      </c>
      <c r="J606" s="30" t="s">
        <v>384</v>
      </c>
      <c r="K606" s="30"/>
    </row>
    <row r="607" customFormat="false" ht="15" hidden="false" customHeight="false" outlineLevel="0" collapsed="false">
      <c r="A607" s="30" t="s">
        <v>2560</v>
      </c>
      <c r="B607" s="30" t="s">
        <v>2024</v>
      </c>
      <c r="C607" s="30" t="s">
        <v>2020</v>
      </c>
      <c r="D607" s="30" t="s">
        <v>16</v>
      </c>
      <c r="E607" s="31" t="s">
        <v>16</v>
      </c>
      <c r="F607" s="30" t="s">
        <v>124</v>
      </c>
      <c r="G607" s="31" t="s">
        <v>124</v>
      </c>
      <c r="H607" s="30" t="s">
        <v>359</v>
      </c>
      <c r="I607" s="31" t="s">
        <v>359</v>
      </c>
      <c r="J607" s="30" t="s">
        <v>2019</v>
      </c>
      <c r="K607" s="30"/>
    </row>
    <row r="608" customFormat="false" ht="15" hidden="false" customHeight="false" outlineLevel="0" collapsed="false">
      <c r="A608" s="30" t="s">
        <v>2560</v>
      </c>
      <c r="B608" s="30" t="s">
        <v>2030</v>
      </c>
      <c r="C608" s="30" t="s">
        <v>2016</v>
      </c>
      <c r="D608" s="30" t="s">
        <v>20</v>
      </c>
      <c r="E608" s="31" t="s">
        <v>20</v>
      </c>
      <c r="F608" s="30" t="s">
        <v>141</v>
      </c>
      <c r="G608" s="31" t="s">
        <v>141</v>
      </c>
      <c r="H608" s="30" t="s">
        <v>2202</v>
      </c>
      <c r="I608" s="31" t="s">
        <v>322</v>
      </c>
      <c r="J608" s="30" t="s">
        <v>2019</v>
      </c>
      <c r="K608" s="30"/>
    </row>
    <row r="609" customFormat="false" ht="15" hidden="false" customHeight="false" outlineLevel="0" collapsed="false">
      <c r="A609" s="30" t="s">
        <v>2560</v>
      </c>
      <c r="B609" s="30" t="s">
        <v>2030</v>
      </c>
      <c r="C609" s="30" t="s">
        <v>2020</v>
      </c>
      <c r="D609" s="30" t="s">
        <v>2526</v>
      </c>
      <c r="E609" s="31" t="s">
        <v>9</v>
      </c>
      <c r="F609" s="30" t="s">
        <v>93</v>
      </c>
      <c r="G609" s="31" t="s">
        <v>93</v>
      </c>
      <c r="H609" s="30"/>
      <c r="I609" s="30"/>
      <c r="J609" s="30" t="s">
        <v>2019</v>
      </c>
      <c r="K609" s="30"/>
    </row>
    <row r="610" customFormat="false" ht="15" hidden="false" customHeight="false" outlineLevel="0" collapsed="false">
      <c r="A610" s="30" t="s">
        <v>2560</v>
      </c>
      <c r="B610" s="30" t="s">
        <v>2035</v>
      </c>
      <c r="C610" s="30" t="s">
        <v>2016</v>
      </c>
      <c r="D610" s="30" t="s">
        <v>66</v>
      </c>
      <c r="E610" s="31" t="s">
        <v>66</v>
      </c>
      <c r="F610" s="30" t="s">
        <v>202</v>
      </c>
      <c r="G610" s="31" t="s">
        <v>202</v>
      </c>
      <c r="H610" s="30" t="s">
        <v>314</v>
      </c>
      <c r="I610" s="31" t="s">
        <v>314</v>
      </c>
      <c r="J610" s="30" t="s">
        <v>2019</v>
      </c>
      <c r="K610" s="30"/>
    </row>
    <row r="611" customFormat="false" ht="15" hidden="false" customHeight="false" outlineLevel="0" collapsed="false">
      <c r="A611" s="30" t="s">
        <v>2560</v>
      </c>
      <c r="B611" s="30" t="s">
        <v>2035</v>
      </c>
      <c r="C611" s="30" t="s">
        <v>2020</v>
      </c>
      <c r="D611" s="30" t="s">
        <v>99</v>
      </c>
      <c r="E611" s="31" t="s">
        <v>99</v>
      </c>
      <c r="F611" s="30" t="s">
        <v>147</v>
      </c>
      <c r="G611" s="31" t="s">
        <v>147</v>
      </c>
      <c r="H611" s="30" t="s">
        <v>2042</v>
      </c>
      <c r="I611" s="31" t="s">
        <v>306</v>
      </c>
      <c r="J611" s="30" t="s">
        <v>2019</v>
      </c>
      <c r="K611" s="30"/>
    </row>
    <row r="612" customFormat="false" ht="15" hidden="false" customHeight="false" outlineLevel="0" collapsed="false">
      <c r="A612" s="30" t="s">
        <v>2560</v>
      </c>
      <c r="B612" s="30" t="s">
        <v>2039</v>
      </c>
      <c r="C612" s="30" t="s">
        <v>2016</v>
      </c>
      <c r="D612" s="30" t="s">
        <v>43</v>
      </c>
      <c r="E612" s="31" t="s">
        <v>43</v>
      </c>
      <c r="F612" s="30" t="s">
        <v>154</v>
      </c>
      <c r="G612" s="31" t="s">
        <v>154</v>
      </c>
      <c r="H612" s="30" t="s">
        <v>2527</v>
      </c>
      <c r="I612" s="31" t="s">
        <v>348</v>
      </c>
      <c r="J612" s="30" t="s">
        <v>2019</v>
      </c>
      <c r="K612" s="30"/>
    </row>
    <row r="613" customFormat="false" ht="15" hidden="false" customHeight="false" outlineLevel="0" collapsed="false">
      <c r="A613" s="30" t="s">
        <v>2560</v>
      </c>
      <c r="B613" s="30" t="s">
        <v>2039</v>
      </c>
      <c r="C613" s="30" t="s">
        <v>2020</v>
      </c>
      <c r="D613" s="30" t="s">
        <v>56</v>
      </c>
      <c r="E613" s="31" t="s">
        <v>56</v>
      </c>
      <c r="F613" s="30" t="s">
        <v>2528</v>
      </c>
      <c r="G613" s="31" t="s">
        <v>135</v>
      </c>
      <c r="H613" s="30" t="s">
        <v>312</v>
      </c>
      <c r="I613" s="31" t="s">
        <v>312</v>
      </c>
      <c r="J613" s="30" t="s">
        <v>2019</v>
      </c>
      <c r="K613" s="30"/>
    </row>
    <row r="614" customFormat="false" ht="15" hidden="false" customHeight="false" outlineLevel="0" collapsed="false">
      <c r="A614" s="30" t="s">
        <v>2560</v>
      </c>
      <c r="B614" s="30" t="s">
        <v>2045</v>
      </c>
      <c r="C614" s="30" t="s">
        <v>2016</v>
      </c>
      <c r="D614" s="30" t="s">
        <v>2529</v>
      </c>
      <c r="E614" s="31" t="s">
        <v>62</v>
      </c>
      <c r="F614" s="30" t="s">
        <v>2530</v>
      </c>
      <c r="G614" s="31" t="s">
        <v>187</v>
      </c>
      <c r="H614" s="30" t="s">
        <v>309</v>
      </c>
      <c r="I614" s="31" t="s">
        <v>64</v>
      </c>
      <c r="J614" s="30" t="s">
        <v>2019</v>
      </c>
      <c r="K614" s="30"/>
    </row>
    <row r="615" customFormat="false" ht="15" hidden="false" customHeight="false" outlineLevel="0" collapsed="false">
      <c r="A615" s="30" t="s">
        <v>2560</v>
      </c>
      <c r="B615" s="30" t="s">
        <v>2045</v>
      </c>
      <c r="C615" s="30" t="s">
        <v>2020</v>
      </c>
      <c r="D615" s="30" t="s">
        <v>45</v>
      </c>
      <c r="E615" s="31" t="s">
        <v>45</v>
      </c>
      <c r="F615" s="30" t="s">
        <v>2115</v>
      </c>
      <c r="G615" s="31" t="s">
        <v>150</v>
      </c>
      <c r="H615" s="30"/>
      <c r="I615" s="30"/>
      <c r="J615" s="30" t="s">
        <v>2019</v>
      </c>
      <c r="K615" s="30"/>
    </row>
    <row r="616" customFormat="false" ht="15" hidden="false" customHeight="false" outlineLevel="0" collapsed="false">
      <c r="A616" s="30" t="s">
        <v>2560</v>
      </c>
      <c r="B616" s="30" t="s">
        <v>2050</v>
      </c>
      <c r="C616" s="30" t="s">
        <v>2016</v>
      </c>
      <c r="D616" s="30" t="s">
        <v>23</v>
      </c>
      <c r="E616" s="31" t="s">
        <v>23</v>
      </c>
      <c r="F616" s="30" t="s">
        <v>241</v>
      </c>
      <c r="G616" s="31" t="s">
        <v>241</v>
      </c>
      <c r="H616" s="30" t="s">
        <v>334</v>
      </c>
      <c r="I616" s="31" t="s">
        <v>334</v>
      </c>
      <c r="J616" s="30" t="s">
        <v>384</v>
      </c>
      <c r="K616" s="30"/>
    </row>
    <row r="617" customFormat="false" ht="15" hidden="false" customHeight="false" outlineLevel="0" collapsed="false">
      <c r="A617" s="30" t="s">
        <v>2560</v>
      </c>
      <c r="B617" s="30" t="s">
        <v>2050</v>
      </c>
      <c r="C617" s="30" t="s">
        <v>2020</v>
      </c>
      <c r="D617" s="30" t="s">
        <v>100</v>
      </c>
      <c r="E617" s="31" t="s">
        <v>100</v>
      </c>
      <c r="F617" s="30" t="s">
        <v>294</v>
      </c>
      <c r="G617" s="31" t="s">
        <v>294</v>
      </c>
      <c r="H617" s="30"/>
      <c r="I617" s="30"/>
      <c r="J617" s="30" t="s">
        <v>2019</v>
      </c>
      <c r="K617" s="30"/>
    </row>
    <row r="618" customFormat="false" ht="15" hidden="false" customHeight="false" outlineLevel="0" collapsed="false">
      <c r="A618" s="30" t="s">
        <v>2561</v>
      </c>
      <c r="B618" s="30" t="s">
        <v>2015</v>
      </c>
      <c r="C618" s="30" t="s">
        <v>2016</v>
      </c>
      <c r="D618" s="30" t="s">
        <v>2081</v>
      </c>
      <c r="E618" s="31" t="s">
        <v>61</v>
      </c>
      <c r="F618" s="30" t="s">
        <v>2082</v>
      </c>
      <c r="G618" s="31" t="s">
        <v>137</v>
      </c>
      <c r="H618" s="30" t="s">
        <v>2083</v>
      </c>
      <c r="I618" s="31" t="s">
        <v>359</v>
      </c>
      <c r="J618" s="30" t="s">
        <v>2019</v>
      </c>
      <c r="K618" s="30"/>
    </row>
    <row r="619" customFormat="false" ht="15" hidden="false" customHeight="false" outlineLevel="0" collapsed="false">
      <c r="A619" s="30" t="s">
        <v>2561</v>
      </c>
      <c r="B619" s="30" t="s">
        <v>2015</v>
      </c>
      <c r="C619" s="30" t="s">
        <v>2020</v>
      </c>
      <c r="D619" s="30" t="s">
        <v>32</v>
      </c>
      <c r="E619" s="31" t="s">
        <v>32</v>
      </c>
      <c r="F619" s="30" t="s">
        <v>132</v>
      </c>
      <c r="G619" s="31" t="s">
        <v>132</v>
      </c>
      <c r="H619" s="30" t="s">
        <v>307</v>
      </c>
      <c r="I619" s="31" t="s">
        <v>307</v>
      </c>
      <c r="J619" s="30" t="s">
        <v>2019</v>
      </c>
      <c r="K619" s="30"/>
    </row>
    <row r="620" customFormat="false" ht="15" hidden="false" customHeight="false" outlineLevel="0" collapsed="false">
      <c r="A620" s="30" t="s">
        <v>2561</v>
      </c>
      <c r="B620" s="30" t="s">
        <v>2024</v>
      </c>
      <c r="C620" s="30" t="s">
        <v>2016</v>
      </c>
      <c r="D620" s="30" t="s">
        <v>2184</v>
      </c>
      <c r="E620" s="31" t="s">
        <v>34</v>
      </c>
      <c r="F620" s="30" t="s">
        <v>2085</v>
      </c>
      <c r="G620" s="31" t="s">
        <v>181</v>
      </c>
      <c r="H620" s="30"/>
      <c r="I620" s="30"/>
      <c r="J620" s="30" t="s">
        <v>384</v>
      </c>
      <c r="K620" s="30"/>
    </row>
    <row r="621" customFormat="false" ht="15" hidden="false" customHeight="false" outlineLevel="0" collapsed="false">
      <c r="A621" s="30" t="s">
        <v>2561</v>
      </c>
      <c r="B621" s="30" t="s">
        <v>2024</v>
      </c>
      <c r="C621" s="30" t="s">
        <v>2020</v>
      </c>
      <c r="D621" s="30" t="s">
        <v>2027</v>
      </c>
      <c r="E621" s="31" t="s">
        <v>11</v>
      </c>
      <c r="F621" s="30" t="s">
        <v>2086</v>
      </c>
      <c r="G621" s="31" t="s">
        <v>183</v>
      </c>
      <c r="H621" s="30"/>
      <c r="I621" s="30"/>
      <c r="J621" s="30" t="s">
        <v>2019</v>
      </c>
      <c r="K621" s="30"/>
    </row>
    <row r="622" customFormat="false" ht="15" hidden="false" customHeight="false" outlineLevel="0" collapsed="false">
      <c r="A622" s="30" t="s">
        <v>2561</v>
      </c>
      <c r="B622" s="30" t="s">
        <v>2030</v>
      </c>
      <c r="C622" s="30" t="s">
        <v>2016</v>
      </c>
      <c r="D622" s="30" t="s">
        <v>17</v>
      </c>
      <c r="E622" s="31" t="s">
        <v>17</v>
      </c>
      <c r="F622" s="30" t="s">
        <v>2087</v>
      </c>
      <c r="G622" s="31" t="s">
        <v>187</v>
      </c>
      <c r="H622" s="30" t="s">
        <v>2088</v>
      </c>
      <c r="I622" s="31" t="s">
        <v>312</v>
      </c>
      <c r="J622" s="30" t="s">
        <v>2019</v>
      </c>
      <c r="K622" s="30"/>
    </row>
    <row r="623" customFormat="false" ht="15" hidden="false" customHeight="false" outlineLevel="0" collapsed="false">
      <c r="A623" s="30" t="s">
        <v>2561</v>
      </c>
      <c r="B623" s="30" t="s">
        <v>2030</v>
      </c>
      <c r="C623" s="30" t="s">
        <v>2020</v>
      </c>
      <c r="D623" s="30" t="s">
        <v>16</v>
      </c>
      <c r="E623" s="31" t="s">
        <v>16</v>
      </c>
      <c r="F623" s="30" t="s">
        <v>2089</v>
      </c>
      <c r="G623" s="31" t="s">
        <v>189</v>
      </c>
      <c r="H623" s="30" t="s">
        <v>2090</v>
      </c>
      <c r="I623" s="31" t="s">
        <v>360</v>
      </c>
      <c r="J623" s="30" t="s">
        <v>2019</v>
      </c>
      <c r="K623" s="30"/>
    </row>
    <row r="624" customFormat="false" ht="15" hidden="false" customHeight="false" outlineLevel="0" collapsed="false">
      <c r="A624" s="30" t="s">
        <v>2561</v>
      </c>
      <c r="B624" s="30" t="s">
        <v>2035</v>
      </c>
      <c r="C624" s="30" t="s">
        <v>2016</v>
      </c>
      <c r="D624" s="30" t="s">
        <v>2091</v>
      </c>
      <c r="E624" s="31" t="s">
        <v>19</v>
      </c>
      <c r="F624" s="30" t="s">
        <v>2092</v>
      </c>
      <c r="G624" s="31" t="s">
        <v>191</v>
      </c>
      <c r="H624" s="30"/>
      <c r="I624" s="30"/>
      <c r="J624" s="30" t="s">
        <v>2019</v>
      </c>
      <c r="K624" s="30"/>
    </row>
    <row r="625" customFormat="false" ht="15" hidden="false" customHeight="false" outlineLevel="0" collapsed="false">
      <c r="A625" s="30" t="s">
        <v>2561</v>
      </c>
      <c r="B625" s="30" t="s">
        <v>2035</v>
      </c>
      <c r="C625" s="30" t="s">
        <v>2020</v>
      </c>
      <c r="D625" s="30" t="s">
        <v>2068</v>
      </c>
      <c r="E625" s="31" t="s">
        <v>14</v>
      </c>
      <c r="F625" s="30" t="s">
        <v>193</v>
      </c>
      <c r="G625" s="31" t="s">
        <v>193</v>
      </c>
      <c r="H625" s="30" t="s">
        <v>2093</v>
      </c>
      <c r="I625" s="31" t="s">
        <v>314</v>
      </c>
      <c r="J625" s="30" t="s">
        <v>2019</v>
      </c>
      <c r="K625" s="30"/>
    </row>
    <row r="626" customFormat="false" ht="15" hidden="false" customHeight="false" outlineLevel="0" collapsed="false">
      <c r="A626" s="30" t="s">
        <v>2561</v>
      </c>
      <c r="B626" s="30" t="s">
        <v>2039</v>
      </c>
      <c r="C626" s="30" t="s">
        <v>2016</v>
      </c>
      <c r="D626" s="30" t="s">
        <v>2094</v>
      </c>
      <c r="E626" s="31" t="s">
        <v>28</v>
      </c>
      <c r="F626" s="30" t="s">
        <v>194</v>
      </c>
      <c r="G626" s="31" t="s">
        <v>194</v>
      </c>
      <c r="H626" s="30" t="s">
        <v>2095</v>
      </c>
      <c r="I626" s="31" t="s">
        <v>309</v>
      </c>
      <c r="J626" s="30" t="s">
        <v>2019</v>
      </c>
      <c r="K626" s="30"/>
    </row>
    <row r="627" customFormat="false" ht="15" hidden="false" customHeight="false" outlineLevel="0" collapsed="false">
      <c r="A627" s="30" t="s">
        <v>2561</v>
      </c>
      <c r="B627" s="30" t="s">
        <v>2039</v>
      </c>
      <c r="C627" s="30" t="s">
        <v>2020</v>
      </c>
      <c r="D627" s="30" t="s">
        <v>2562</v>
      </c>
      <c r="E627" s="31" t="s">
        <v>50</v>
      </c>
      <c r="F627" s="30" t="s">
        <v>2096</v>
      </c>
      <c r="G627" s="31" t="s">
        <v>93</v>
      </c>
      <c r="H627" s="30" t="s">
        <v>2097</v>
      </c>
      <c r="I627" s="31" t="s">
        <v>322</v>
      </c>
      <c r="J627" s="30" t="s">
        <v>2019</v>
      </c>
      <c r="K627" s="30"/>
    </row>
    <row r="628" customFormat="false" ht="15" hidden="false" customHeight="false" outlineLevel="0" collapsed="false">
      <c r="A628" s="30" t="s">
        <v>2561</v>
      </c>
      <c r="B628" s="30" t="s">
        <v>2045</v>
      </c>
      <c r="C628" s="30" t="s">
        <v>2016</v>
      </c>
      <c r="D628" s="30" t="s">
        <v>31</v>
      </c>
      <c r="E628" s="31" t="s">
        <v>31</v>
      </c>
      <c r="F628" s="30" t="s">
        <v>2098</v>
      </c>
      <c r="G628" s="31" t="s">
        <v>130</v>
      </c>
      <c r="H628" s="30" t="s">
        <v>2099</v>
      </c>
      <c r="I628" s="31" t="s">
        <v>346</v>
      </c>
      <c r="J628" s="30" t="s">
        <v>2019</v>
      </c>
      <c r="K628" s="30"/>
    </row>
    <row r="629" customFormat="false" ht="15" hidden="false" customHeight="false" outlineLevel="0" collapsed="false">
      <c r="A629" s="30" t="s">
        <v>2561</v>
      </c>
      <c r="B629" s="30" t="s">
        <v>2045</v>
      </c>
      <c r="C629" s="30" t="s">
        <v>2020</v>
      </c>
      <c r="D629" s="30" t="s">
        <v>2027</v>
      </c>
      <c r="E629" s="31" t="s">
        <v>11</v>
      </c>
      <c r="F629" s="30" t="s">
        <v>2100</v>
      </c>
      <c r="G629" s="31" t="s">
        <v>195</v>
      </c>
      <c r="H629" s="30" t="s">
        <v>310</v>
      </c>
      <c r="I629" s="31" t="s">
        <v>310</v>
      </c>
      <c r="J629" s="30" t="s">
        <v>2019</v>
      </c>
      <c r="K629" s="30"/>
    </row>
    <row r="630" customFormat="false" ht="15" hidden="false" customHeight="false" outlineLevel="0" collapsed="false">
      <c r="A630" s="30" t="s">
        <v>2561</v>
      </c>
      <c r="B630" s="30" t="s">
        <v>2050</v>
      </c>
      <c r="C630" s="30" t="s">
        <v>2016</v>
      </c>
      <c r="D630" s="30" t="s">
        <v>9</v>
      </c>
      <c r="E630" s="31" t="s">
        <v>9</v>
      </c>
      <c r="F630" s="30" t="s">
        <v>2101</v>
      </c>
      <c r="G630" s="31" t="s">
        <v>133</v>
      </c>
      <c r="H630" s="30" t="s">
        <v>2042</v>
      </c>
      <c r="I630" s="31" t="s">
        <v>306</v>
      </c>
      <c r="J630" s="30" t="s">
        <v>384</v>
      </c>
      <c r="K630" s="30"/>
    </row>
    <row r="631" customFormat="false" ht="15" hidden="false" customHeight="false" outlineLevel="0" collapsed="false">
      <c r="A631" s="30" t="s">
        <v>2561</v>
      </c>
      <c r="B631" s="30" t="s">
        <v>2050</v>
      </c>
      <c r="C631" s="30" t="s">
        <v>2020</v>
      </c>
      <c r="D631" s="30" t="s">
        <v>2102</v>
      </c>
      <c r="E631" s="31" t="s">
        <v>23</v>
      </c>
      <c r="F631" s="30" t="s">
        <v>2022</v>
      </c>
      <c r="G631" s="31" t="s">
        <v>124</v>
      </c>
      <c r="H631" s="30" t="s">
        <v>2103</v>
      </c>
      <c r="I631" s="31" t="s">
        <v>337</v>
      </c>
      <c r="J631" s="30" t="s">
        <v>2019</v>
      </c>
      <c r="K631" s="30"/>
    </row>
    <row r="632" customFormat="false" ht="15" hidden="false" customHeight="false" outlineLevel="0" collapsed="false">
      <c r="A632" s="30" t="s">
        <v>2563</v>
      </c>
      <c r="B632" s="30" t="s">
        <v>2015</v>
      </c>
      <c r="C632" s="30" t="s">
        <v>2016</v>
      </c>
      <c r="D632" s="30" t="s">
        <v>16</v>
      </c>
      <c r="E632" s="31" t="s">
        <v>16</v>
      </c>
      <c r="F632" s="30" t="s">
        <v>135</v>
      </c>
      <c r="G632" s="31" t="s">
        <v>135</v>
      </c>
      <c r="H632" s="30" t="s">
        <v>319</v>
      </c>
      <c r="I632" s="31" t="s">
        <v>319</v>
      </c>
      <c r="J632" s="30" t="s">
        <v>2019</v>
      </c>
      <c r="K632" s="30"/>
    </row>
    <row r="633" customFormat="false" ht="15" hidden="false" customHeight="false" outlineLevel="0" collapsed="false">
      <c r="A633" s="30" t="s">
        <v>2563</v>
      </c>
      <c r="B633" s="30" t="s">
        <v>2015</v>
      </c>
      <c r="C633" s="30" t="s">
        <v>2020</v>
      </c>
      <c r="D633" s="30" t="s">
        <v>2178</v>
      </c>
      <c r="E633" s="31" t="s">
        <v>23</v>
      </c>
      <c r="F633" s="30" t="s">
        <v>2546</v>
      </c>
      <c r="G633" s="31" t="s">
        <v>262</v>
      </c>
      <c r="H633" s="30"/>
      <c r="I633" s="30"/>
      <c r="J633" s="30" t="s">
        <v>2019</v>
      </c>
      <c r="K633" s="30"/>
    </row>
    <row r="634" customFormat="false" ht="15" hidden="false" customHeight="false" outlineLevel="0" collapsed="false">
      <c r="A634" s="30" t="s">
        <v>2563</v>
      </c>
      <c r="B634" s="30" t="s">
        <v>2024</v>
      </c>
      <c r="C634" s="30" t="s">
        <v>2016</v>
      </c>
      <c r="D634" s="30" t="s">
        <v>789</v>
      </c>
      <c r="E634" s="31" t="s">
        <v>50</v>
      </c>
      <c r="F634" s="30" t="s">
        <v>296</v>
      </c>
      <c r="G634" s="31" t="s">
        <v>296</v>
      </c>
      <c r="H634" s="30" t="s">
        <v>324</v>
      </c>
      <c r="I634" s="31" t="s">
        <v>324</v>
      </c>
      <c r="J634" s="30" t="s">
        <v>2547</v>
      </c>
      <c r="K634" s="31" t="s">
        <v>387</v>
      </c>
    </row>
    <row r="635" customFormat="false" ht="15" hidden="false" customHeight="false" outlineLevel="0" collapsed="false">
      <c r="A635" s="30" t="s">
        <v>2563</v>
      </c>
      <c r="B635" s="30" t="s">
        <v>2024</v>
      </c>
      <c r="C635" s="30" t="s">
        <v>2020</v>
      </c>
      <c r="D635" s="30" t="s">
        <v>2548</v>
      </c>
      <c r="E635" s="31" t="s">
        <v>68</v>
      </c>
      <c r="F635" s="30" t="s">
        <v>2268</v>
      </c>
      <c r="G635" s="31" t="s">
        <v>199</v>
      </c>
      <c r="H635" s="30"/>
      <c r="I635" s="30"/>
      <c r="J635" s="30" t="s">
        <v>2019</v>
      </c>
      <c r="K635" s="30"/>
    </row>
    <row r="636" customFormat="false" ht="15" hidden="false" customHeight="false" outlineLevel="0" collapsed="false">
      <c r="A636" s="30" t="s">
        <v>2563</v>
      </c>
      <c r="B636" s="30" t="s">
        <v>2030</v>
      </c>
      <c r="C636" s="30" t="s">
        <v>2016</v>
      </c>
      <c r="D636" s="30" t="s">
        <v>45</v>
      </c>
      <c r="E636" s="31" t="s">
        <v>45</v>
      </c>
      <c r="F636" s="30" t="s">
        <v>121</v>
      </c>
      <c r="G636" s="31" t="s">
        <v>121</v>
      </c>
      <c r="H636" s="30" t="s">
        <v>370</v>
      </c>
      <c r="I636" s="31" t="s">
        <v>370</v>
      </c>
      <c r="J636" s="30" t="s">
        <v>2019</v>
      </c>
      <c r="K636" s="30"/>
    </row>
    <row r="637" customFormat="false" ht="15" hidden="false" customHeight="false" outlineLevel="0" collapsed="false">
      <c r="A637" s="30" t="s">
        <v>2563</v>
      </c>
      <c r="B637" s="30" t="s">
        <v>2030</v>
      </c>
      <c r="C637" s="30" t="s">
        <v>2020</v>
      </c>
      <c r="D637" s="30" t="s">
        <v>309</v>
      </c>
      <c r="E637" s="31" t="s">
        <v>64</v>
      </c>
      <c r="F637" s="30" t="s">
        <v>2067</v>
      </c>
      <c r="G637" s="31" t="s">
        <v>146</v>
      </c>
      <c r="H637" s="30" t="s">
        <v>330</v>
      </c>
      <c r="I637" s="31" t="s">
        <v>330</v>
      </c>
      <c r="J637" s="30" t="s">
        <v>2019</v>
      </c>
      <c r="K637" s="30"/>
    </row>
    <row r="638" customFormat="false" ht="15" hidden="false" customHeight="false" outlineLevel="0" collapsed="false">
      <c r="A638" s="30" t="s">
        <v>2563</v>
      </c>
      <c r="B638" s="30" t="s">
        <v>2035</v>
      </c>
      <c r="C638" s="30" t="s">
        <v>2016</v>
      </c>
      <c r="D638" s="30" t="s">
        <v>101</v>
      </c>
      <c r="E638" s="31" t="s">
        <v>101</v>
      </c>
      <c r="F638" s="30" t="s">
        <v>223</v>
      </c>
      <c r="G638" s="31" t="s">
        <v>223</v>
      </c>
      <c r="H638" s="30" t="s">
        <v>350</v>
      </c>
      <c r="I638" s="31" t="s">
        <v>350</v>
      </c>
      <c r="J638" s="30" t="s">
        <v>2019</v>
      </c>
      <c r="K638" s="30"/>
    </row>
    <row r="639" customFormat="false" ht="15" hidden="false" customHeight="false" outlineLevel="0" collapsed="false">
      <c r="A639" s="30" t="s">
        <v>2563</v>
      </c>
      <c r="B639" s="30" t="s">
        <v>2035</v>
      </c>
      <c r="C639" s="30" t="s">
        <v>2020</v>
      </c>
      <c r="D639" s="30" t="s">
        <v>1794</v>
      </c>
      <c r="E639" s="31" t="s">
        <v>40</v>
      </c>
      <c r="F639" s="30" t="s">
        <v>123</v>
      </c>
      <c r="G639" s="31" t="s">
        <v>123</v>
      </c>
      <c r="H639" s="30" t="s">
        <v>310</v>
      </c>
      <c r="I639" s="31" t="s">
        <v>310</v>
      </c>
      <c r="J639" s="30" t="s">
        <v>2019</v>
      </c>
      <c r="K639" s="30"/>
    </row>
    <row r="640" customFormat="false" ht="15" hidden="false" customHeight="false" outlineLevel="0" collapsed="false">
      <c r="A640" s="30" t="s">
        <v>2563</v>
      </c>
      <c r="B640" s="30" t="s">
        <v>2039</v>
      </c>
      <c r="C640" s="30" t="s">
        <v>2016</v>
      </c>
      <c r="D640" s="30" t="s">
        <v>22</v>
      </c>
      <c r="E640" s="31" t="s">
        <v>22</v>
      </c>
      <c r="F640" s="30" t="s">
        <v>2324</v>
      </c>
      <c r="G640" s="31" t="s">
        <v>154</v>
      </c>
      <c r="H640" s="30" t="s">
        <v>357</v>
      </c>
      <c r="I640" s="31" t="s">
        <v>357</v>
      </c>
      <c r="J640" s="30" t="s">
        <v>2019</v>
      </c>
      <c r="K640" s="30"/>
    </row>
    <row r="641" customFormat="false" ht="15" hidden="false" customHeight="false" outlineLevel="0" collapsed="false">
      <c r="A641" s="30" t="s">
        <v>2563</v>
      </c>
      <c r="B641" s="30" t="s">
        <v>2039</v>
      </c>
      <c r="C641" s="30" t="s">
        <v>2020</v>
      </c>
      <c r="D641" s="30" t="s">
        <v>19</v>
      </c>
      <c r="E641" s="31" t="s">
        <v>19</v>
      </c>
      <c r="F641" s="30" t="s">
        <v>298</v>
      </c>
      <c r="G641" s="31" t="s">
        <v>298</v>
      </c>
      <c r="H641" s="30" t="s">
        <v>308</v>
      </c>
      <c r="I641" s="31" t="s">
        <v>308</v>
      </c>
      <c r="J641" s="30" t="s">
        <v>2019</v>
      </c>
      <c r="K641" s="30"/>
    </row>
    <row r="642" customFormat="false" ht="15" hidden="false" customHeight="false" outlineLevel="0" collapsed="false">
      <c r="A642" s="30" t="s">
        <v>2563</v>
      </c>
      <c r="B642" s="30" t="s">
        <v>2045</v>
      </c>
      <c r="C642" s="30" t="s">
        <v>2016</v>
      </c>
      <c r="D642" s="30" t="s">
        <v>555</v>
      </c>
      <c r="E642" s="31" t="s">
        <v>82</v>
      </c>
      <c r="F642" s="30" t="s">
        <v>177</v>
      </c>
      <c r="G642" s="31" t="s">
        <v>177</v>
      </c>
      <c r="H642" s="30" t="s">
        <v>2042</v>
      </c>
      <c r="I642" s="31" t="s">
        <v>306</v>
      </c>
      <c r="J642" s="30" t="s">
        <v>2019</v>
      </c>
      <c r="K642" s="30"/>
    </row>
    <row r="643" customFormat="false" ht="15" hidden="false" customHeight="false" outlineLevel="0" collapsed="false">
      <c r="A643" s="30" t="s">
        <v>2563</v>
      </c>
      <c r="B643" s="30" t="s">
        <v>2045</v>
      </c>
      <c r="C643" s="30" t="s">
        <v>2020</v>
      </c>
      <c r="D643" s="30" t="s">
        <v>91</v>
      </c>
      <c r="E643" s="31" t="s">
        <v>91</v>
      </c>
      <c r="F643" s="30" t="s">
        <v>208</v>
      </c>
      <c r="G643" s="31" t="s">
        <v>208</v>
      </c>
      <c r="H643" s="30" t="s">
        <v>2549</v>
      </c>
      <c r="I643" s="31" t="s">
        <v>359</v>
      </c>
      <c r="J643" s="30" t="s">
        <v>2019</v>
      </c>
      <c r="K643" s="30"/>
    </row>
    <row r="644" customFormat="false" ht="15" hidden="false" customHeight="false" outlineLevel="0" collapsed="false">
      <c r="A644" s="30" t="s">
        <v>2563</v>
      </c>
      <c r="B644" s="30" t="s">
        <v>2050</v>
      </c>
      <c r="C644" s="30" t="s">
        <v>2016</v>
      </c>
      <c r="D644" s="30" t="s">
        <v>2550</v>
      </c>
      <c r="E644" s="31" t="s">
        <v>43</v>
      </c>
      <c r="F644" s="30" t="s">
        <v>141</v>
      </c>
      <c r="G644" s="31" t="s">
        <v>141</v>
      </c>
      <c r="H644" s="30" t="s">
        <v>2551</v>
      </c>
      <c r="I644" s="31" t="s">
        <v>313</v>
      </c>
      <c r="J644" s="30" t="s">
        <v>384</v>
      </c>
      <c r="K644" s="30"/>
    </row>
    <row r="645" customFormat="false" ht="15" hidden="false" customHeight="false" outlineLevel="0" collapsed="false">
      <c r="A645" s="30" t="s">
        <v>2563</v>
      </c>
      <c r="B645" s="30" t="s">
        <v>2050</v>
      </c>
      <c r="C645" s="30" t="s">
        <v>2020</v>
      </c>
      <c r="D645" s="30" t="s">
        <v>9</v>
      </c>
      <c r="E645" s="31" t="s">
        <v>9</v>
      </c>
      <c r="F645" s="30" t="s">
        <v>2552</v>
      </c>
      <c r="G645" s="31" t="s">
        <v>179</v>
      </c>
      <c r="H645" s="30"/>
      <c r="I645" s="30"/>
      <c r="J645" s="30" t="s">
        <v>2019</v>
      </c>
      <c r="K645" s="30"/>
    </row>
    <row r="646" customFormat="false" ht="15" hidden="false" customHeight="false" outlineLevel="0" collapsed="false">
      <c r="A646" s="30" t="s">
        <v>2564</v>
      </c>
      <c r="B646" s="30" t="s">
        <v>2015</v>
      </c>
      <c r="C646" s="30" t="s">
        <v>2016</v>
      </c>
      <c r="D646" s="30" t="s">
        <v>2554</v>
      </c>
      <c r="E646" s="31" t="s">
        <v>87</v>
      </c>
      <c r="F646" s="30" t="s">
        <v>173</v>
      </c>
      <c r="G646" s="31" t="s">
        <v>173</v>
      </c>
      <c r="H646" s="30" t="s">
        <v>363</v>
      </c>
      <c r="I646" s="31" t="s">
        <v>363</v>
      </c>
      <c r="J646" s="30" t="s">
        <v>2019</v>
      </c>
      <c r="K646" s="30"/>
    </row>
    <row r="647" customFormat="false" ht="15" hidden="false" customHeight="false" outlineLevel="0" collapsed="false">
      <c r="A647" s="30" t="s">
        <v>2564</v>
      </c>
      <c r="B647" s="30" t="s">
        <v>2015</v>
      </c>
      <c r="C647" s="30" t="s">
        <v>2020</v>
      </c>
      <c r="D647" s="30" t="s">
        <v>16</v>
      </c>
      <c r="E647" s="31" t="s">
        <v>16</v>
      </c>
      <c r="F647" s="30" t="s">
        <v>121</v>
      </c>
      <c r="G647" s="31" t="s">
        <v>121</v>
      </c>
      <c r="H647" s="30" t="s">
        <v>309</v>
      </c>
      <c r="I647" s="31" t="s">
        <v>64</v>
      </c>
      <c r="J647" s="30" t="s">
        <v>2019</v>
      </c>
      <c r="K647" s="30"/>
    </row>
    <row r="648" customFormat="false" ht="15" hidden="false" customHeight="false" outlineLevel="0" collapsed="false">
      <c r="A648" s="30" t="s">
        <v>2564</v>
      </c>
      <c r="B648" s="30" t="s">
        <v>2024</v>
      </c>
      <c r="C648" s="30" t="s">
        <v>2016</v>
      </c>
      <c r="D648" s="30" t="s">
        <v>21</v>
      </c>
      <c r="E648" s="31" t="s">
        <v>21</v>
      </c>
      <c r="F648" s="30" t="s">
        <v>284</v>
      </c>
      <c r="G648" s="31" t="s">
        <v>284</v>
      </c>
      <c r="H648" s="30" t="s">
        <v>2042</v>
      </c>
      <c r="I648" s="31" t="s">
        <v>306</v>
      </c>
      <c r="J648" s="30" t="s">
        <v>384</v>
      </c>
      <c r="K648" s="30"/>
    </row>
    <row r="649" customFormat="false" ht="15" hidden="false" customHeight="false" outlineLevel="0" collapsed="false">
      <c r="A649" s="30" t="s">
        <v>2564</v>
      </c>
      <c r="B649" s="30" t="s">
        <v>2024</v>
      </c>
      <c r="C649" s="30" t="s">
        <v>2020</v>
      </c>
      <c r="D649" s="30" t="s">
        <v>45</v>
      </c>
      <c r="E649" s="31" t="s">
        <v>45</v>
      </c>
      <c r="F649" s="30" t="s">
        <v>2115</v>
      </c>
      <c r="G649" s="31" t="s">
        <v>150</v>
      </c>
      <c r="H649" s="30"/>
      <c r="I649" s="30"/>
      <c r="J649" s="30" t="s">
        <v>2019</v>
      </c>
      <c r="K649" s="30"/>
    </row>
    <row r="650" customFormat="false" ht="15" hidden="false" customHeight="false" outlineLevel="0" collapsed="false">
      <c r="A650" s="30" t="s">
        <v>2564</v>
      </c>
      <c r="B650" s="30" t="s">
        <v>2030</v>
      </c>
      <c r="C650" s="30" t="s">
        <v>2016</v>
      </c>
      <c r="D650" s="30" t="s">
        <v>2102</v>
      </c>
      <c r="E650" s="31" t="s">
        <v>23</v>
      </c>
      <c r="F650" s="30" t="s">
        <v>200</v>
      </c>
      <c r="G650" s="31" t="s">
        <v>200</v>
      </c>
      <c r="H650" s="30" t="s">
        <v>2555</v>
      </c>
      <c r="I650" s="31" t="s">
        <v>344</v>
      </c>
      <c r="J650" s="30" t="s">
        <v>2019</v>
      </c>
      <c r="K650" s="30"/>
    </row>
    <row r="651" customFormat="false" ht="15" hidden="false" customHeight="false" outlineLevel="0" collapsed="false">
      <c r="A651" s="30" t="s">
        <v>2564</v>
      </c>
      <c r="B651" s="30" t="s">
        <v>2030</v>
      </c>
      <c r="C651" s="30" t="s">
        <v>2020</v>
      </c>
      <c r="D651" s="30" t="s">
        <v>22</v>
      </c>
      <c r="E651" s="31" t="s">
        <v>22</v>
      </c>
      <c r="F651" s="30" t="s">
        <v>2556</v>
      </c>
      <c r="G651" s="31" t="s">
        <v>126</v>
      </c>
      <c r="H651" s="30" t="s">
        <v>352</v>
      </c>
      <c r="I651" s="31" t="s">
        <v>352</v>
      </c>
      <c r="J651" s="30" t="s">
        <v>2019</v>
      </c>
      <c r="K651" s="30"/>
    </row>
    <row r="652" customFormat="false" ht="15" hidden="false" customHeight="false" outlineLevel="0" collapsed="false">
      <c r="A652" s="30" t="s">
        <v>2564</v>
      </c>
      <c r="B652" s="30" t="s">
        <v>2035</v>
      </c>
      <c r="C652" s="30" t="s">
        <v>2016</v>
      </c>
      <c r="D652" s="30" t="s">
        <v>55</v>
      </c>
      <c r="E652" s="31" t="s">
        <v>55</v>
      </c>
      <c r="F652" s="30" t="s">
        <v>187</v>
      </c>
      <c r="G652" s="31" t="s">
        <v>187</v>
      </c>
      <c r="H652" s="30" t="s">
        <v>309</v>
      </c>
      <c r="I652" s="31" t="s">
        <v>64</v>
      </c>
      <c r="J652" s="30" t="s">
        <v>2019</v>
      </c>
      <c r="K652" s="30"/>
    </row>
    <row r="653" customFormat="false" ht="15" hidden="false" customHeight="false" outlineLevel="0" collapsed="false">
      <c r="A653" s="30" t="s">
        <v>2564</v>
      </c>
      <c r="B653" s="30" t="s">
        <v>2035</v>
      </c>
      <c r="C653" s="30" t="s">
        <v>2020</v>
      </c>
      <c r="D653" s="30" t="s">
        <v>2102</v>
      </c>
      <c r="E653" s="31" t="s">
        <v>23</v>
      </c>
      <c r="F653" s="30" t="s">
        <v>123</v>
      </c>
      <c r="G653" s="31" t="s">
        <v>123</v>
      </c>
      <c r="H653" s="30" t="s">
        <v>323</v>
      </c>
      <c r="I653" s="31" t="s">
        <v>323</v>
      </c>
      <c r="J653" s="30" t="s">
        <v>2019</v>
      </c>
      <c r="K653" s="30"/>
    </row>
    <row r="654" customFormat="false" ht="15" hidden="false" customHeight="false" outlineLevel="0" collapsed="false">
      <c r="A654" s="30" t="s">
        <v>2564</v>
      </c>
      <c r="B654" s="30" t="s">
        <v>2039</v>
      </c>
      <c r="C654" s="30" t="s">
        <v>2016</v>
      </c>
      <c r="D654" s="30" t="s">
        <v>9</v>
      </c>
      <c r="E654" s="31" t="s">
        <v>9</v>
      </c>
      <c r="F654" s="30" t="s">
        <v>2558</v>
      </c>
      <c r="G654" s="31" t="s">
        <v>180</v>
      </c>
      <c r="H654" s="30" t="s">
        <v>2517</v>
      </c>
      <c r="I654" s="31" t="s">
        <v>316</v>
      </c>
      <c r="J654" s="30" t="s">
        <v>2019</v>
      </c>
      <c r="K654" s="30"/>
    </row>
    <row r="655" customFormat="false" ht="15" hidden="false" customHeight="false" outlineLevel="0" collapsed="false">
      <c r="A655" s="30" t="s">
        <v>2564</v>
      </c>
      <c r="B655" s="30" t="s">
        <v>2039</v>
      </c>
      <c r="C655" s="30" t="s">
        <v>2020</v>
      </c>
      <c r="D655" s="30" t="s">
        <v>1794</v>
      </c>
      <c r="E655" s="31" t="s">
        <v>40</v>
      </c>
      <c r="F655" s="30" t="s">
        <v>146</v>
      </c>
      <c r="G655" s="31" t="s">
        <v>146</v>
      </c>
      <c r="H655" s="30" t="s">
        <v>356</v>
      </c>
      <c r="I655" s="31" t="s">
        <v>356</v>
      </c>
      <c r="J655" s="30" t="s">
        <v>2019</v>
      </c>
      <c r="K655" s="30"/>
    </row>
    <row r="656" customFormat="false" ht="15" hidden="false" customHeight="false" outlineLevel="0" collapsed="false">
      <c r="A656" s="30" t="s">
        <v>2564</v>
      </c>
      <c r="B656" s="30" t="s">
        <v>2045</v>
      </c>
      <c r="C656" s="30" t="s">
        <v>2016</v>
      </c>
      <c r="D656" s="30" t="s">
        <v>35</v>
      </c>
      <c r="E656" s="31" t="s">
        <v>35</v>
      </c>
      <c r="F656" s="30" t="s">
        <v>159</v>
      </c>
      <c r="G656" s="31" t="s">
        <v>159</v>
      </c>
      <c r="H656" s="30" t="s">
        <v>2533</v>
      </c>
      <c r="I656" s="31" t="s">
        <v>373</v>
      </c>
      <c r="J656" s="30" t="s">
        <v>2019</v>
      </c>
      <c r="K656" s="30"/>
    </row>
    <row r="657" customFormat="false" ht="15" hidden="false" customHeight="false" outlineLevel="0" collapsed="false">
      <c r="A657" s="30" t="s">
        <v>2564</v>
      </c>
      <c r="B657" s="30" t="s">
        <v>2045</v>
      </c>
      <c r="C657" s="30" t="s">
        <v>2020</v>
      </c>
      <c r="D657" s="30" t="s">
        <v>2559</v>
      </c>
      <c r="E657" s="31" t="s">
        <v>99</v>
      </c>
      <c r="F657" s="30" t="s">
        <v>149</v>
      </c>
      <c r="G657" s="31" t="s">
        <v>149</v>
      </c>
      <c r="H657" s="30" t="s">
        <v>308</v>
      </c>
      <c r="I657" s="31" t="s">
        <v>308</v>
      </c>
      <c r="J657" s="30" t="s">
        <v>2019</v>
      </c>
      <c r="K657" s="30"/>
    </row>
    <row r="658" customFormat="false" ht="15" hidden="false" customHeight="false" outlineLevel="0" collapsed="false">
      <c r="A658" s="30" t="s">
        <v>2564</v>
      </c>
      <c r="B658" s="30" t="s">
        <v>2050</v>
      </c>
      <c r="C658" s="30" t="s">
        <v>2016</v>
      </c>
      <c r="D658" s="30" t="s">
        <v>555</v>
      </c>
      <c r="E658" s="31" t="s">
        <v>82</v>
      </c>
      <c r="F658" s="30" t="s">
        <v>2276</v>
      </c>
      <c r="G658" s="31" t="s">
        <v>231</v>
      </c>
      <c r="H658" s="30" t="s">
        <v>320</v>
      </c>
      <c r="I658" s="31" t="s">
        <v>320</v>
      </c>
      <c r="J658" s="30" t="s">
        <v>384</v>
      </c>
      <c r="K658" s="30"/>
    </row>
    <row r="659" customFormat="false" ht="15" hidden="false" customHeight="false" outlineLevel="0" collapsed="false">
      <c r="A659" s="30" t="s">
        <v>2564</v>
      </c>
      <c r="B659" s="30" t="s">
        <v>2050</v>
      </c>
      <c r="C659" s="30" t="s">
        <v>2020</v>
      </c>
      <c r="D659" s="30" t="s">
        <v>9</v>
      </c>
      <c r="E659" s="31" t="s">
        <v>9</v>
      </c>
      <c r="F659" s="30" t="s">
        <v>94</v>
      </c>
      <c r="G659" s="31" t="s">
        <v>94</v>
      </c>
      <c r="H659" s="30"/>
      <c r="I659" s="30"/>
      <c r="J659" s="30" t="s">
        <v>2019</v>
      </c>
      <c r="K659" s="30"/>
    </row>
    <row r="660" customFormat="false" ht="15" hidden="false" customHeight="false" outlineLevel="0" collapsed="false">
      <c r="A660" s="30" t="s">
        <v>2565</v>
      </c>
      <c r="B660" s="30" t="s">
        <v>2015</v>
      </c>
      <c r="C660" s="30" t="s">
        <v>2016</v>
      </c>
      <c r="D660" s="30" t="s">
        <v>16</v>
      </c>
      <c r="E660" s="31" t="s">
        <v>16</v>
      </c>
      <c r="F660" s="30" t="s">
        <v>2101</v>
      </c>
      <c r="G660" s="31" t="s">
        <v>133</v>
      </c>
      <c r="H660" s="30" t="s">
        <v>2154</v>
      </c>
      <c r="I660" s="31" t="s">
        <v>364</v>
      </c>
      <c r="J660" s="30" t="s">
        <v>2019</v>
      </c>
      <c r="K660" s="30"/>
    </row>
    <row r="661" customFormat="false" ht="15" hidden="false" customHeight="false" outlineLevel="0" collapsed="false">
      <c r="A661" s="30" t="s">
        <v>2565</v>
      </c>
      <c r="B661" s="30" t="s">
        <v>2015</v>
      </c>
      <c r="C661" s="30" t="s">
        <v>2020</v>
      </c>
      <c r="D661" s="30" t="s">
        <v>2091</v>
      </c>
      <c r="E661" s="31" t="s">
        <v>19</v>
      </c>
      <c r="F661" s="30" t="s">
        <v>2022</v>
      </c>
      <c r="G661" s="31" t="s">
        <v>124</v>
      </c>
      <c r="H661" s="30" t="s">
        <v>2135</v>
      </c>
      <c r="I661" s="31" t="s">
        <v>342</v>
      </c>
      <c r="J661" s="30" t="s">
        <v>2019</v>
      </c>
      <c r="K661" s="30"/>
    </row>
    <row r="662" customFormat="false" ht="15" hidden="false" customHeight="false" outlineLevel="0" collapsed="false">
      <c r="A662" s="30" t="s">
        <v>2565</v>
      </c>
      <c r="B662" s="30" t="s">
        <v>2024</v>
      </c>
      <c r="C662" s="30" t="s">
        <v>2016</v>
      </c>
      <c r="D662" s="30" t="s">
        <v>31</v>
      </c>
      <c r="E662" s="31" t="s">
        <v>31</v>
      </c>
      <c r="F662" s="30" t="s">
        <v>206</v>
      </c>
      <c r="G662" s="31" t="s">
        <v>206</v>
      </c>
      <c r="H662" s="30"/>
      <c r="I662" s="30"/>
      <c r="J662" s="30" t="s">
        <v>384</v>
      </c>
      <c r="K662" s="30"/>
    </row>
    <row r="663" customFormat="false" ht="15" hidden="false" customHeight="false" outlineLevel="0" collapsed="false">
      <c r="A663" s="30" t="s">
        <v>2565</v>
      </c>
      <c r="B663" s="30" t="s">
        <v>2024</v>
      </c>
      <c r="C663" s="30" t="s">
        <v>2020</v>
      </c>
      <c r="D663" s="30" t="s">
        <v>2027</v>
      </c>
      <c r="E663" s="31" t="s">
        <v>11</v>
      </c>
      <c r="F663" s="30" t="s">
        <v>2157</v>
      </c>
      <c r="G663" s="31" t="s">
        <v>114</v>
      </c>
      <c r="H663" s="30" t="s">
        <v>310</v>
      </c>
      <c r="I663" s="31" t="s">
        <v>310</v>
      </c>
      <c r="J663" s="30" t="s">
        <v>2019</v>
      </c>
      <c r="K663" s="30"/>
    </row>
    <row r="664" customFormat="false" ht="15" hidden="false" customHeight="false" outlineLevel="0" collapsed="false">
      <c r="A664" s="30" t="s">
        <v>2565</v>
      </c>
      <c r="B664" s="30" t="s">
        <v>2030</v>
      </c>
      <c r="C664" s="30" t="s">
        <v>2016</v>
      </c>
      <c r="D664" s="30" t="s">
        <v>2139</v>
      </c>
      <c r="E664" s="31" t="s">
        <v>35</v>
      </c>
      <c r="F664" s="30" t="s">
        <v>2158</v>
      </c>
      <c r="G664" s="31" t="s">
        <v>163</v>
      </c>
      <c r="H664" s="30" t="s">
        <v>2159</v>
      </c>
      <c r="I664" s="31" t="s">
        <v>309</v>
      </c>
      <c r="J664" s="30" t="s">
        <v>2019</v>
      </c>
      <c r="K664" s="30"/>
    </row>
    <row r="665" customFormat="false" ht="15" hidden="false" customHeight="false" outlineLevel="0" collapsed="false">
      <c r="A665" s="30" t="s">
        <v>2565</v>
      </c>
      <c r="B665" s="30" t="s">
        <v>2030</v>
      </c>
      <c r="C665" s="30" t="s">
        <v>2020</v>
      </c>
      <c r="D665" s="30" t="s">
        <v>2150</v>
      </c>
      <c r="E665" s="31" t="s">
        <v>23</v>
      </c>
      <c r="F665" s="30" t="s">
        <v>227</v>
      </c>
      <c r="G665" s="31" t="s">
        <v>227</v>
      </c>
      <c r="H665" s="30" t="s">
        <v>2097</v>
      </c>
      <c r="I665" s="31" t="s">
        <v>322</v>
      </c>
      <c r="J665" s="30" t="s">
        <v>2019</v>
      </c>
      <c r="K665" s="30"/>
    </row>
    <row r="666" customFormat="false" ht="15" hidden="false" customHeight="false" outlineLevel="0" collapsed="false">
      <c r="A666" s="30" t="s">
        <v>2565</v>
      </c>
      <c r="B666" s="30" t="s">
        <v>2035</v>
      </c>
      <c r="C666" s="30" t="s">
        <v>2016</v>
      </c>
      <c r="D666" s="30" t="s">
        <v>2184</v>
      </c>
      <c r="E666" s="31" t="s">
        <v>34</v>
      </c>
      <c r="F666" s="30" t="s">
        <v>2160</v>
      </c>
      <c r="G666" s="31" t="s">
        <v>169</v>
      </c>
      <c r="H666" s="30" t="s">
        <v>2161</v>
      </c>
      <c r="I666" s="31" t="s">
        <v>344</v>
      </c>
      <c r="J666" s="30" t="s">
        <v>2019</v>
      </c>
      <c r="K666" s="30"/>
    </row>
    <row r="667" customFormat="false" ht="15" hidden="false" customHeight="false" outlineLevel="0" collapsed="false">
      <c r="A667" s="30" t="s">
        <v>2565</v>
      </c>
      <c r="B667" s="30" t="s">
        <v>2035</v>
      </c>
      <c r="C667" s="30" t="s">
        <v>2020</v>
      </c>
      <c r="D667" s="30" t="s">
        <v>2068</v>
      </c>
      <c r="E667" s="31" t="s">
        <v>14</v>
      </c>
      <c r="F667" s="30" t="s">
        <v>2162</v>
      </c>
      <c r="G667" s="31" t="s">
        <v>123</v>
      </c>
      <c r="H667" s="30" t="s">
        <v>2163</v>
      </c>
      <c r="I667" s="31" t="s">
        <v>327</v>
      </c>
      <c r="J667" s="30" t="s">
        <v>2019</v>
      </c>
      <c r="K667" s="30"/>
    </row>
    <row r="668" customFormat="false" ht="15" hidden="false" customHeight="false" outlineLevel="0" collapsed="false">
      <c r="A668" s="30" t="s">
        <v>2565</v>
      </c>
      <c r="B668" s="30" t="s">
        <v>2039</v>
      </c>
      <c r="C668" s="30" t="s">
        <v>2016</v>
      </c>
      <c r="D668" s="30" t="s">
        <v>2040</v>
      </c>
      <c r="E668" s="31" t="s">
        <v>60</v>
      </c>
      <c r="F668" s="30" t="s">
        <v>2082</v>
      </c>
      <c r="G668" s="31" t="s">
        <v>137</v>
      </c>
      <c r="H668" s="30" t="s">
        <v>2042</v>
      </c>
      <c r="I668" s="31" t="s">
        <v>306</v>
      </c>
      <c r="J668" s="30" t="s">
        <v>2019</v>
      </c>
      <c r="K668" s="30"/>
    </row>
    <row r="669" customFormat="false" ht="15" hidden="false" customHeight="false" outlineLevel="0" collapsed="false">
      <c r="A669" s="30" t="s">
        <v>2565</v>
      </c>
      <c r="B669" s="30" t="s">
        <v>2039</v>
      </c>
      <c r="C669" s="30" t="s">
        <v>2020</v>
      </c>
      <c r="D669" s="30" t="s">
        <v>2164</v>
      </c>
      <c r="E669" s="31" t="s">
        <v>38</v>
      </c>
      <c r="F669" s="30" t="s">
        <v>2165</v>
      </c>
      <c r="G669" s="31" t="s">
        <v>228</v>
      </c>
      <c r="H669" s="30" t="s">
        <v>9</v>
      </c>
      <c r="I669" s="31" t="s">
        <v>9</v>
      </c>
      <c r="J669" s="30" t="s">
        <v>2019</v>
      </c>
      <c r="K669" s="30"/>
    </row>
    <row r="670" customFormat="false" ht="15" hidden="false" customHeight="false" outlineLevel="0" collapsed="false">
      <c r="A670" s="30" t="s">
        <v>2565</v>
      </c>
      <c r="B670" s="30" t="s">
        <v>2045</v>
      </c>
      <c r="C670" s="30" t="s">
        <v>2016</v>
      </c>
      <c r="D670" s="30" t="s">
        <v>2166</v>
      </c>
      <c r="E670" s="31" t="s">
        <v>55</v>
      </c>
      <c r="F670" s="30" t="s">
        <v>2167</v>
      </c>
      <c r="G670" s="31" t="s">
        <v>141</v>
      </c>
      <c r="H670" s="30" t="s">
        <v>329</v>
      </c>
      <c r="I670" s="31" t="s">
        <v>329</v>
      </c>
      <c r="J670" s="30" t="s">
        <v>2019</v>
      </c>
      <c r="K670" s="30"/>
    </row>
    <row r="671" customFormat="false" ht="15" hidden="false" customHeight="false" outlineLevel="0" collapsed="false">
      <c r="A671" s="30" t="s">
        <v>2565</v>
      </c>
      <c r="B671" s="30" t="s">
        <v>2045</v>
      </c>
      <c r="C671" s="30" t="s">
        <v>2020</v>
      </c>
      <c r="D671" s="30" t="s">
        <v>2027</v>
      </c>
      <c r="E671" s="31" t="s">
        <v>11</v>
      </c>
      <c r="F671" s="30" t="s">
        <v>2168</v>
      </c>
      <c r="G671" s="31" t="s">
        <v>179</v>
      </c>
      <c r="H671" s="30"/>
      <c r="I671" s="30"/>
      <c r="J671" s="30" t="s">
        <v>2019</v>
      </c>
      <c r="K671" s="30"/>
    </row>
    <row r="672" customFormat="false" ht="15" hidden="false" customHeight="false" outlineLevel="0" collapsed="false">
      <c r="A672" s="30" t="s">
        <v>2565</v>
      </c>
      <c r="B672" s="30" t="s">
        <v>2050</v>
      </c>
      <c r="C672" s="30" t="s">
        <v>2016</v>
      </c>
      <c r="D672" s="30" t="s">
        <v>2051</v>
      </c>
      <c r="E672" s="31" t="s">
        <v>9</v>
      </c>
      <c r="F672" s="30" t="s">
        <v>2566</v>
      </c>
      <c r="G672" s="31" t="s">
        <v>267</v>
      </c>
      <c r="H672" s="30" t="s">
        <v>2053</v>
      </c>
      <c r="I672" s="31" t="s">
        <v>308</v>
      </c>
      <c r="J672" s="30" t="s">
        <v>384</v>
      </c>
      <c r="K672" s="30"/>
    </row>
    <row r="673" customFormat="false" ht="15" hidden="false" customHeight="false" outlineLevel="0" collapsed="false">
      <c r="A673" s="30" t="s">
        <v>2565</v>
      </c>
      <c r="B673" s="30" t="s">
        <v>2050</v>
      </c>
      <c r="C673" s="30" t="s">
        <v>2020</v>
      </c>
      <c r="D673" s="30" t="s">
        <v>2073</v>
      </c>
      <c r="E673" s="31" t="s">
        <v>45</v>
      </c>
      <c r="F673" s="30" t="s">
        <v>2170</v>
      </c>
      <c r="G673" s="31" t="s">
        <v>156</v>
      </c>
      <c r="H673" s="30" t="s">
        <v>2171</v>
      </c>
      <c r="I673" s="31" t="s">
        <v>341</v>
      </c>
      <c r="J673" s="30" t="s">
        <v>2019</v>
      </c>
      <c r="K673" s="30"/>
    </row>
    <row r="674" customFormat="false" ht="15" hidden="false" customHeight="false" outlineLevel="0" collapsed="false">
      <c r="A674" s="30" t="s">
        <v>2567</v>
      </c>
      <c r="B674" s="30" t="s">
        <v>2015</v>
      </c>
      <c r="C674" s="30" t="s">
        <v>2016</v>
      </c>
      <c r="D674" s="30" t="s">
        <v>9</v>
      </c>
      <c r="E674" s="31" t="s">
        <v>9</v>
      </c>
      <c r="F674" s="30" t="s">
        <v>2058</v>
      </c>
      <c r="G674" s="31" t="s">
        <v>165</v>
      </c>
      <c r="H674" s="30" t="s">
        <v>356</v>
      </c>
      <c r="I674" s="31" t="s">
        <v>356</v>
      </c>
      <c r="J674" s="30" t="s">
        <v>2019</v>
      </c>
      <c r="K674" s="30"/>
    </row>
    <row r="675" customFormat="false" ht="15" hidden="false" customHeight="false" outlineLevel="0" collapsed="false">
      <c r="A675" s="30" t="s">
        <v>2567</v>
      </c>
      <c r="B675" s="30" t="s">
        <v>2015</v>
      </c>
      <c r="C675" s="30" t="s">
        <v>2020</v>
      </c>
      <c r="D675" s="30" t="s">
        <v>2059</v>
      </c>
      <c r="E675" s="31" t="s">
        <v>72</v>
      </c>
      <c r="F675" s="30" t="s">
        <v>2060</v>
      </c>
      <c r="G675" s="31" t="s">
        <v>199</v>
      </c>
      <c r="H675" s="30"/>
      <c r="I675" s="30"/>
      <c r="J675" s="30" t="s">
        <v>2019</v>
      </c>
      <c r="K675" s="30"/>
    </row>
    <row r="676" customFormat="false" ht="15" hidden="false" customHeight="false" outlineLevel="0" collapsed="false">
      <c r="A676" s="30" t="s">
        <v>2567</v>
      </c>
      <c r="B676" s="30" t="s">
        <v>2024</v>
      </c>
      <c r="C676" s="30" t="s">
        <v>2016</v>
      </c>
      <c r="D676" s="30" t="s">
        <v>2061</v>
      </c>
      <c r="E676" s="31" t="s">
        <v>49</v>
      </c>
      <c r="F676" s="30" t="s">
        <v>207</v>
      </c>
      <c r="G676" s="31" t="s">
        <v>207</v>
      </c>
      <c r="H676" s="30"/>
      <c r="I676" s="30"/>
      <c r="J676" s="30" t="s">
        <v>384</v>
      </c>
      <c r="K676" s="30"/>
    </row>
    <row r="677" customFormat="false" ht="15" hidden="false" customHeight="false" outlineLevel="0" collapsed="false">
      <c r="A677" s="30" t="s">
        <v>2567</v>
      </c>
      <c r="B677" s="30" t="s">
        <v>2024</v>
      </c>
      <c r="C677" s="30" t="s">
        <v>2020</v>
      </c>
      <c r="D677" s="30" t="s">
        <v>2027</v>
      </c>
      <c r="E677" s="31" t="s">
        <v>11</v>
      </c>
      <c r="F677" s="30" t="s">
        <v>148</v>
      </c>
      <c r="G677" s="31" t="s">
        <v>148</v>
      </c>
      <c r="H677" s="30" t="s">
        <v>2062</v>
      </c>
      <c r="I677" s="31" t="s">
        <v>332</v>
      </c>
      <c r="J677" s="30" t="s">
        <v>2019</v>
      </c>
      <c r="K677" s="30"/>
    </row>
    <row r="678" customFormat="false" ht="15" hidden="false" customHeight="false" outlineLevel="0" collapsed="false">
      <c r="A678" s="30" t="s">
        <v>2567</v>
      </c>
      <c r="B678" s="30" t="s">
        <v>2030</v>
      </c>
      <c r="C678" s="30" t="s">
        <v>2016</v>
      </c>
      <c r="D678" s="30" t="s">
        <v>16</v>
      </c>
      <c r="E678" s="31" t="s">
        <v>16</v>
      </c>
      <c r="F678" s="30" t="s">
        <v>2568</v>
      </c>
      <c r="G678" s="31" t="s">
        <v>249</v>
      </c>
      <c r="H678" s="30" t="s">
        <v>2569</v>
      </c>
      <c r="I678" s="31" t="s">
        <v>373</v>
      </c>
      <c r="J678" s="30" t="s">
        <v>2019</v>
      </c>
      <c r="K678" s="30"/>
    </row>
    <row r="679" customFormat="false" ht="15" hidden="false" customHeight="false" outlineLevel="0" collapsed="false">
      <c r="A679" s="30" t="s">
        <v>2567</v>
      </c>
      <c r="B679" s="30" t="s">
        <v>2030</v>
      </c>
      <c r="C679" s="30" t="s">
        <v>2020</v>
      </c>
      <c r="D679" s="30" t="s">
        <v>2065</v>
      </c>
      <c r="E679" s="31" t="s">
        <v>42</v>
      </c>
      <c r="F679" s="30" t="s">
        <v>171</v>
      </c>
      <c r="G679" s="31" t="s">
        <v>171</v>
      </c>
      <c r="H679" s="30" t="s">
        <v>9</v>
      </c>
      <c r="I679" s="31" t="s">
        <v>9</v>
      </c>
      <c r="J679" s="30" t="s">
        <v>2019</v>
      </c>
      <c r="K679" s="30"/>
    </row>
    <row r="680" customFormat="false" ht="15" hidden="false" customHeight="false" outlineLevel="0" collapsed="false">
      <c r="A680" s="30" t="s">
        <v>2567</v>
      </c>
      <c r="B680" s="30" t="s">
        <v>2035</v>
      </c>
      <c r="C680" s="30" t="s">
        <v>2016</v>
      </c>
      <c r="D680" s="30" t="s">
        <v>2066</v>
      </c>
      <c r="E680" s="31" t="s">
        <v>50</v>
      </c>
      <c r="F680" s="30" t="s">
        <v>2067</v>
      </c>
      <c r="G680" s="31" t="s">
        <v>146</v>
      </c>
      <c r="H680" s="30" t="s">
        <v>365</v>
      </c>
      <c r="I680" s="31" t="s">
        <v>365</v>
      </c>
      <c r="J680" s="30" t="s">
        <v>2019</v>
      </c>
      <c r="K680" s="30"/>
    </row>
    <row r="681" customFormat="false" ht="15" hidden="false" customHeight="false" outlineLevel="0" collapsed="false">
      <c r="A681" s="30" t="s">
        <v>2567</v>
      </c>
      <c r="B681" s="30" t="s">
        <v>2035</v>
      </c>
      <c r="C681" s="30" t="s">
        <v>2020</v>
      </c>
      <c r="D681" s="30" t="s">
        <v>2068</v>
      </c>
      <c r="E681" s="31" t="s">
        <v>14</v>
      </c>
      <c r="F681" s="30" t="s">
        <v>2069</v>
      </c>
      <c r="G681" s="31" t="s">
        <v>208</v>
      </c>
      <c r="H681" s="30" t="s">
        <v>318</v>
      </c>
      <c r="I681" s="31" t="s">
        <v>318</v>
      </c>
      <c r="J681" s="30" t="s">
        <v>2019</v>
      </c>
      <c r="K681" s="30"/>
    </row>
    <row r="682" customFormat="false" ht="15" hidden="false" customHeight="false" outlineLevel="0" collapsed="false">
      <c r="A682" s="30" t="s">
        <v>2567</v>
      </c>
      <c r="B682" s="30" t="s">
        <v>2039</v>
      </c>
      <c r="C682" s="30" t="s">
        <v>2016</v>
      </c>
      <c r="D682" s="30" t="s">
        <v>2070</v>
      </c>
      <c r="E682" s="31" t="s">
        <v>75</v>
      </c>
      <c r="F682" s="30" t="s">
        <v>2071</v>
      </c>
      <c r="G682" s="31" t="s">
        <v>139</v>
      </c>
      <c r="H682" s="30" t="s">
        <v>2072</v>
      </c>
      <c r="I682" s="31" t="s">
        <v>329</v>
      </c>
      <c r="J682" s="30" t="s">
        <v>2019</v>
      </c>
      <c r="K682" s="30"/>
    </row>
    <row r="683" customFormat="false" ht="15" hidden="false" customHeight="false" outlineLevel="0" collapsed="false">
      <c r="A683" s="30" t="s">
        <v>2567</v>
      </c>
      <c r="B683" s="30" t="s">
        <v>2039</v>
      </c>
      <c r="C683" s="30" t="s">
        <v>2020</v>
      </c>
      <c r="D683" s="30" t="s">
        <v>19</v>
      </c>
      <c r="E683" s="31" t="s">
        <v>19</v>
      </c>
      <c r="F683" s="30" t="s">
        <v>210</v>
      </c>
      <c r="G683" s="31" t="s">
        <v>210</v>
      </c>
      <c r="H683" s="30"/>
      <c r="I683" s="30"/>
      <c r="J683" s="30" t="s">
        <v>2019</v>
      </c>
      <c r="K683" s="30"/>
    </row>
    <row r="684" customFormat="false" ht="15" hidden="false" customHeight="false" outlineLevel="0" collapsed="false">
      <c r="A684" s="30" t="s">
        <v>2567</v>
      </c>
      <c r="B684" s="30" t="s">
        <v>2045</v>
      </c>
      <c r="C684" s="30" t="s">
        <v>2016</v>
      </c>
      <c r="D684" s="30" t="s">
        <v>2073</v>
      </c>
      <c r="E684" s="31" t="s">
        <v>45</v>
      </c>
      <c r="F684" s="30" t="s">
        <v>2074</v>
      </c>
      <c r="G684" s="31" t="s">
        <v>212</v>
      </c>
      <c r="H684" s="30"/>
      <c r="I684" s="30"/>
      <c r="J684" s="30" t="s">
        <v>2019</v>
      </c>
      <c r="K684" s="30"/>
    </row>
    <row r="685" customFormat="false" ht="15" hidden="false" customHeight="false" outlineLevel="0" collapsed="false">
      <c r="A685" s="30" t="s">
        <v>2567</v>
      </c>
      <c r="B685" s="30" t="s">
        <v>2045</v>
      </c>
      <c r="C685" s="30" t="s">
        <v>2020</v>
      </c>
      <c r="D685" s="30" t="s">
        <v>2027</v>
      </c>
      <c r="E685" s="31" t="s">
        <v>11</v>
      </c>
      <c r="F685" s="30" t="s">
        <v>2075</v>
      </c>
      <c r="G685" s="31" t="s">
        <v>184</v>
      </c>
      <c r="H685" s="30"/>
      <c r="I685" s="30"/>
      <c r="J685" s="30" t="s">
        <v>2019</v>
      </c>
      <c r="K685" s="30"/>
    </row>
    <row r="686" customFormat="false" ht="15" hidden="false" customHeight="false" outlineLevel="0" collapsed="false">
      <c r="A686" s="30" t="s">
        <v>2567</v>
      </c>
      <c r="B686" s="30" t="s">
        <v>2050</v>
      </c>
      <c r="C686" s="30" t="s">
        <v>2016</v>
      </c>
      <c r="D686" s="30" t="s">
        <v>9</v>
      </c>
      <c r="E686" s="31" t="s">
        <v>9</v>
      </c>
      <c r="F686" s="30" t="s">
        <v>2076</v>
      </c>
      <c r="G686" s="31" t="s">
        <v>121</v>
      </c>
      <c r="H686" s="30" t="s">
        <v>330</v>
      </c>
      <c r="I686" s="31" t="s">
        <v>330</v>
      </c>
      <c r="J686" s="30" t="s">
        <v>384</v>
      </c>
      <c r="K686" s="30"/>
    </row>
    <row r="687" customFormat="false" ht="15" hidden="false" customHeight="false" outlineLevel="0" collapsed="false">
      <c r="A687" s="30" t="s">
        <v>2567</v>
      </c>
      <c r="B687" s="30" t="s">
        <v>2050</v>
      </c>
      <c r="C687" s="30" t="s">
        <v>2020</v>
      </c>
      <c r="D687" s="30" t="s">
        <v>2077</v>
      </c>
      <c r="E687" s="31" t="s">
        <v>22</v>
      </c>
      <c r="F687" s="30" t="s">
        <v>2404</v>
      </c>
      <c r="G687" s="31" t="s">
        <v>129</v>
      </c>
      <c r="H687" s="30" t="s">
        <v>2079</v>
      </c>
      <c r="I687" s="31" t="s">
        <v>368</v>
      </c>
      <c r="J687" s="30" t="s">
        <v>2019</v>
      </c>
      <c r="K687" s="30"/>
    </row>
    <row r="688" customFormat="false" ht="15" hidden="false" customHeight="false" outlineLevel="0" collapsed="false">
      <c r="A688" s="30" t="s">
        <v>2570</v>
      </c>
      <c r="B688" s="30" t="s">
        <v>2015</v>
      </c>
      <c r="C688" s="30" t="s">
        <v>2016</v>
      </c>
      <c r="D688" s="30" t="s">
        <v>2081</v>
      </c>
      <c r="E688" s="31" t="s">
        <v>61</v>
      </c>
      <c r="F688" s="30" t="s">
        <v>2082</v>
      </c>
      <c r="G688" s="31" t="s">
        <v>137</v>
      </c>
      <c r="H688" s="30" t="s">
        <v>2083</v>
      </c>
      <c r="I688" s="31" t="s">
        <v>359</v>
      </c>
      <c r="J688" s="30" t="s">
        <v>2019</v>
      </c>
      <c r="K688" s="30"/>
    </row>
    <row r="689" customFormat="false" ht="15" hidden="false" customHeight="false" outlineLevel="0" collapsed="false">
      <c r="A689" s="30" t="s">
        <v>2570</v>
      </c>
      <c r="B689" s="30" t="s">
        <v>2015</v>
      </c>
      <c r="C689" s="30" t="s">
        <v>2020</v>
      </c>
      <c r="D689" s="30" t="s">
        <v>32</v>
      </c>
      <c r="E689" s="31" t="s">
        <v>32</v>
      </c>
      <c r="F689" s="30" t="s">
        <v>132</v>
      </c>
      <c r="G689" s="31" t="s">
        <v>132</v>
      </c>
      <c r="H689" s="30" t="s">
        <v>307</v>
      </c>
      <c r="I689" s="31" t="s">
        <v>307</v>
      </c>
      <c r="J689" s="30" t="s">
        <v>2019</v>
      </c>
      <c r="K689" s="30"/>
    </row>
    <row r="690" customFormat="false" ht="15" hidden="false" customHeight="false" outlineLevel="0" collapsed="false">
      <c r="A690" s="30" t="s">
        <v>2570</v>
      </c>
      <c r="B690" s="30" t="s">
        <v>2024</v>
      </c>
      <c r="C690" s="30" t="s">
        <v>2016</v>
      </c>
      <c r="D690" s="30" t="s">
        <v>2184</v>
      </c>
      <c r="E690" s="31" t="s">
        <v>34</v>
      </c>
      <c r="F690" s="30" t="s">
        <v>2085</v>
      </c>
      <c r="G690" s="31" t="s">
        <v>181</v>
      </c>
      <c r="H690" s="30"/>
      <c r="I690" s="30"/>
      <c r="J690" s="30" t="s">
        <v>384</v>
      </c>
      <c r="K690" s="30"/>
    </row>
    <row r="691" customFormat="false" ht="15" hidden="false" customHeight="false" outlineLevel="0" collapsed="false">
      <c r="A691" s="30" t="s">
        <v>2570</v>
      </c>
      <c r="B691" s="30" t="s">
        <v>2024</v>
      </c>
      <c r="C691" s="30" t="s">
        <v>2020</v>
      </c>
      <c r="D691" s="30" t="s">
        <v>2027</v>
      </c>
      <c r="E691" s="31" t="s">
        <v>11</v>
      </c>
      <c r="F691" s="30" t="s">
        <v>2086</v>
      </c>
      <c r="G691" s="31" t="s">
        <v>183</v>
      </c>
      <c r="H691" s="30"/>
      <c r="I691" s="30"/>
      <c r="J691" s="30" t="s">
        <v>2019</v>
      </c>
      <c r="K691" s="30"/>
    </row>
    <row r="692" customFormat="false" ht="15" hidden="false" customHeight="false" outlineLevel="0" collapsed="false">
      <c r="A692" s="30" t="s">
        <v>2570</v>
      </c>
      <c r="B692" s="30" t="s">
        <v>2030</v>
      </c>
      <c r="C692" s="30" t="s">
        <v>2016</v>
      </c>
      <c r="D692" s="30" t="s">
        <v>17</v>
      </c>
      <c r="E692" s="31" t="s">
        <v>17</v>
      </c>
      <c r="F692" s="30" t="s">
        <v>2087</v>
      </c>
      <c r="G692" s="31" t="s">
        <v>187</v>
      </c>
      <c r="H692" s="30" t="s">
        <v>2088</v>
      </c>
      <c r="I692" s="31" t="s">
        <v>312</v>
      </c>
      <c r="J692" s="30" t="s">
        <v>2019</v>
      </c>
      <c r="K692" s="30"/>
    </row>
    <row r="693" customFormat="false" ht="15" hidden="false" customHeight="false" outlineLevel="0" collapsed="false">
      <c r="A693" s="30" t="s">
        <v>2570</v>
      </c>
      <c r="B693" s="30" t="s">
        <v>2030</v>
      </c>
      <c r="C693" s="30" t="s">
        <v>2020</v>
      </c>
      <c r="D693" s="30" t="s">
        <v>16</v>
      </c>
      <c r="E693" s="31" t="s">
        <v>16</v>
      </c>
      <c r="F693" s="30" t="s">
        <v>2089</v>
      </c>
      <c r="G693" s="31" t="s">
        <v>189</v>
      </c>
      <c r="H693" s="30" t="s">
        <v>2090</v>
      </c>
      <c r="I693" s="31" t="s">
        <v>360</v>
      </c>
      <c r="J693" s="30" t="s">
        <v>2019</v>
      </c>
      <c r="K693" s="30"/>
    </row>
    <row r="694" customFormat="false" ht="15" hidden="false" customHeight="false" outlineLevel="0" collapsed="false">
      <c r="A694" s="30" t="s">
        <v>2570</v>
      </c>
      <c r="B694" s="30" t="s">
        <v>2035</v>
      </c>
      <c r="C694" s="30" t="s">
        <v>2016</v>
      </c>
      <c r="D694" s="30" t="s">
        <v>2091</v>
      </c>
      <c r="E694" s="31" t="s">
        <v>19</v>
      </c>
      <c r="F694" s="30" t="s">
        <v>2092</v>
      </c>
      <c r="G694" s="31" t="s">
        <v>191</v>
      </c>
      <c r="H694" s="30"/>
      <c r="I694" s="30"/>
      <c r="J694" s="30" t="s">
        <v>2019</v>
      </c>
      <c r="K694" s="30"/>
    </row>
    <row r="695" customFormat="false" ht="15" hidden="false" customHeight="false" outlineLevel="0" collapsed="false">
      <c r="A695" s="30" t="s">
        <v>2570</v>
      </c>
      <c r="B695" s="30" t="s">
        <v>2035</v>
      </c>
      <c r="C695" s="30" t="s">
        <v>2020</v>
      </c>
      <c r="D695" s="30" t="s">
        <v>2068</v>
      </c>
      <c r="E695" s="31" t="s">
        <v>14</v>
      </c>
      <c r="F695" s="30" t="s">
        <v>193</v>
      </c>
      <c r="G695" s="31" t="s">
        <v>193</v>
      </c>
      <c r="H695" s="30" t="s">
        <v>2093</v>
      </c>
      <c r="I695" s="31" t="s">
        <v>314</v>
      </c>
      <c r="J695" s="30" t="s">
        <v>2019</v>
      </c>
      <c r="K695" s="30"/>
    </row>
    <row r="696" customFormat="false" ht="15" hidden="false" customHeight="false" outlineLevel="0" collapsed="false">
      <c r="A696" s="30" t="s">
        <v>2570</v>
      </c>
      <c r="B696" s="30" t="s">
        <v>2039</v>
      </c>
      <c r="C696" s="30" t="s">
        <v>2016</v>
      </c>
      <c r="D696" s="30" t="s">
        <v>2094</v>
      </c>
      <c r="E696" s="31" t="s">
        <v>28</v>
      </c>
      <c r="F696" s="30" t="s">
        <v>194</v>
      </c>
      <c r="G696" s="31" t="s">
        <v>194</v>
      </c>
      <c r="H696" s="30" t="s">
        <v>2095</v>
      </c>
      <c r="I696" s="31" t="s">
        <v>309</v>
      </c>
      <c r="J696" s="30" t="s">
        <v>2019</v>
      </c>
      <c r="K696" s="30"/>
    </row>
    <row r="697" customFormat="false" ht="15" hidden="false" customHeight="false" outlineLevel="0" collapsed="false">
      <c r="A697" s="30" t="s">
        <v>2570</v>
      </c>
      <c r="B697" s="30" t="s">
        <v>2039</v>
      </c>
      <c r="C697" s="30" t="s">
        <v>2020</v>
      </c>
      <c r="D697" s="30" t="s">
        <v>9</v>
      </c>
      <c r="E697" s="31" t="s">
        <v>9</v>
      </c>
      <c r="F697" s="30" t="s">
        <v>2096</v>
      </c>
      <c r="G697" s="31" t="s">
        <v>93</v>
      </c>
      <c r="H697" s="30" t="s">
        <v>2097</v>
      </c>
      <c r="I697" s="31" t="s">
        <v>322</v>
      </c>
      <c r="J697" s="30" t="s">
        <v>2019</v>
      </c>
      <c r="K697" s="30"/>
    </row>
    <row r="698" customFormat="false" ht="15" hidden="false" customHeight="false" outlineLevel="0" collapsed="false">
      <c r="A698" s="30" t="s">
        <v>2570</v>
      </c>
      <c r="B698" s="30" t="s">
        <v>2045</v>
      </c>
      <c r="C698" s="30" t="s">
        <v>2016</v>
      </c>
      <c r="D698" s="30" t="s">
        <v>31</v>
      </c>
      <c r="E698" s="31" t="s">
        <v>31</v>
      </c>
      <c r="F698" s="30" t="s">
        <v>2098</v>
      </c>
      <c r="G698" s="31" t="s">
        <v>130</v>
      </c>
      <c r="H698" s="30" t="s">
        <v>2099</v>
      </c>
      <c r="I698" s="31" t="s">
        <v>346</v>
      </c>
      <c r="J698" s="30" t="s">
        <v>2019</v>
      </c>
      <c r="K698" s="30"/>
    </row>
    <row r="699" customFormat="false" ht="15" hidden="false" customHeight="false" outlineLevel="0" collapsed="false">
      <c r="A699" s="30" t="s">
        <v>2570</v>
      </c>
      <c r="B699" s="30" t="s">
        <v>2045</v>
      </c>
      <c r="C699" s="30" t="s">
        <v>2020</v>
      </c>
      <c r="D699" s="30" t="s">
        <v>2027</v>
      </c>
      <c r="E699" s="31" t="s">
        <v>11</v>
      </c>
      <c r="F699" s="30" t="s">
        <v>2100</v>
      </c>
      <c r="G699" s="31" t="s">
        <v>195</v>
      </c>
      <c r="H699" s="30" t="s">
        <v>310</v>
      </c>
      <c r="I699" s="31" t="s">
        <v>310</v>
      </c>
      <c r="J699" s="30" t="s">
        <v>2019</v>
      </c>
      <c r="K699" s="30"/>
    </row>
    <row r="700" customFormat="false" ht="15" hidden="false" customHeight="false" outlineLevel="0" collapsed="false">
      <c r="A700" s="30" t="s">
        <v>2570</v>
      </c>
      <c r="B700" s="30" t="s">
        <v>2050</v>
      </c>
      <c r="C700" s="30" t="s">
        <v>2016</v>
      </c>
      <c r="D700" s="30" t="s">
        <v>9</v>
      </c>
      <c r="E700" s="31" t="s">
        <v>9</v>
      </c>
      <c r="F700" s="30" t="s">
        <v>2101</v>
      </c>
      <c r="G700" s="31" t="s">
        <v>133</v>
      </c>
      <c r="H700" s="30" t="s">
        <v>2042</v>
      </c>
      <c r="I700" s="31" t="s">
        <v>306</v>
      </c>
      <c r="J700" s="30" t="s">
        <v>384</v>
      </c>
      <c r="K700" s="30"/>
    </row>
    <row r="701" customFormat="false" ht="15" hidden="false" customHeight="false" outlineLevel="0" collapsed="false">
      <c r="A701" s="30" t="s">
        <v>2570</v>
      </c>
      <c r="B701" s="30" t="s">
        <v>2050</v>
      </c>
      <c r="C701" s="30" t="s">
        <v>2020</v>
      </c>
      <c r="D701" s="30" t="s">
        <v>2102</v>
      </c>
      <c r="E701" s="31" t="s">
        <v>23</v>
      </c>
      <c r="F701" s="30" t="s">
        <v>2022</v>
      </c>
      <c r="G701" s="31" t="s">
        <v>124</v>
      </c>
      <c r="H701" s="30" t="s">
        <v>2103</v>
      </c>
      <c r="I701" s="31" t="s">
        <v>337</v>
      </c>
      <c r="J701" s="30" t="s">
        <v>2019</v>
      </c>
      <c r="K701" s="30"/>
    </row>
    <row r="702" customFormat="false" ht="15" hidden="false" customHeight="false" outlineLevel="0" collapsed="false">
      <c r="A702" s="30" t="s">
        <v>2571</v>
      </c>
      <c r="B702" s="30" t="s">
        <v>2015</v>
      </c>
      <c r="C702" s="30" t="s">
        <v>2016</v>
      </c>
      <c r="D702" s="30" t="s">
        <v>17</v>
      </c>
      <c r="E702" s="31" t="s">
        <v>17</v>
      </c>
      <c r="F702" s="30" t="s">
        <v>2105</v>
      </c>
      <c r="G702" s="31" t="s">
        <v>145</v>
      </c>
      <c r="H702" s="30" t="s">
        <v>2106</v>
      </c>
      <c r="I702" s="31" t="s">
        <v>313</v>
      </c>
      <c r="J702" s="30" t="s">
        <v>2019</v>
      </c>
      <c r="K702" s="30"/>
    </row>
    <row r="703" customFormat="false" ht="15" hidden="false" customHeight="false" outlineLevel="0" collapsed="false">
      <c r="A703" s="30" t="s">
        <v>2571</v>
      </c>
      <c r="B703" s="30" t="s">
        <v>2015</v>
      </c>
      <c r="C703" s="30" t="s">
        <v>2020</v>
      </c>
      <c r="D703" s="30" t="s">
        <v>2107</v>
      </c>
      <c r="E703" s="31" t="s">
        <v>9</v>
      </c>
      <c r="F703" s="30" t="s">
        <v>2108</v>
      </c>
      <c r="G703" s="31" t="s">
        <v>197</v>
      </c>
      <c r="H703" s="30" t="s">
        <v>2097</v>
      </c>
      <c r="I703" s="31" t="s">
        <v>322</v>
      </c>
      <c r="J703" s="30" t="s">
        <v>2019</v>
      </c>
      <c r="K703" s="30"/>
    </row>
    <row r="704" customFormat="false" ht="15" hidden="false" customHeight="false" outlineLevel="0" collapsed="false">
      <c r="A704" s="30" t="s">
        <v>2571</v>
      </c>
      <c r="B704" s="30" t="s">
        <v>2024</v>
      </c>
      <c r="C704" s="30" t="s">
        <v>2016</v>
      </c>
      <c r="D704" s="30" t="s">
        <v>2066</v>
      </c>
      <c r="E704" s="31" t="s">
        <v>50</v>
      </c>
      <c r="F704" s="30" t="s">
        <v>2572</v>
      </c>
      <c r="G704" s="31" t="s">
        <v>173</v>
      </c>
      <c r="H704" s="30" t="s">
        <v>320</v>
      </c>
      <c r="I704" s="31" t="s">
        <v>320</v>
      </c>
      <c r="J704" s="30" t="s">
        <v>384</v>
      </c>
      <c r="K704" s="30"/>
    </row>
    <row r="705" customFormat="false" ht="15" hidden="false" customHeight="false" outlineLevel="0" collapsed="false">
      <c r="A705" s="30" t="s">
        <v>2571</v>
      </c>
      <c r="B705" s="30" t="s">
        <v>2024</v>
      </c>
      <c r="C705" s="30" t="s">
        <v>2020</v>
      </c>
      <c r="D705" s="30" t="s">
        <v>2027</v>
      </c>
      <c r="E705" s="31" t="s">
        <v>11</v>
      </c>
      <c r="F705" s="30" t="s">
        <v>2111</v>
      </c>
      <c r="G705" s="31" t="s">
        <v>213</v>
      </c>
      <c r="H705" s="30" t="s">
        <v>2573</v>
      </c>
      <c r="I705" s="31" t="s">
        <v>307</v>
      </c>
      <c r="J705" s="30" t="s">
        <v>2019</v>
      </c>
      <c r="K705" s="30"/>
    </row>
    <row r="706" customFormat="false" ht="15" hidden="false" customHeight="false" outlineLevel="0" collapsed="false">
      <c r="A706" s="30" t="s">
        <v>2571</v>
      </c>
      <c r="B706" s="30" t="s">
        <v>2030</v>
      </c>
      <c r="C706" s="30" t="s">
        <v>2016</v>
      </c>
      <c r="D706" s="30" t="s">
        <v>2184</v>
      </c>
      <c r="E706" s="31" t="s">
        <v>34</v>
      </c>
      <c r="F706" s="30" t="s">
        <v>215</v>
      </c>
      <c r="G706" s="31" t="s">
        <v>215</v>
      </c>
      <c r="H706" s="30" t="s">
        <v>308</v>
      </c>
      <c r="I706" s="31" t="s">
        <v>308</v>
      </c>
      <c r="J706" s="30" t="s">
        <v>2019</v>
      </c>
      <c r="K706" s="30"/>
    </row>
    <row r="707" customFormat="false" ht="15" hidden="false" customHeight="false" outlineLevel="0" collapsed="false">
      <c r="A707" s="30" t="s">
        <v>2571</v>
      </c>
      <c r="B707" s="30" t="s">
        <v>2030</v>
      </c>
      <c r="C707" s="30" t="s">
        <v>2020</v>
      </c>
      <c r="D707" s="30" t="s">
        <v>2112</v>
      </c>
      <c r="E707" s="31" t="s">
        <v>40</v>
      </c>
      <c r="F707" s="30" t="s">
        <v>46</v>
      </c>
      <c r="G707" s="31" t="s">
        <v>46</v>
      </c>
      <c r="H707" s="30" t="s">
        <v>2107</v>
      </c>
      <c r="I707" s="31" t="s">
        <v>9</v>
      </c>
      <c r="J707" s="30" t="s">
        <v>2019</v>
      </c>
      <c r="K707" s="30"/>
    </row>
    <row r="708" customFormat="false" ht="15" hidden="false" customHeight="false" outlineLevel="0" collapsed="false">
      <c r="A708" s="30" t="s">
        <v>2571</v>
      </c>
      <c r="B708" s="30" t="s">
        <v>2035</v>
      </c>
      <c r="C708" s="30" t="s">
        <v>2016</v>
      </c>
      <c r="D708" s="30" t="s">
        <v>103</v>
      </c>
      <c r="E708" s="31" t="s">
        <v>103</v>
      </c>
      <c r="F708" s="30" t="s">
        <v>280</v>
      </c>
      <c r="G708" s="31" t="s">
        <v>280</v>
      </c>
      <c r="H708" s="30" t="s">
        <v>2574</v>
      </c>
      <c r="I708" s="31" t="s">
        <v>339</v>
      </c>
      <c r="J708" s="30" t="s">
        <v>2575</v>
      </c>
      <c r="K708" s="31" t="s">
        <v>389</v>
      </c>
    </row>
    <row r="709" customFormat="false" ht="15" hidden="false" customHeight="false" outlineLevel="0" collapsed="false">
      <c r="A709" s="30" t="s">
        <v>2571</v>
      </c>
      <c r="B709" s="30" t="s">
        <v>2035</v>
      </c>
      <c r="C709" s="30" t="s">
        <v>2020</v>
      </c>
      <c r="D709" s="30" t="s">
        <v>2114</v>
      </c>
      <c r="E709" s="31" t="s">
        <v>11</v>
      </c>
      <c r="F709" s="30" t="s">
        <v>2115</v>
      </c>
      <c r="G709" s="31" t="s">
        <v>150</v>
      </c>
      <c r="H709" s="30"/>
      <c r="I709" s="30"/>
      <c r="J709" s="30" t="s">
        <v>2019</v>
      </c>
      <c r="K709" s="30"/>
    </row>
    <row r="710" customFormat="false" ht="15" hidden="false" customHeight="false" outlineLevel="0" collapsed="false">
      <c r="A710" s="30" t="s">
        <v>2571</v>
      </c>
      <c r="B710" s="30" t="s">
        <v>2039</v>
      </c>
      <c r="C710" s="30" t="s">
        <v>2016</v>
      </c>
      <c r="D710" s="30" t="s">
        <v>2116</v>
      </c>
      <c r="E710" s="31" t="s">
        <v>47</v>
      </c>
      <c r="F710" s="30" t="s">
        <v>2117</v>
      </c>
      <c r="G710" s="31" t="s">
        <v>154</v>
      </c>
      <c r="H710" s="30" t="s">
        <v>2118</v>
      </c>
      <c r="I710" s="31" t="s">
        <v>357</v>
      </c>
      <c r="J710" s="30" t="s">
        <v>2019</v>
      </c>
      <c r="K710" s="30"/>
    </row>
    <row r="711" customFormat="false" ht="15" hidden="false" customHeight="false" outlineLevel="0" collapsed="false">
      <c r="A711" s="30" t="s">
        <v>2571</v>
      </c>
      <c r="B711" s="30" t="s">
        <v>2039</v>
      </c>
      <c r="C711" s="30" t="s">
        <v>2020</v>
      </c>
      <c r="D711" s="30" t="s">
        <v>2091</v>
      </c>
      <c r="E711" s="31" t="s">
        <v>19</v>
      </c>
      <c r="F711" s="30" t="s">
        <v>2119</v>
      </c>
      <c r="G711" s="31" t="s">
        <v>219</v>
      </c>
      <c r="H711" s="30" t="s">
        <v>2120</v>
      </c>
      <c r="I711" s="31" t="s">
        <v>326</v>
      </c>
      <c r="J711" s="30" t="s">
        <v>2019</v>
      </c>
      <c r="K711" s="30"/>
    </row>
    <row r="712" customFormat="false" ht="15" hidden="false" customHeight="false" outlineLevel="0" collapsed="false">
      <c r="A712" s="30" t="s">
        <v>2571</v>
      </c>
      <c r="B712" s="30" t="s">
        <v>2045</v>
      </c>
      <c r="C712" s="30" t="s">
        <v>2016</v>
      </c>
      <c r="D712" s="30" t="s">
        <v>2121</v>
      </c>
      <c r="E712" s="31" t="s">
        <v>79</v>
      </c>
      <c r="F712" s="30" t="s">
        <v>2122</v>
      </c>
      <c r="G712" s="31" t="s">
        <v>237</v>
      </c>
      <c r="H712" s="30" t="s">
        <v>334</v>
      </c>
      <c r="I712" s="31" t="s">
        <v>334</v>
      </c>
      <c r="J712" s="30" t="s">
        <v>2019</v>
      </c>
      <c r="K712" s="30"/>
    </row>
    <row r="713" customFormat="false" ht="15" hidden="false" customHeight="false" outlineLevel="0" collapsed="false">
      <c r="A713" s="30" t="s">
        <v>2571</v>
      </c>
      <c r="B713" s="30" t="s">
        <v>2045</v>
      </c>
      <c r="C713" s="30" t="s">
        <v>2020</v>
      </c>
      <c r="D713" s="30" t="s">
        <v>2027</v>
      </c>
      <c r="E713" s="31" t="s">
        <v>11</v>
      </c>
      <c r="F713" s="30" t="s">
        <v>2123</v>
      </c>
      <c r="G713" s="31" t="s">
        <v>62</v>
      </c>
      <c r="H713" s="30" t="s">
        <v>327</v>
      </c>
      <c r="I713" s="31" t="s">
        <v>327</v>
      </c>
      <c r="J713" s="30" t="s">
        <v>2019</v>
      </c>
      <c r="K713" s="30"/>
    </row>
    <row r="714" customFormat="false" ht="15" hidden="false" customHeight="false" outlineLevel="0" collapsed="false">
      <c r="A714" s="30" t="s">
        <v>2571</v>
      </c>
      <c r="B714" s="30" t="s">
        <v>2050</v>
      </c>
      <c r="C714" s="30" t="s">
        <v>2016</v>
      </c>
      <c r="D714" s="30" t="s">
        <v>2124</v>
      </c>
      <c r="E714" s="31" t="s">
        <v>17</v>
      </c>
      <c r="F714" s="30" t="s">
        <v>2125</v>
      </c>
      <c r="G714" s="31" t="s">
        <v>221</v>
      </c>
      <c r="H714" s="30" t="s">
        <v>2126</v>
      </c>
      <c r="I714" s="31" t="s">
        <v>309</v>
      </c>
      <c r="J714" s="30" t="s">
        <v>384</v>
      </c>
      <c r="K714" s="30"/>
    </row>
    <row r="715" customFormat="false" ht="15" hidden="false" customHeight="false" outlineLevel="0" collapsed="false">
      <c r="A715" s="30" t="s">
        <v>2571</v>
      </c>
      <c r="B715" s="30" t="s">
        <v>2050</v>
      </c>
      <c r="C715" s="30" t="s">
        <v>2020</v>
      </c>
      <c r="D715" s="30" t="s">
        <v>2127</v>
      </c>
      <c r="E715" s="31" t="s">
        <v>63</v>
      </c>
      <c r="F715" s="30" t="s">
        <v>2128</v>
      </c>
      <c r="G715" s="31" t="s">
        <v>157</v>
      </c>
      <c r="H715" s="30" t="s">
        <v>2129</v>
      </c>
      <c r="I715" s="31" t="s">
        <v>336</v>
      </c>
      <c r="J715" s="30" t="s">
        <v>2019</v>
      </c>
      <c r="K715" s="30"/>
    </row>
    <row r="716" customFormat="false" ht="15" hidden="false" customHeight="false" outlineLevel="0" collapsed="false">
      <c r="A716" s="30" t="s">
        <v>2576</v>
      </c>
      <c r="B716" s="30" t="s">
        <v>2015</v>
      </c>
      <c r="C716" s="30" t="s">
        <v>2016</v>
      </c>
      <c r="D716" s="30" t="s">
        <v>2131</v>
      </c>
      <c r="E716" s="31" t="s">
        <v>83</v>
      </c>
      <c r="F716" s="30" t="s">
        <v>2076</v>
      </c>
      <c r="G716" s="31" t="s">
        <v>121</v>
      </c>
      <c r="H716" s="30" t="s">
        <v>2132</v>
      </c>
      <c r="I716" s="31" t="s">
        <v>356</v>
      </c>
      <c r="J716" s="30" t="s">
        <v>2019</v>
      </c>
      <c r="K716" s="30"/>
    </row>
    <row r="717" customFormat="false" ht="15" hidden="false" customHeight="false" outlineLevel="0" collapsed="false">
      <c r="A717" s="30" t="s">
        <v>2576</v>
      </c>
      <c r="B717" s="30" t="s">
        <v>2015</v>
      </c>
      <c r="C717" s="30" t="s">
        <v>2020</v>
      </c>
      <c r="D717" s="30" t="s">
        <v>2133</v>
      </c>
      <c r="E717" s="31" t="s">
        <v>32</v>
      </c>
      <c r="F717" s="30" t="s">
        <v>2134</v>
      </c>
      <c r="G717" s="31" t="s">
        <v>129</v>
      </c>
      <c r="H717" s="30" t="s">
        <v>2135</v>
      </c>
      <c r="I717" s="31" t="s">
        <v>342</v>
      </c>
      <c r="J717" s="30" t="s">
        <v>2019</v>
      </c>
      <c r="K717" s="30"/>
    </row>
    <row r="718" customFormat="false" ht="15" hidden="false" customHeight="false" outlineLevel="0" collapsed="false">
      <c r="A718" s="30" t="s">
        <v>2576</v>
      </c>
      <c r="B718" s="30" t="s">
        <v>2024</v>
      </c>
      <c r="C718" s="30" t="s">
        <v>2016</v>
      </c>
      <c r="D718" s="30" t="s">
        <v>2107</v>
      </c>
      <c r="E718" s="31" t="s">
        <v>9</v>
      </c>
      <c r="F718" s="30" t="s">
        <v>225</v>
      </c>
      <c r="G718" s="31" t="s">
        <v>225</v>
      </c>
      <c r="H718" s="30" t="s">
        <v>338</v>
      </c>
      <c r="I718" s="31" t="s">
        <v>338</v>
      </c>
      <c r="J718" s="30" t="s">
        <v>384</v>
      </c>
      <c r="K718" s="30"/>
    </row>
    <row r="719" customFormat="false" ht="15" hidden="false" customHeight="false" outlineLevel="0" collapsed="false">
      <c r="A719" s="30" t="s">
        <v>2576</v>
      </c>
      <c r="B719" s="30" t="s">
        <v>2024</v>
      </c>
      <c r="C719" s="30" t="s">
        <v>2020</v>
      </c>
      <c r="D719" s="30" t="s">
        <v>2027</v>
      </c>
      <c r="E719" s="31" t="s">
        <v>11</v>
      </c>
      <c r="F719" s="30" t="s">
        <v>2136</v>
      </c>
      <c r="G719" s="31" t="s">
        <v>245</v>
      </c>
      <c r="H719" s="30" t="s">
        <v>1525</v>
      </c>
      <c r="I719" s="31" t="s">
        <v>314</v>
      </c>
      <c r="J719" s="30" t="s">
        <v>2019</v>
      </c>
      <c r="K719" s="30"/>
    </row>
    <row r="720" customFormat="false" ht="15" hidden="false" customHeight="false" outlineLevel="0" collapsed="false">
      <c r="A720" s="30" t="s">
        <v>2576</v>
      </c>
      <c r="B720" s="30" t="s">
        <v>2030</v>
      </c>
      <c r="C720" s="30" t="s">
        <v>2016</v>
      </c>
      <c r="D720" s="30" t="s">
        <v>46</v>
      </c>
      <c r="E720" s="31" t="s">
        <v>46</v>
      </c>
      <c r="F720" s="30" t="s">
        <v>2137</v>
      </c>
      <c r="G720" s="31" t="s">
        <v>137</v>
      </c>
      <c r="H720" s="30" t="s">
        <v>2138</v>
      </c>
      <c r="I720" s="31" t="s">
        <v>319</v>
      </c>
      <c r="J720" s="30" t="s">
        <v>2019</v>
      </c>
      <c r="K720" s="30"/>
    </row>
    <row r="721" customFormat="false" ht="15" hidden="false" customHeight="false" outlineLevel="0" collapsed="false">
      <c r="A721" s="30" t="s">
        <v>2576</v>
      </c>
      <c r="B721" s="30" t="s">
        <v>2030</v>
      </c>
      <c r="C721" s="30" t="s">
        <v>2020</v>
      </c>
      <c r="D721" s="30" t="s">
        <v>106</v>
      </c>
      <c r="E721" s="31" t="s">
        <v>106</v>
      </c>
      <c r="F721" s="30" t="s">
        <v>2577</v>
      </c>
      <c r="G721" s="31" t="s">
        <v>81</v>
      </c>
      <c r="H721" s="30" t="s">
        <v>2578</v>
      </c>
      <c r="I721" s="31" t="s">
        <v>337</v>
      </c>
      <c r="J721" s="30" t="s">
        <v>2579</v>
      </c>
      <c r="K721" s="31" t="s">
        <v>392</v>
      </c>
    </row>
    <row r="722" customFormat="false" ht="15" hidden="false" customHeight="false" outlineLevel="0" collapsed="false">
      <c r="A722" s="30" t="s">
        <v>2576</v>
      </c>
      <c r="B722" s="30" t="s">
        <v>2035</v>
      </c>
      <c r="C722" s="30" t="s">
        <v>2016</v>
      </c>
      <c r="D722" s="30" t="s">
        <v>2580</v>
      </c>
      <c r="E722" s="31" t="s">
        <v>78</v>
      </c>
      <c r="F722" s="30" t="s">
        <v>2581</v>
      </c>
      <c r="G722" s="31" t="s">
        <v>213</v>
      </c>
      <c r="H722" s="30" t="s">
        <v>2582</v>
      </c>
      <c r="I722" s="31" t="s">
        <v>336</v>
      </c>
      <c r="J722" s="30" t="s">
        <v>2575</v>
      </c>
      <c r="K722" s="31" t="s">
        <v>389</v>
      </c>
    </row>
    <row r="723" customFormat="false" ht="15" hidden="false" customHeight="false" outlineLevel="0" collapsed="false">
      <c r="A723" s="30" t="s">
        <v>2576</v>
      </c>
      <c r="B723" s="30" t="s">
        <v>2035</v>
      </c>
      <c r="C723" s="30" t="s">
        <v>2020</v>
      </c>
      <c r="D723" s="30" t="s">
        <v>2583</v>
      </c>
      <c r="E723" s="31" t="s">
        <v>107</v>
      </c>
      <c r="F723" s="30" t="s">
        <v>264</v>
      </c>
      <c r="G723" s="31" t="s">
        <v>264</v>
      </c>
      <c r="H723" s="30" t="s">
        <v>2584</v>
      </c>
      <c r="I723" s="31" t="s">
        <v>377</v>
      </c>
      <c r="J723" s="30" t="s">
        <v>2585</v>
      </c>
      <c r="K723" s="30"/>
    </row>
    <row r="724" customFormat="false" ht="15" hidden="false" customHeight="false" outlineLevel="0" collapsed="false">
      <c r="A724" s="30" t="s">
        <v>2576</v>
      </c>
      <c r="B724" s="30" t="s">
        <v>2039</v>
      </c>
      <c r="C724" s="30" t="s">
        <v>2016</v>
      </c>
      <c r="D724" s="30" t="s">
        <v>2143</v>
      </c>
      <c r="E724" s="31" t="s">
        <v>65</v>
      </c>
      <c r="F724" s="30" t="s">
        <v>153</v>
      </c>
      <c r="G724" s="31" t="s">
        <v>153</v>
      </c>
      <c r="H724" s="30"/>
      <c r="I724" s="30"/>
      <c r="J724" s="30" t="s">
        <v>2019</v>
      </c>
      <c r="K724" s="30"/>
    </row>
    <row r="725" customFormat="false" ht="15" hidden="false" customHeight="false" outlineLevel="0" collapsed="false">
      <c r="A725" s="30" t="s">
        <v>2576</v>
      </c>
      <c r="B725" s="30" t="s">
        <v>2039</v>
      </c>
      <c r="C725" s="30" t="s">
        <v>2020</v>
      </c>
      <c r="D725" s="30" t="s">
        <v>2107</v>
      </c>
      <c r="E725" s="31" t="s">
        <v>9</v>
      </c>
      <c r="F725" s="30" t="s">
        <v>2144</v>
      </c>
      <c r="G725" s="31" t="s">
        <v>212</v>
      </c>
      <c r="H725" s="30" t="s">
        <v>2145</v>
      </c>
      <c r="I725" s="31" t="s">
        <v>372</v>
      </c>
      <c r="J725" s="30" t="s">
        <v>2019</v>
      </c>
      <c r="K725" s="30"/>
    </row>
    <row r="726" customFormat="false" ht="15" hidden="false" customHeight="false" outlineLevel="0" collapsed="false">
      <c r="A726" s="30" t="s">
        <v>2576</v>
      </c>
      <c r="B726" s="30" t="s">
        <v>2045</v>
      </c>
      <c r="C726" s="30" t="s">
        <v>2016</v>
      </c>
      <c r="D726" s="30" t="s">
        <v>2146</v>
      </c>
      <c r="E726" s="31" t="s">
        <v>62</v>
      </c>
      <c r="F726" s="30" t="s">
        <v>2147</v>
      </c>
      <c r="G726" s="31" t="s">
        <v>249</v>
      </c>
      <c r="H726" s="30" t="s">
        <v>2088</v>
      </c>
      <c r="I726" s="31" t="s">
        <v>312</v>
      </c>
      <c r="J726" s="30" t="s">
        <v>2019</v>
      </c>
      <c r="K726" s="30"/>
    </row>
    <row r="727" customFormat="false" ht="15" hidden="false" customHeight="false" outlineLevel="0" collapsed="false">
      <c r="A727" s="30" t="s">
        <v>2576</v>
      </c>
      <c r="B727" s="30" t="s">
        <v>2045</v>
      </c>
      <c r="C727" s="30" t="s">
        <v>2020</v>
      </c>
      <c r="D727" s="30" t="s">
        <v>2027</v>
      </c>
      <c r="E727" s="31" t="s">
        <v>11</v>
      </c>
      <c r="F727" s="30" t="s">
        <v>2148</v>
      </c>
      <c r="G727" s="31" t="s">
        <v>251</v>
      </c>
      <c r="H727" s="30" t="s">
        <v>2149</v>
      </c>
      <c r="I727" s="31" t="s">
        <v>340</v>
      </c>
      <c r="J727" s="30" t="s">
        <v>2019</v>
      </c>
      <c r="K727" s="30"/>
    </row>
    <row r="728" customFormat="false" ht="15" hidden="false" customHeight="false" outlineLevel="0" collapsed="false">
      <c r="A728" s="30" t="s">
        <v>2576</v>
      </c>
      <c r="B728" s="30" t="s">
        <v>2050</v>
      </c>
      <c r="C728" s="30" t="s">
        <v>2016</v>
      </c>
      <c r="D728" s="30" t="s">
        <v>2150</v>
      </c>
      <c r="E728" s="31" t="s">
        <v>23</v>
      </c>
      <c r="F728" s="30" t="s">
        <v>2151</v>
      </c>
      <c r="G728" s="31" t="s">
        <v>159</v>
      </c>
      <c r="H728" s="30" t="s">
        <v>2042</v>
      </c>
      <c r="I728" s="31" t="s">
        <v>306</v>
      </c>
      <c r="J728" s="30" t="s">
        <v>384</v>
      </c>
      <c r="K728" s="30"/>
    </row>
    <row r="729" customFormat="false" ht="15" hidden="false" customHeight="false" outlineLevel="0" collapsed="false">
      <c r="A729" s="30" t="s">
        <v>2576</v>
      </c>
      <c r="B729" s="30" t="s">
        <v>2050</v>
      </c>
      <c r="C729" s="30" t="s">
        <v>2020</v>
      </c>
      <c r="D729" s="30" t="s">
        <v>2061</v>
      </c>
      <c r="E729" s="31" t="s">
        <v>49</v>
      </c>
      <c r="F729" s="30" t="s">
        <v>2152</v>
      </c>
      <c r="G729" s="31" t="s">
        <v>185</v>
      </c>
      <c r="H729" s="30"/>
      <c r="I729" s="30"/>
      <c r="J729" s="30" t="s">
        <v>2019</v>
      </c>
      <c r="K729" s="30"/>
    </row>
  </sheetData>
  <autoFilter ref="A1:K729"/>
  <hyperlinks>
    <hyperlink ref="E2" location="'E-Taboulé'!A1" display="Taboulé"/>
    <hyperlink ref="G2" location="'P-Paupiette de volaille'!A1" display="Paupiette de volaille"/>
    <hyperlink ref="I2" location="'G-Chou-fleur persillé'!A1" display="Chou-fleur persillé"/>
    <hyperlink ref="E3" location="'E-Salade de mâche'!A1" display="Salade de mâche"/>
    <hyperlink ref="G3" location="'P-Jambon blanc'!A1" display="Jambon blanc"/>
    <hyperlink ref="I3" location="'G-Pommes de terre rissolées'!A1" display="Pommes de terre rissolées"/>
    <hyperlink ref="E4" location="'E-Poireaux vinaigrette'!A1" display="Poireaux vinaigrette"/>
    <hyperlink ref="G4" location="'P-Tartiflette'!A1" display="Tartiflette"/>
    <hyperlink ref="E5" location="'E-Potage de légumes'!A1" display="Potage de légumes"/>
    <hyperlink ref="G5" location="'E-Œuf mayonnaise'!A1" display="Œuf mayonnaise"/>
    <hyperlink ref="I5" location="'G-Salsifis'!A1" display="Salsifis"/>
    <hyperlink ref="E6" location="'E-Salade de lentilles'!A1" display="Salade de lentilles"/>
    <hyperlink ref="G6" location="'P-Suprême de volaille'!A1" display="Suprême de volaille"/>
    <hyperlink ref="I6" location="'E-Salade de haricots verts'!A1" display="Salade de haricots verts"/>
    <hyperlink ref="E7" location="'E-Velouté de cèpes et châtaigne'!A1" display="Velouté de cèpes et châtaignes"/>
    <hyperlink ref="G7" location="'P-Croustade d'escargots'!A1" display="Croustade d'escargots"/>
    <hyperlink ref="I7" location="'G-Carottes Vichy'!A1" display="Carottes Vichy"/>
    <hyperlink ref="K7" location="'D-Entremets croustillant chocol'!A1" display="Entremets croustillant chocolat"/>
    <hyperlink ref="E8" location="'E-Salade périgourdine'!A1" display="Salade périgourdine"/>
    <hyperlink ref="G8" location="'P-Filet mignon de porc au cidre'!A1" display="Filet mignon de porc au cidre"/>
    <hyperlink ref="I8" location="'G-Risotto'!A1" display="Risotto"/>
    <hyperlink ref="K8" location="'D-Entremets vanille fruits roug'!A1" display="Entremets vanille fruits rouges"/>
    <hyperlink ref="E9" location="'E-Soupe de poisson'!A1" display="Soupe de poisson"/>
    <hyperlink ref="G9" location="'E-Feuilleté'!A1" display="Feuilleté"/>
    <hyperlink ref="I9" location="'G-Crumble de légumes'!A1" display="Crumble de légumes"/>
    <hyperlink ref="E10" location="'E-Pâté aux olives'!A1" display="Pâté aux olives"/>
    <hyperlink ref="G10" location="'P-Pavé de poisson sauce beurre'!A1" display="Pavé de poisson sauce beurre blanc"/>
    <hyperlink ref="I10" location="'G-Riz pilaf'!A1" display="Riz pilaf"/>
    <hyperlink ref="E11" location="'E-Terrine de légumes'!A1" display="Terrine de légumes"/>
    <hyperlink ref="G11" location="'P-Quenelles de volaille sauce'!A1" display="Quenelles de volaille sauce"/>
    <hyperlink ref="I11" location="'G-Carottes Vichy'!A1" display="Carottes Vichy"/>
    <hyperlink ref="E12" location="'E-Salade de pâtes'!A1" display="Salade de pâtes"/>
    <hyperlink ref="G12" location="'P-Rôti de porc'!A1" display="Rôti de porc"/>
    <hyperlink ref="I12" location="'G-Chou romanesco'!A1" display="Chou romanesco"/>
    <hyperlink ref="E13" location="'E-Potage de légumes'!A1" display="Potage de légumes"/>
    <hyperlink ref="G13" location="'P-Lasagnes au bœuf'!A1" display="Lasagnes au bœuf"/>
    <hyperlink ref="E14" location="'E-Salade verte'!A1" display="Salade verte"/>
    <hyperlink ref="G14" location="'P-Escalope viennoise'!A1" display="Escalope viennoise"/>
    <hyperlink ref="I14" location="'G-Semoule'!A1" display="Semoule"/>
    <hyperlink ref="E15" location="'E-Carottes râpées'!A1" display="Carottes râpées"/>
    <hyperlink ref="G15" location="'P-Dos de colin meunière'!A1" display="Dos de colin meunière"/>
    <hyperlink ref="I15" location="'G-Râpé de pommes de terre'!A1" display="Râpé de pommes de terre"/>
    <hyperlink ref="E16" location="'E-Salade verte'!A1" display="Salade verte"/>
    <hyperlink ref="G16" location="'P-Sauté de lapin'!A1" display="Sauté de lapin"/>
    <hyperlink ref="I16" location="'G-Choux de Bruxelles'!A1" display="Choux de Bruxelles"/>
    <hyperlink ref="E17" location="'E-Salade de perles'!A1" display="Salade de perles"/>
    <hyperlink ref="G17" location="'P-Endives au jambon'!A1" display="Endives au jambon"/>
    <hyperlink ref="E18" location="'E-Coleslaw'!A1" display="Coleslaw"/>
    <hyperlink ref="G18" location="'P-Croziflette'!A1" display="Croziflette"/>
    <hyperlink ref="E19" location="'E-Potage de légumes'!A1" display="Potage de légumes"/>
    <hyperlink ref="G19" location="'P-Chipolatas'!A1" display="Chipolatas"/>
    <hyperlink ref="I19" location="'G-Haricots blancs'!A1" display="Haricots blancs"/>
    <hyperlink ref="E20" location="'E-Taboulé'!A1" display="Taboulé"/>
    <hyperlink ref="G20" location="'P-Escalope de dinde'!A1" display="Escalope de dinde"/>
    <hyperlink ref="I20" location="'G-Gratin de potimarron'!A1" display="Gratin de potimarron"/>
    <hyperlink ref="E21" location="'E-Macédoine mayonnaise'!A1" display="Macédoine mayonnaise"/>
    <hyperlink ref="G21" location="'P-Raviolis'!A1" display="Raviolis"/>
    <hyperlink ref="E22" location="'E-Salade de chou chinois'!A1" display="Salade de chou chinois"/>
    <hyperlink ref="G22" location="'P-Saucisse de Toulouse'!A1" display="Saucisse de Toulouse"/>
    <hyperlink ref="I22" location="'G-Aligot'!A1" display="Aligot"/>
    <hyperlink ref="E23" location="'E-Potage de féculents'!A1" display="Potage de féculents"/>
    <hyperlink ref="G23" location="'P-Œufs durs sauce béchamel'!A1" display="Œufs durs sauce béchamel"/>
    <hyperlink ref="I23" location="'G-Haricots beurre'!A1" display="Haricots beurre"/>
    <hyperlink ref="E24" location="'E-Mousse de canard'!A1" display="Mousse de canard"/>
    <hyperlink ref="G24" location="'P-Pavé de saumon'!A1" display="Pavé de saumon"/>
    <hyperlink ref="I24" location="'G-Chou romanesco'!A1" display="Chou romanesco"/>
    <hyperlink ref="E25" location="'E-Salade d'endives'!A1" display="Salade d'endives"/>
    <hyperlink ref="G25" location="'P-Chili con carne'!A1" display="Chili con carne"/>
    <hyperlink ref="E26" location="'E-Carottes râpées'!A1" display="Carottes râpées"/>
    <hyperlink ref="G26" location="'P-Flammekueche'!A1" display="Flammekueche"/>
    <hyperlink ref="E27" location="'E-Potage de légumes'!A1" display="Potage de légumes"/>
    <hyperlink ref="G27" location="'P-Pâtes carbonara'!A1" display="Pâtes carbonara"/>
    <hyperlink ref="E28" location="'E-Salade verte'!A1" display="Salade verte"/>
    <hyperlink ref="G28" location="'P-Rôti de veau'!A1" display="Rôti de veau"/>
    <hyperlink ref="I28" location="'G-Lentilles'!A1" display="Lentilles"/>
    <hyperlink ref="E29" location="'E-Salade de riz'!A1" display="Salade de riz"/>
    <hyperlink ref="G29" location="'E-Maquereaux à la moutarde'!A1" display="Maquereaux à la moutarde"/>
    <hyperlink ref="I29" location="'G-Poêlée de légumes'!A1" display="Poêlée de légumes"/>
    <hyperlink ref="E30" location="'E-Jambon cru'!A1" display="Jambon cru"/>
    <hyperlink ref="G30" location="'P-Pavé de poisson sauce beurre'!A1" display="Pavé de poisson sauce beurre blanc"/>
    <hyperlink ref="I30" location="'G-Épinards à la crème'!A1" display="Épinards à la crème"/>
    <hyperlink ref="E31" location="'E-Poireaux vinaigrette'!A1" display="Poireaux vinaigrette"/>
    <hyperlink ref="G31" location="'P-Escalope viennoise'!A1" display="Escalope viennoise"/>
    <hyperlink ref="I31" location="'G-Riz pilaf'!A1" display="Riz pilaf"/>
    <hyperlink ref="E32" location="'E-Avocat vinaigrette ou mayonna'!A1" display="Avocat vinaigrette ou mayonnaise"/>
    <hyperlink ref="G32" location="'P-Pot-au-feu'!A1" display="Pot-au-feu"/>
    <hyperlink ref="E33" location="'E-Potage de légumes'!A1" display="Potage de légumes"/>
    <hyperlink ref="G33" location="'P-Pâtes bolognaise'!A1" display="Pâtes bolognaise"/>
    <hyperlink ref="E34" location="'E-Feuilleté'!A1" display="Feuilleté"/>
    <hyperlink ref="G34" location="'P-Suprême de volaille'!A1" display="Suprême de volaille"/>
    <hyperlink ref="I34" location="'G-Petits pois'!A1" display="Petits pois"/>
    <hyperlink ref="E35" location="'E-Taboulé'!A1" display="Taboulé"/>
    <hyperlink ref="G35" location="'P-Langue de bœuf sauce piquante'!A1" display="Langue de bœuf sauce piquante"/>
    <hyperlink ref="I35" location="'G-Côtes de blettes'!A1" display="Côtes de blettes"/>
    <hyperlink ref="E36" location="'E-Salade d'endives'!A1" display="Salade d'endives"/>
    <hyperlink ref="G36" location="'P-Choucroute garnie'!A1" display="Choucroute garnie"/>
    <hyperlink ref="E37" location="'E-Potage de féculents'!A1" display="Potage de féculents"/>
    <hyperlink ref="G37" location="'P-Mortadelle'!A1" display="Mortadelle"/>
    <hyperlink ref="I37" location="'G-Carottes Vichy'!A1" display="Carottes Vichy"/>
    <hyperlink ref="E38" location="'E-Salade mexicaine'!A1" display="Salade mexicaine"/>
    <hyperlink ref="G38" location="'P-Gratin de poisson'!A1" display="Gratin de poisson"/>
    <hyperlink ref="I38" location="'G-Haricots verts'!A1" display="Haricots verts"/>
    <hyperlink ref="E39" location="'E-Salade verte'!A1" display="Salade verte"/>
    <hyperlink ref="G39" location="'E-Quiche lorraine'!A1" display="Quiche lorraine"/>
    <hyperlink ref="I39" location="'G-Pâtes au beurre'!A1" display="Pâtes au beurre"/>
    <hyperlink ref="E40" location="'E-Pamplemousse'!A1" display="Pamplemousse"/>
    <hyperlink ref="G40" location="'P-Escalope de veau'!A1" display="Escalope de veau"/>
    <hyperlink ref="I40" location="'G-Pommes de terre boulangère'!A1" display="Pommes de terre boulangère"/>
    <hyperlink ref="E41" location="'E-Potage de légumes'!A1" display="Potage de légumes"/>
    <hyperlink ref="G41" location="'P-Nuggets de poulet'!A1" display="Nuggets de poulet"/>
    <hyperlink ref="I41" location="'G-Salsifis'!A1" display="Salsifis"/>
    <hyperlink ref="E42" location="'E-Salade verte'!A1" display="Salade verte"/>
    <hyperlink ref="G42" location="'P-Paupiette de volaille'!A1" display="Paupiette de volaille"/>
    <hyperlink ref="I42" location="'G-Riz pilaf'!A1" display="Riz pilaf"/>
    <hyperlink ref="E43" location="'E-Betteraves vinaigrette'!A1" display="Betteraves vinaigrette"/>
    <hyperlink ref="G43" location="'P-Jambon blanc'!A1" display="Jambon blanc"/>
    <hyperlink ref="I43" location="'G-Pommes duchesse'!A1" display="Pommes duchesse"/>
    <hyperlink ref="E44" location="'E-Feuilleté'!A1" display="Feuilleté"/>
    <hyperlink ref="G44" location="'P-Escalope de porc'!A1" display="Escalope de porc"/>
    <hyperlink ref="I44" location="'G-Petits pois carottes'!A1" display="Petits pois carottes"/>
    <hyperlink ref="E45" location="'E-Salade verte'!A1" display="Salade verte"/>
    <hyperlink ref="G45" location="'P-Omelette'!A1" display="Omelette"/>
    <hyperlink ref="I45" location="'G-Pommes de terre rissolées'!A1" display="Pommes de terre rissolées"/>
    <hyperlink ref="E46" location="'E-Salade de chou chinois'!A1" display="Salade de chou chinois"/>
    <hyperlink ref="G46" location="'P-Steak de bœuf'!A1" display="Steak de bœuf"/>
    <hyperlink ref="I46" location="'G-Gratin dauphinois'!A1" display="Gratin dauphinois"/>
    <hyperlink ref="E47" location="'E-Potage de légumes'!A1" display="Potage de légumes"/>
    <hyperlink ref="G47" location="'P-Rôti de dinde'!A1" display="Rôti de dinde"/>
    <hyperlink ref="I47" location="'G-Riz pilaf'!A1" display="Riz pilaf"/>
    <hyperlink ref="E48" location="'E-Avocat vinaigrette ou mayonna'!A1" display="Avocat vinaigrette ou mayonnaise"/>
    <hyperlink ref="G48" location="'P-Tripoux'!A1" display="Tripoux"/>
    <hyperlink ref="I48" location="'G-Semoule'!A1" display="Semoule"/>
    <hyperlink ref="E49" location="'E-Salade de pois chiches'!A1" display="Salade de pois chiches"/>
    <hyperlink ref="G49" location="'E-Pizza'!A1" display="Pizza"/>
    <hyperlink ref="I49" location="'E-Salade verte'!A1" display="Salade verte"/>
    <hyperlink ref="E50" location="'E-Salade de riz'!A1" display="Salade de riz"/>
    <hyperlink ref="G50" location="'P-Chou farci'!A1" display="Chou farci"/>
    <hyperlink ref="E51" location="'E-Potage de légumes'!A1" display="Potage de légumes"/>
    <hyperlink ref="G51" location="'P-Hachis parmentier'!A1" display="Hachis parmentier"/>
    <hyperlink ref="E52" location="'E-Rosette'!A1" display="Rosette"/>
    <hyperlink ref="G52" location="'P-Dos de cabillaud'!A1" display="Dos de cabillaud"/>
    <hyperlink ref="I52" location="'G-Fondue de poireaux'!A1" display="Fondue de poireaux"/>
    <hyperlink ref="E53" location="'E-Salade d'endives'!A1" display="Salade d'endives"/>
    <hyperlink ref="G53" location="'P-Boulettes de bœuf sauce tomat'!A1" display="Boulettes de bœuf sauce tomate"/>
    <hyperlink ref="I53" location="'G-Perles'!A1" display="Perles"/>
    <hyperlink ref="E54" location="'E-Céleri rémoulade'!A1" display="Céleri rémoulade"/>
    <hyperlink ref="G54" location="'P-Navarin d'agneau'!A1" display="Navarin d'agneau"/>
    <hyperlink ref="I54" location="'G-Flageolets'!A1" display="Flageolets"/>
    <hyperlink ref="E55" location="'E-Potage de légumes'!A1" display="Potage de légumes"/>
    <hyperlink ref="G55" location="'E-Pâté de campagne'!A1" display="Pâté de campagne"/>
    <hyperlink ref="I55" location="'G-Brocolis'!A1" display="Brocolis"/>
    <hyperlink ref="E56" location="'E-Feuilleté'!A1" display="Feuilleté"/>
    <hyperlink ref="G56" location="'P-Cuisse de poulet rôtie'!A1" display="Cuisse de poulet rôtie"/>
    <hyperlink ref="I56" location="'G-Haricots verts'!A1" display="Haricots verts"/>
    <hyperlink ref="E57" location="'E-Salade de chou-fleur'!A1" display="Salade de chou-fleur"/>
    <hyperlink ref="G57" location="'P-Dos de colin bordelaise'!A1" display="Dos de colin bordelaise"/>
    <hyperlink ref="I57" location="'G-Pommes dauphine'!A1" display="Pommes dauphine"/>
    <hyperlink ref="E58" location="'E-Pâté en croûte'!A1" display="Pâté en croûte"/>
    <hyperlink ref="G58" location="'P-Rôti de veau'!A1" display="Rôti de veau"/>
    <hyperlink ref="I58" location="'G-Choux de Bruxelles'!A1" display="Choux de Bruxelles"/>
    <hyperlink ref="E59" location="'E-Poireaux vinaigrette'!A1" display="Poireaux vinaigrette"/>
    <hyperlink ref="G59" location="'P-Poisson pané'!A1" display="Poisson pané"/>
    <hyperlink ref="I59" location="'G-Pommes de terre rissolées'!A1" display="Pommes de terre rissolées"/>
    <hyperlink ref="E60" location="'E-Salade verte'!A1" display="Salade verte"/>
    <hyperlink ref="G60" location="'P-Hamburger'!A1" display="Hamburger"/>
    <hyperlink ref="I60" location="'G-Frites'!A1" display="Frites"/>
    <hyperlink ref="E61" location="'E-Potage de légumes'!A1" display="Potage de légumes"/>
    <hyperlink ref="G61" location="'P-Aiguillettes de poulet aux cè'!A1" display="Aiguillettes de poulet aux cèpes"/>
    <hyperlink ref="I61" location="'G-Carottes Vichy'!A1" display="Carottes Vichy"/>
    <hyperlink ref="E62" location="'E-Pizza'!A1" display="Pizza"/>
    <hyperlink ref="G62" location="'P-Pavé de poisson sauce beurre'!A1" display="Pavé de poisson sauce beurre blanc"/>
    <hyperlink ref="I62" location="'G-Haricots plats'!A1" display="Haricots plats"/>
    <hyperlink ref="E63" location="'E-Salade de lentilles'!A1" display="Salade de lentilles"/>
    <hyperlink ref="G63" location="'P-Boudin noir aux pommes'!A1" display="Boudin noir aux pommes"/>
    <hyperlink ref="I63" location="'G-Pommes caramélisées'!A1" display="Pommes caramélisées"/>
    <hyperlink ref="E64" location="'E-Salade d'endives'!A1" display="Salade d'endives"/>
    <hyperlink ref="G64" location="'P-Cassoulet'!A1" display="Cassoulet"/>
    <hyperlink ref="E65" location="'E-Potage de féculents'!A1" display="Potage de féculents"/>
    <hyperlink ref="G65" location="'P-Œufs à la florentine'!A1" display="Œufs à la florentine"/>
    <hyperlink ref="E66" location="'E-Salade de haricots beurre'!A1" display="Salade de haricots beurre"/>
    <hyperlink ref="G66" location="'P-Parmentier de poisson'!A1" display="Parmentier de poisson"/>
    <hyperlink ref="E67" location="'E-Salade verte'!A1" display="Salade verte"/>
    <hyperlink ref="G67" location="'P-Flammekueche'!A1" display="Flammekueche"/>
    <hyperlink ref="I67" location="'G-Macédoine de légumes au beurr'!A1" display="Macédoine de légumes au beurre"/>
    <hyperlink ref="E68" location="'E-Pâté de campagne'!A1" display="Pâté de campagne"/>
    <hyperlink ref="G68" location="'P-Sauté de volaille'!A1" display="Sauté de volaille"/>
    <hyperlink ref="I68" location="'G-Petits pois'!A1" display="Petits pois"/>
    <hyperlink ref="E69" location="'E-Potage de légumes'!A1" display="Potage de légumes"/>
    <hyperlink ref="G69" location="'P-Jambonnette de volaille'!A1" display="Jambonnette de volaille"/>
    <hyperlink ref="I69" location="'G-Rösti'!A1" display="Rösti"/>
    <hyperlink ref="E70" location="'E-Betteraves vinaigrette'!A1" display="Betteraves vinaigrette"/>
    <hyperlink ref="G70" location="'P-Rôti de bœuf'!A1" display="Rôti de bœuf"/>
    <hyperlink ref="I70" location="'G-Riz pilaf'!A1" display="Riz pilaf"/>
    <hyperlink ref="E71" location="'E-Coleslaw'!A1" display="Coleslaw"/>
    <hyperlink ref="G71" location="'P-Pâtes au chorizo'!A1" display="Pâtes au chorizo"/>
    <hyperlink ref="E72" location="'E-Taboulé'!A1" display="Taboulé"/>
    <hyperlink ref="G72" location="'P-Paupiette de volaille'!A1" display="Paupiette de volaille"/>
    <hyperlink ref="I72" location="'G-Gratin de chou-fleur'!A1" display="Gratin de chou-fleur"/>
    <hyperlink ref="E73" location="'E-Salade d'endives'!A1" display="Salade d'endives"/>
    <hyperlink ref="G73" location="'P-Jambon blanc'!A1" display="Jambon blanc"/>
    <hyperlink ref="I73" location="'G-Pommes de terre rissolées'!A1" display="Pommes de terre rissolées"/>
    <hyperlink ref="E74" location="'E-Salade verte'!A1" display="Salade verte"/>
    <hyperlink ref="G74" location="'E-Crêpe salée jambon fromage'!A1" display="Crêpe salée jambon fromage"/>
    <hyperlink ref="K74" location="'D-Crêpes sucrées'!A1" display="Crêpes sucrées"/>
    <hyperlink ref="E75" location="'E-Potage de légumes'!A1" display="Potage de légumes"/>
    <hyperlink ref="G75" location="'E-Œuf mayonnaise'!A1" display="Œuf mayonnaise"/>
    <hyperlink ref="I75" location="'G-Salsifis'!A1" display="Salsifis"/>
    <hyperlink ref="E76" location="'E-Salade de lentilles'!A1" display="Salade de lentilles"/>
    <hyperlink ref="G76" location="'P-Sauté de veau'!A1" display="Sauté de veau"/>
    <hyperlink ref="I76" location="'G-Haricots verts'!A1" display="Haricots verts"/>
    <hyperlink ref="E77" location="'E-Betteraves vinaigrette'!A1" display="Betteraves vinaigrette"/>
    <hyperlink ref="G77" location="'P-Andouillette'!A1" display="Andouillette"/>
    <hyperlink ref="I77" location="'G-Pâtes au beurre'!A1" display="Pâtes au beurre"/>
    <hyperlink ref="E78" location="'E-Pâté aux olives'!A1" display="Pâté aux olives"/>
    <hyperlink ref="G78" location="'P-Tête de veau sauce gribiche'!A1" display="Tête de veau sauce gribiche"/>
    <hyperlink ref="I78" location="'G-Pommes de terre vapeur'!A1" display="Pommes de terre vapeur"/>
    <hyperlink ref="E79" location="'E-Potage de féculents'!A1" display="Potage de féculents"/>
    <hyperlink ref="G79" location="'P-Cordon bleu'!A1" display="Cordon bleu"/>
    <hyperlink ref="I79" location="'G-Brocolis'!A1" display="Brocolis"/>
    <hyperlink ref="E80" location="'E-Avocat vinaigrette ou mayonna'!A1" display="Avocat vinaigrette ou mayonnaise"/>
    <hyperlink ref="G80" location="'P-Pavé de poisson sauce beurre'!A1" display="Pavé de poisson sauce beurre blanc"/>
    <hyperlink ref="I80" location="'G-Riz pilaf'!A1" display="Riz pilaf"/>
    <hyperlink ref="E81" location="'E-Terrine de légumes'!A1" display="Terrine de légumes"/>
    <hyperlink ref="G81" location="'P-Quenelles de volaille sauce'!A1" display="Quenelles de volaille sauce"/>
    <hyperlink ref="I81" location="'G-Carottes Vichy'!A1" display="Carottes Vichy"/>
    <hyperlink ref="E82" location="'E-Salade de pâtes'!A1" display="Salade de pâtes"/>
    <hyperlink ref="G82" location="'P-Rôti de porc'!A1" display="Rôti de porc"/>
    <hyperlink ref="I82" location="'G-Chou romanesco'!A1" display="Chou romanesco"/>
    <hyperlink ref="E83" location="'E-Potage de légumes'!A1" display="Potage de légumes"/>
    <hyperlink ref="G83" location="'P-Lasagnes au bœuf'!A1" display="Lasagnes au bœuf"/>
    <hyperlink ref="E84" location="'E-Salade verte'!A1" display="Salade verte"/>
    <hyperlink ref="G84" location="'P-Daube de bœuf'!A1" display="Daube de bœuf"/>
    <hyperlink ref="I84" location="'G-Semoule'!A1" display="Semoule"/>
    <hyperlink ref="E85" location="'E-Carottes râpées'!A1" display="Carottes râpées"/>
    <hyperlink ref="G85" location="'P-Dos de colin meunière'!A1" display="Dos de colin meunière"/>
    <hyperlink ref="I85" location="'G-Râpé de pommes de terre'!A1" display="Râpé de pommes de terre"/>
    <hyperlink ref="E86" location="'E-Salade verte'!A1" display="Salade verte"/>
    <hyperlink ref="G86" location="'P-Sauté de lapin'!A1" display="Sauté de lapin"/>
    <hyperlink ref="I86" location="'G-Choux de Bruxelles'!A1" display="Choux de Bruxelles"/>
    <hyperlink ref="E87" location="'E-Salade de perles'!A1" display="Salade de perles"/>
    <hyperlink ref="G87" location="'P-Endives au jambon'!A1" display="Endives au jambon"/>
    <hyperlink ref="E88" location="'E-Coleslaw'!A1" display="Coleslaw"/>
    <hyperlink ref="G88" location="'P-Croziflette'!A1" display="Croziflette"/>
    <hyperlink ref="E89" location="'E-Potage de légumes'!A1" display="Potage de légumes"/>
    <hyperlink ref="G89" location="'P-Chipolatas'!A1" display="Chipolatas"/>
    <hyperlink ref="I89" location="'G-Haricots blancs'!A1" display="Haricots blancs"/>
    <hyperlink ref="E90" location="'E-Taboulé'!A1" display="Taboulé"/>
    <hyperlink ref="G90" location="'P-Escalope de dinde'!A1" display="Escalope de dinde"/>
    <hyperlink ref="I90" location="'G-Gratin de potimarron'!A1" display="Gratin de potimarron"/>
    <hyperlink ref="E91" location="'E-Macédoine mayonnaise'!A1" display="Macédoine mayonnaise"/>
    <hyperlink ref="G91" location="'P-Raviolis'!A1" display="Raviolis"/>
    <hyperlink ref="E92" location="'E-Salade de chou chinois'!A1" display="Salade de chou chinois"/>
    <hyperlink ref="G92" location="'P-Saucisse de Toulouse'!A1" display="Saucisse de Toulouse"/>
    <hyperlink ref="I92" location="'G-Aligot'!A1" display="Aligot"/>
    <hyperlink ref="E93" location="'E-Potage de féculents'!A1" display="Potage de féculents"/>
    <hyperlink ref="G93" location="'P-Œufs durs sauce béchamel'!A1" display="Œufs durs sauce béchamel"/>
    <hyperlink ref="I93" location="'G-Haricots beurre'!A1" display="Haricots beurre"/>
    <hyperlink ref="E94" location="'E-Mousse de canard'!A1" display="Mousse de canard"/>
    <hyperlink ref="G94" location="'P-Pavé de saumon'!A1" display="Pavé de saumon"/>
    <hyperlink ref="I94" location="'G-Chou romanesco'!A1" display="Chou romanesco"/>
    <hyperlink ref="E95" location="'E-Salade d'endives'!A1" display="Salade d'endives"/>
    <hyperlink ref="G95" location="'P-Chili con carne'!A1" display="Chili con carne"/>
    <hyperlink ref="E96" location="'E-Carottes râpées'!A1" display="Carottes râpées"/>
    <hyperlink ref="G96" location="'P-Flammekueche'!A1" display="Flammekueche"/>
    <hyperlink ref="E97" location="'E-Potage de légumes'!A1" display="Potage de légumes"/>
    <hyperlink ref="G97" location="'P-Pâtes carbonara'!A1" display="Pâtes carbonara"/>
    <hyperlink ref="E98" location="'E-Salade verte'!A1" display="Salade verte"/>
    <hyperlink ref="G98" location="'P-Rôti de veau'!A1" display="Rôti de veau"/>
    <hyperlink ref="I98" location="'G-Lentilles'!A1" display="Lentilles"/>
    <hyperlink ref="E99" location="'E-Salade de riz'!A1" display="Salade de riz"/>
    <hyperlink ref="G99" location="'E-Maquereaux à la moutarde'!A1" display="Maquereaux à la moutarde"/>
    <hyperlink ref="I99" location="'G-Poêlée de légumes'!A1" display="Poêlée de légumes"/>
    <hyperlink ref="E100" location="'E-Jambon cru'!A1" display="Jambon cru"/>
    <hyperlink ref="G100" location="'P-Pavé de poisson sauce beurre'!A1" display="Pavé de poisson sauce beurre blanc"/>
    <hyperlink ref="I100" location="'G-Épinards à la crème'!A1" display="Épinards à la crème"/>
    <hyperlink ref="E101" location="'E-Poireaux vinaigrette'!A1" display="Poireaux vinaigrette"/>
    <hyperlink ref="G101" location="'P-Escalope viennoise'!A1" display="Escalope viennoise"/>
    <hyperlink ref="I101" location="'G-Riz pilaf'!A1" display="Riz pilaf"/>
    <hyperlink ref="E102" location="'E-Avocat vinaigrette ou mayonna'!A1" display="Avocat vinaigrette ou mayonnaise"/>
    <hyperlink ref="G102" location="'P-Pot-au-feu'!A1" display="Pot-au-feu"/>
    <hyperlink ref="E103" location="'E-Potage de légumes'!A1" display="Potage de légumes"/>
    <hyperlink ref="G103" location="'P-Pâtes bolognaise'!A1" display="Pâtes bolognaise"/>
    <hyperlink ref="E104" location="'E-Feuilleté'!A1" display="Feuilleté"/>
    <hyperlink ref="G104" location="'P-Suprême de volaille'!A1" display="Suprême de volaille"/>
    <hyperlink ref="I104" location="'G-Petits pois'!A1" display="Petits pois"/>
    <hyperlink ref="E105" location="'E-Taboulé'!A1" display="Taboulé"/>
    <hyperlink ref="G105" location="'P-Langue de bœuf sauce piquante'!A1" display="Langue de bœuf sauce piquante"/>
    <hyperlink ref="I105" location="'G-Côtes de blettes'!A1" display="Côtes de blettes"/>
    <hyperlink ref="E106" location="'E-Salade d'endives'!A1" display="Salade d'endives"/>
    <hyperlink ref="G106" location="'P-Choucroute garnie'!A1" display="Choucroute garnie"/>
    <hyperlink ref="E107" location="'E-Potage de féculents'!A1" display="Potage de féculents"/>
    <hyperlink ref="G107" location="'P-Mortadelle'!A1" display="Mortadelle"/>
    <hyperlink ref="I107" location="'G-Carottes Vichy'!A1" display="Carottes Vichy"/>
    <hyperlink ref="E108" location="'E-Salade mexicaine'!A1" display="Salade mexicaine"/>
    <hyperlink ref="G108" location="'P-Gratin de poisson'!A1" display="Gratin de poisson"/>
    <hyperlink ref="I108" location="'G-Haricots verts'!A1" display="Haricots verts"/>
    <hyperlink ref="E109" location="'E-Salade verte'!A1" display="Salade verte"/>
    <hyperlink ref="G109" location="'E-Quiche lorraine'!A1" display="Quiche lorraine"/>
    <hyperlink ref="I109" location="'G-Pâtes au beurre'!A1" display="Pâtes au beurre"/>
    <hyperlink ref="E110" location="'E-Pamplemousse'!A1" display="Pamplemousse"/>
    <hyperlink ref="G110" location="'P-Escalope de veau'!A1" display="Escalope de veau"/>
    <hyperlink ref="I110" location="'G-Pommes de terre boulangère'!A1" display="Pommes de terre boulangère"/>
    <hyperlink ref="E111" location="'E-Potage de légumes'!A1" display="Potage de légumes"/>
    <hyperlink ref="G111" location="'P-Nuggets de poulet'!A1" display="Nuggets de poulet"/>
    <hyperlink ref="I111" location="'G-Salsifis'!A1" display="Salsifis"/>
    <hyperlink ref="E112" location="'E-Salade verte'!A1" display="Salade verte"/>
    <hyperlink ref="G112" location="'P-Paupiette de veau sauce tomat'!A1" display="Paupiette de veau sauce tomate"/>
    <hyperlink ref="I112" location="'G-Riz pilaf'!A1" display="Riz pilaf"/>
    <hyperlink ref="E113" location="'E-Betteraves vinaigrette'!A1" display="Betteraves vinaigrette"/>
    <hyperlink ref="G113" location="'P-Jambon blanc'!A1" display="Jambon blanc"/>
    <hyperlink ref="I113" location="'G-Rösti'!A1" display="Rösti"/>
    <hyperlink ref="E114" location="'E-Feuilleté'!A1" display="Feuilleté"/>
    <hyperlink ref="G114" location="'P-Escalope de porc'!A1" display="Escalope de porc"/>
    <hyperlink ref="I114" location="'G-Petits pois carottes'!A1" display="Petits pois carottes"/>
    <hyperlink ref="E115" location="'E-Salade verte'!A1" display="Salade verte"/>
    <hyperlink ref="G115" location="'P-Lasagnes au bœuf'!A1" display="Lasagnes au bœuf"/>
    <hyperlink ref="E116" location="'E-Betteraves vinaigrette'!A1" display="Betteraves vinaigrette"/>
    <hyperlink ref="G116" location="'P-Steak de bœuf'!A1" display="Steak de bœuf"/>
    <hyperlink ref="I116" location="'G-Gratin dauphinois'!A1" display="Gratin dauphinois"/>
    <hyperlink ref="E117" location="'E-Potage de légumes'!A1" display="Potage de légumes"/>
    <hyperlink ref="G117" location="'P-Rôti de dinde'!A1" display="Rôti de dinde"/>
    <hyperlink ref="I117" location="'G-Riz pilaf'!A1" display="Riz pilaf"/>
    <hyperlink ref="E118" location="'E-Terrine de légumes'!A1" display="Terrine de légumes"/>
    <hyperlink ref="G118" location="'P-Tripoux'!A1" display="Tripoux"/>
    <hyperlink ref="I118" location="'G-Semoule'!A1" display="Semoule"/>
    <hyperlink ref="E119" location="'E-Salade de pois chiches'!A1" display="Salade de pois chiches"/>
    <hyperlink ref="G119" location="'E-Pizza'!A1" display="Pizza"/>
    <hyperlink ref="I119" location="'E-Salade verte'!A1" display="Salade verte"/>
    <hyperlink ref="E120" location="'E-Salade de riz'!A1" display="Salade de riz"/>
    <hyperlink ref="G120" location="'P-Chou farci'!A1" display="Chou farci"/>
    <hyperlink ref="E121" location="'E-Potage de légumes'!A1" display="Potage de légumes"/>
    <hyperlink ref="G121" location="'P-Hachis parmentier'!A1" display="Hachis parmentier"/>
    <hyperlink ref="E122" location="'E-Rosette'!A1" display="Rosette"/>
    <hyperlink ref="G122" location="'P-Dos de cabillaud'!A1" display="Dos de cabillaud"/>
    <hyperlink ref="I122" location="'G-Fondue de poireaux'!A1" display="Fondue de poireaux"/>
    <hyperlink ref="E123" location="'E-Carottes râpées'!A1" display="Carottes râpées"/>
    <hyperlink ref="G123" location="'P-Boulettes de bœuf sauce tomat'!A1" display="Boulettes de bœuf sauce tomate"/>
    <hyperlink ref="I123" location="'G-Perles'!A1" display="Perles"/>
    <hyperlink ref="E124" location="'E-Céleri rémoulade'!A1" display="Céleri rémoulade"/>
    <hyperlink ref="G124" location="'P-Saucisse de Toulouse'!A1" display="Saucisse de Toulouse"/>
    <hyperlink ref="I124" location="'G-Flageolets'!A1" display="Flageolets"/>
    <hyperlink ref="E125" location="'E-Potage de légumes'!A1" display="Potage de légumes"/>
    <hyperlink ref="G125" location="'E-Pâté de campagne'!A1" display="Pâté de campagne"/>
    <hyperlink ref="I125" location="'G-Brocolis'!A1" display="Brocolis"/>
    <hyperlink ref="E126" location="'E-Feuilleté'!A1" display="Feuilleté"/>
    <hyperlink ref="G126" location="'P-Cuisse de poulet rôtie'!A1" display="Cuisse de poulet rôtie"/>
    <hyperlink ref="I126" location="'G-Haricots verts'!A1" display="Haricots verts"/>
    <hyperlink ref="E127" location="'E-Salade de chou-fleur'!A1" display="Salade de chou-fleur"/>
    <hyperlink ref="G127" location="'P-Dos de colin bordelaise'!A1" display="Dos de colin bordelaise"/>
    <hyperlink ref="I127" location="'G-Pommes dauphine'!A1" display="Pommes dauphine"/>
    <hyperlink ref="E128" location="'E-Pâté en croûte'!A1" display="Pâté en croûte"/>
    <hyperlink ref="G128" location="'P-Rôti de veau'!A1" display="Rôti de veau"/>
    <hyperlink ref="I128" location="'G-Choux de Bruxelles'!A1" display="Choux de Bruxelles"/>
    <hyperlink ref="E129" location="'E-Poireaux vinaigrette'!A1" display="Poireaux vinaigrette"/>
    <hyperlink ref="G129" location="'P-Poisson pané'!A1" display="Poisson pané"/>
    <hyperlink ref="I129" location="'G-Pommes de terre rissolées'!A1" display="Pommes de terre rissolées"/>
    <hyperlink ref="E130" location="'E-Salade verte'!A1" display="Salade verte"/>
    <hyperlink ref="G130" location="'P-Hamburger'!A1" display="Hamburger"/>
    <hyperlink ref="I130" location="'G-Frites'!A1" display="Frites"/>
    <hyperlink ref="E131" location="'E-Potage de légumes'!A1" display="Potage de légumes"/>
    <hyperlink ref="G131" location="'P-Aiguillettes de poulet aux cè'!A1" display="Aiguillettes de poulet aux cèpes"/>
    <hyperlink ref="I131" location="'G-Carottes Vichy'!A1" display="Carottes Vichy"/>
    <hyperlink ref="E132" location="'E-Pizza'!A1" display="Pizza"/>
    <hyperlink ref="G132" location="'P-Pavé de poisson sauce beurre'!A1" display="Pavé de poisson sauce beurre blanc"/>
    <hyperlink ref="I132" location="'G-Haricots plats'!A1" display="Haricots plats"/>
    <hyperlink ref="E133" location="'E-Salade de lentilles'!A1" display="Salade de lentilles"/>
    <hyperlink ref="G133" location="'P-Boudin noir aux pommes'!A1" display="Boudin noir aux pommes"/>
    <hyperlink ref="I133" location="'G-Pommes caramélisées'!A1" display="Pommes caramélisées"/>
    <hyperlink ref="E134" location="'E-Salade d'endives'!A1" display="Salade d'endives"/>
    <hyperlink ref="G134" location="'P-Cassoulet'!A1" display="Cassoulet"/>
    <hyperlink ref="E135" location="'E-Potage de féculents'!A1" display="Potage de féculents"/>
    <hyperlink ref="G135" location="'P-Œufs à la florentine'!A1" display="Œufs à la florentine"/>
    <hyperlink ref="E136" location="'E-Salade de haricots beurre'!A1" display="Salade de haricots beurre"/>
    <hyperlink ref="G136" location="'P-Parmentier de poisson'!A1" display="Parmentier de poisson"/>
    <hyperlink ref="E137" location="'E-Salade verte'!A1" display="Salade verte"/>
    <hyperlink ref="G137" location="'P-Flammekueche'!A1" display="Flammekueche"/>
    <hyperlink ref="I137" location="'G-Macédoine de légumes au beurr'!A1" display="Macédoine de légumes au beurre"/>
    <hyperlink ref="E138" location="'E-Pâté de campagne'!A1" display="Pâté de campagne"/>
    <hyperlink ref="G138" location="'P-Sauté de volaille'!A1" display="Sauté de volaille"/>
    <hyperlink ref="I138" location="'G-Petits pois'!A1" display="Petits pois"/>
    <hyperlink ref="E139" location="'E-Potage de légumes'!A1" display="Potage de légumes"/>
    <hyperlink ref="G139" location="'P-Jambonnette de volaille'!A1" display="Jambonnette de volaille"/>
    <hyperlink ref="I139" location="'G-Rösti'!A1" display="Rösti"/>
    <hyperlink ref="E140" location="'E-Betteraves vinaigrette'!A1" display="Betteraves vinaigrette"/>
    <hyperlink ref="G140" location="'P-Rôti de bœuf'!A1" display="Rôti de bœuf"/>
    <hyperlink ref="I140" location="'G-Riz pilaf'!A1" display="Riz pilaf"/>
    <hyperlink ref="E141" location="'E-Coleslaw'!A1" display="Coleslaw"/>
    <hyperlink ref="G141" location="'P-Pâtes au chorizo'!A1" display="Pâtes au chorizo"/>
    <hyperlink ref="E142" location="'E-Taboulé'!A1" display="Taboulé"/>
    <hyperlink ref="G142" location="'P-Paupiette de volaille'!A1" display="Paupiette de volaille"/>
    <hyperlink ref="I142" location="'G-Gratin de chou-fleur'!A1" display="Gratin de chou-fleur"/>
    <hyperlink ref="E143" location="'E-Salade d'endives'!A1" display="Salade d'endives"/>
    <hyperlink ref="G143" location="'P-Jambon blanc'!A1" display="Jambon blanc"/>
    <hyperlink ref="I143" location="'G-Pommes de terre rissolées'!A1" display="Pommes de terre rissolées"/>
    <hyperlink ref="E144" location="'E-Pamplemousse'!A1" display="Pamplemousse"/>
    <hyperlink ref="G144" location="'P-Tartiflette'!A1" display="Tartiflette"/>
    <hyperlink ref="E145" location="'E-Potage de légumes'!A1" display="Potage de légumes"/>
    <hyperlink ref="G145" location="'E-Œuf mayonnaise'!A1" display="Œuf mayonnaise"/>
    <hyperlink ref="I145" location="'G-Salsifis'!A1" display="Salsifis"/>
    <hyperlink ref="E146" location="'E-Salade de lentilles'!A1" display="Salade de lentilles"/>
    <hyperlink ref="G146" location="'P-Sauté de veau'!A1" display="Sauté de veau"/>
    <hyperlink ref="I146" location="'G-Haricots verts'!A1" display="Haricots verts"/>
    <hyperlink ref="E147" location="'E-Betteraves vinaigrette'!A1" display="Betteraves vinaigrette"/>
    <hyperlink ref="G147" location="'P-Andouillette'!A1" display="Andouillette"/>
    <hyperlink ref="I147" location="'G-Pâtes au beurre'!A1" display="Pâtes au beurre"/>
    <hyperlink ref="E148" location="'E-Avocat vinaigrette ou mayonna'!A1" display="Avocat vinaigrette ou mayonnaise"/>
    <hyperlink ref="G148" location="'P-Tête de veau sauce gribiche'!A1" display="Tête de veau sauce gribiche"/>
    <hyperlink ref="I148" location="'G-Pommes de terre vapeur'!A1" display="Pommes de terre vapeur"/>
    <hyperlink ref="E149" location="'E-Potage de féculents'!A1" display="Potage de féculents"/>
    <hyperlink ref="G149" location="'P-Cordon bleu'!A1" display="Cordon bleu"/>
    <hyperlink ref="I149" location="'G-Brocolis'!A1" display="Brocolis"/>
    <hyperlink ref="E150" location="'E-Pâté aux olives'!A1" display="Pâté aux olives"/>
    <hyperlink ref="G150" location="'P-Pavé de poisson sauce beurre'!A1" display="Pavé de poisson sauce beurre blanc"/>
    <hyperlink ref="I150" location="'G-Riz pilaf'!A1" display="Riz pilaf"/>
    <hyperlink ref="E151" location="'E-Terrine de légumes'!A1" display="Terrine de légumes"/>
    <hyperlink ref="G151" location="'P-Quenelles de volaille sauce'!A1" display="Quenelles de volaille sauce"/>
    <hyperlink ref="I151" location="'G-Carottes Vichy'!A1" display="Carottes Vichy"/>
    <hyperlink ref="E152" location="'E-Salade de pâtes'!A1" display="Salade de pâtes"/>
    <hyperlink ref="G152" location="'P-Rôti de porc'!A1" display="Rôti de porc"/>
    <hyperlink ref="I152" location="'G-Chou romanesco'!A1" display="Chou romanesco"/>
    <hyperlink ref="E153" location="'E-Potage de légumes'!A1" display="Potage de légumes"/>
    <hyperlink ref="G153" location="'P-Lasagnes au bœuf'!A1" display="Lasagnes au bœuf"/>
    <hyperlink ref="E154" location="'E-Salade verte'!A1" display="Salade verte"/>
    <hyperlink ref="G154" location="'P-Daube de bœuf'!A1" display="Daube de bœuf"/>
    <hyperlink ref="I154" location="'G-Semoule'!A1" display="Semoule"/>
    <hyperlink ref="E155" location="'E-Carottes râpées'!A1" display="Carottes râpées"/>
    <hyperlink ref="G155" location="'P-Dos de colin meunière'!A1" display="Dos de colin meunière"/>
    <hyperlink ref="I155" location="'G-Râpé de pommes de terre'!A1" display="Râpé de pommes de terre"/>
    <hyperlink ref="E156" location="'E-Salade verte'!A1" display="Salade verte"/>
    <hyperlink ref="G156" location="'P-Sauté de lapin'!A1" display="Sauté de lapin"/>
    <hyperlink ref="I156" location="'G-Choux de Bruxelles'!A1" display="Choux de Bruxelles"/>
    <hyperlink ref="E157" location="'E-Salade de perles'!A1" display="Salade de perles"/>
    <hyperlink ref="G157" location="'P-Endives au jambon'!A1" display="Endives au jambon"/>
    <hyperlink ref="E158" location="'E-Coleslaw'!A1" display="Coleslaw"/>
    <hyperlink ref="G158" location="'P-Croziflette'!A1" display="Croziflette"/>
    <hyperlink ref="E159" location="'E-Potage de légumes'!A1" display="Potage de légumes"/>
    <hyperlink ref="G159" location="'P-Chipolatas'!A1" display="Chipolatas"/>
    <hyperlink ref="I159" location="'G-Haricots blancs'!A1" display="Haricots blancs"/>
    <hyperlink ref="E160" location="'E-Taboulé'!A1" display="Taboulé"/>
    <hyperlink ref="G160" location="'P-Escalope de dinde'!A1" display="Escalope de dinde"/>
    <hyperlink ref="I160" location="'G-Gratin de potimarron'!A1" display="Gratin de potimarron"/>
    <hyperlink ref="E161" location="'E-Macédoine mayonnaise'!A1" display="Macédoine mayonnaise"/>
    <hyperlink ref="G161" location="'P-Raviolis'!A1" display="Raviolis"/>
    <hyperlink ref="E162" location="'E-Salade de chou chinois'!A1" display="Salade de chou chinois"/>
    <hyperlink ref="G162" location="'P-Saucisse de Toulouse'!A1" display="Saucisse de Toulouse"/>
    <hyperlink ref="I162" location="'G-Aligot'!A1" display="Aligot"/>
    <hyperlink ref="E163" location="'E-Potage de féculents'!A1" display="Potage de féculents"/>
    <hyperlink ref="G163" location="'P-Œufs durs sauce béchamel'!A1" display="Œufs durs sauce béchamel"/>
    <hyperlink ref="I163" location="'G-Haricots beurre'!A1" display="Haricots beurre"/>
    <hyperlink ref="E164" location="'E-Mousse de canard'!A1" display="Mousse de canard"/>
    <hyperlink ref="G164" location="'P-Pavé de saumon'!A1" display="Pavé de saumon"/>
    <hyperlink ref="I164" location="'G-Chou romanesco'!A1" display="Chou romanesco"/>
    <hyperlink ref="E165" location="'E-Salade d'endives'!A1" display="Salade d'endives"/>
    <hyperlink ref="G165" location="'P-Chili con carne'!A1" display="Chili con carne"/>
    <hyperlink ref="E166" location="'E-Carottes râpées'!A1" display="Carottes râpées"/>
    <hyperlink ref="G166" location="'P-Flammekueche'!A1" display="Flammekueche"/>
    <hyperlink ref="E167" location="'E-Potage de légumes'!A1" display="Potage de légumes"/>
    <hyperlink ref="G167" location="'P-Pâtes carbonara'!A1" display="Pâtes carbonara"/>
    <hyperlink ref="E168" location="'E-Salade verte'!A1" display="Salade verte"/>
    <hyperlink ref="G168" location="'P-Rôti de veau'!A1" display="Rôti de veau"/>
    <hyperlink ref="I168" location="'G-Lentilles'!A1" display="Lentilles"/>
    <hyperlink ref="E169" location="'E-Salade de riz'!A1" display="Salade de riz"/>
    <hyperlink ref="G169" location="'E-Maquereaux à la moutarde'!A1" display="Maquereaux à la moutarde"/>
    <hyperlink ref="I169" location="'G-Poêlée de légumes'!A1" display="Poêlée de légumes"/>
    <hyperlink ref="E170" location="'E-Jambon cru'!A1" display="Jambon cru"/>
    <hyperlink ref="G170" location="'P-Pavé de poisson sauce beurre'!A1" display="Pavé de poisson sauce beurre blanc"/>
    <hyperlink ref="I170" location="'G-Épinards à la crème'!A1" display="Épinards à la crème"/>
    <hyperlink ref="E171" location="'E-Poireaux vinaigrette'!A1" display="Poireaux vinaigrette"/>
    <hyperlink ref="G171" location="'P-Escalope viennoise'!A1" display="Escalope viennoise"/>
    <hyperlink ref="I171" location="'G-Riz pilaf'!A1" display="Riz pilaf"/>
    <hyperlink ref="E172" location="'E-Avocat vinaigrette ou mayonna'!A1" display="Avocat vinaigrette ou mayonnaise"/>
    <hyperlink ref="G172" location="'P-Pot-au-feu'!A1" display="Pot-au-feu"/>
    <hyperlink ref="E173" location="'E-Potage de légumes'!A1" display="Potage de légumes"/>
    <hyperlink ref="G173" location="'P-Pâtes bolognaise'!A1" display="Pâtes bolognaise"/>
    <hyperlink ref="E174" location="'E-Feuilleté'!A1" display="Feuilleté"/>
    <hyperlink ref="G174" location="'P-Suprême de volaille'!A1" display="Suprême de volaille"/>
    <hyperlink ref="I174" location="'G-Petits pois'!A1" display="Petits pois"/>
    <hyperlink ref="E175" location="'E-Taboulé'!A1" display="Taboulé"/>
    <hyperlink ref="G175" location="'P-Langue de bœuf sauce piquante'!A1" display="Langue de bœuf sauce piquante"/>
    <hyperlink ref="I175" location="'G-Côtes de blettes'!A1" display="Côtes de blettes"/>
    <hyperlink ref="E176" location="'E-Salade d'endives'!A1" display="Salade d'endives"/>
    <hyperlink ref="G176" location="'P-Choucroute garnie'!A1" display="Choucroute garnie"/>
    <hyperlink ref="E177" location="'E-Potage de féculents'!A1" display="Potage de féculents"/>
    <hyperlink ref="G177" location="'P-Mortadelle'!A1" display="Mortadelle"/>
    <hyperlink ref="I177" location="'G-Carottes Vichy'!A1" display="Carottes Vichy"/>
    <hyperlink ref="E178" location="'E-Salade mexicaine'!A1" display="Salade mexicaine"/>
    <hyperlink ref="G178" location="'P-Gratin de poisson'!A1" display="Gratin de poisson"/>
    <hyperlink ref="I178" location="'G-Haricots verts'!A1" display="Haricots verts"/>
    <hyperlink ref="E179" location="'E-Salade verte'!A1" display="Salade verte"/>
    <hyperlink ref="G179" location="'E-Quiche lorraine'!A1" display="Quiche lorraine"/>
    <hyperlink ref="I179" location="'G-Pâtes au beurre'!A1" display="Pâtes au beurre"/>
    <hyperlink ref="E180" location="'E-Pamplemousse'!A1" display="Pamplemousse"/>
    <hyperlink ref="G180" location="'P-Escalope de veau'!A1" display="Escalope de veau"/>
    <hyperlink ref="I180" location="'G-Pommes de terre boulangère'!A1" display="Pommes de terre boulangère"/>
    <hyperlink ref="E181" location="'E-Potage de légumes'!A1" display="Potage de légumes"/>
    <hyperlink ref="G181" location="'P-Nuggets de poulet'!A1" display="Nuggets de poulet"/>
    <hyperlink ref="I181" location="'G-Salsifis'!A1" display="Salsifis"/>
    <hyperlink ref="E182" location="'E-Salade verte'!A1" display="Salade verte"/>
    <hyperlink ref="G182" location="'P-Paupiette de volaille'!A1" display="Paupiette de volaille"/>
    <hyperlink ref="I182" location="'G-Riz pilaf'!A1" display="Riz pilaf"/>
    <hyperlink ref="E183" location="'E-Betteraves vinaigrette'!A1" display="Betteraves vinaigrette"/>
    <hyperlink ref="G183" location="'P-Jambon blanc'!A1" display="Jambon blanc"/>
    <hyperlink ref="I183" location="'G-Pommes duchesse'!A1" display="Pommes duchesse"/>
    <hyperlink ref="E184" location="'E-Feuilleté'!A1" display="Feuilleté"/>
    <hyperlink ref="G184" location="'P-Escalope de porc'!A1" display="Escalope de porc"/>
    <hyperlink ref="I184" location="'G-Petits pois carottes'!A1" display="Petits pois carottes"/>
    <hyperlink ref="E185" location="'E-Salade verte'!A1" display="Salade verte"/>
    <hyperlink ref="G185" location="'P-Omelette'!A1" display="Omelette"/>
    <hyperlink ref="I185" location="'G-Pommes de terre rissolées'!A1" display="Pommes de terre rissolées"/>
    <hyperlink ref="K185" location="'D-Compote de fruits (fruit cuit'!A1" display="Compote de fruits (fruit cuit)"/>
    <hyperlink ref="E186" location="'E-Salade de chou chinois'!A1" display="Salade de chou chinois"/>
    <hyperlink ref="G186" location="'P-Steak de bœuf'!A1" display="Steak de bœuf"/>
    <hyperlink ref="I186" location="'G-Gratin dauphinois'!A1" display="Gratin dauphinois"/>
    <hyperlink ref="E187" location="'E-Potage de légumes'!A1" display="Potage de légumes"/>
    <hyperlink ref="G187" location="'P-Rôti de dinde'!A1" display="Rôti de dinde"/>
    <hyperlink ref="I187" location="'G-Riz pilaf'!A1" display="Riz pilaf"/>
    <hyperlink ref="E188" location="'E-Avocat vinaigrette ou mayonna'!A1" display="Avocat vinaigrette ou mayonnaise"/>
    <hyperlink ref="G188" location="'P-Tripoux'!A1" display="Tripoux"/>
    <hyperlink ref="I188" location="'G-Semoule'!A1" display="Semoule"/>
    <hyperlink ref="K188" location="'D-Compote de fruits (fruit cuit'!A1" display="Compote de fruits (fruit cuit)"/>
    <hyperlink ref="E189" location="'E-Salade de pois chiches'!A1" display="Salade de pois chiches"/>
    <hyperlink ref="G189" location="'E-Pizza'!A1" display="Pizza"/>
    <hyperlink ref="I189" location="'E-Salade verte'!A1" display="Salade verte"/>
    <hyperlink ref="K189" location="'D-Compote de fruits (fruit cuit'!A1" display="Compote de fruits (fruit cuit)"/>
    <hyperlink ref="E190" location="'E-Salade de riz'!A1" display="Salade de riz"/>
    <hyperlink ref="G190" location="'P-Chou farci'!A1" display="Chou farci"/>
    <hyperlink ref="E191" location="'E-Potage de légumes'!A1" display="Potage de légumes"/>
    <hyperlink ref="G191" location="'P-Hachis parmentier'!A1" display="Hachis parmentier"/>
    <hyperlink ref="E192" location="'E-Rosette'!A1" display="Rosette"/>
    <hyperlink ref="G192" location="'P-Dos de cabillaud'!A1" display="Dos de cabillaud"/>
    <hyperlink ref="I192" location="'G-Fondue de poireaux'!A1" display="Fondue de poireaux"/>
    <hyperlink ref="E193" location="'E-Salade d'endives'!A1" display="Salade d'endives"/>
    <hyperlink ref="G193" location="'P-Boulettes de bœuf sauce tomat'!A1" display="Boulettes de bœuf sauce tomate"/>
    <hyperlink ref="I193" location="'G-Perles'!A1" display="Perles"/>
    <hyperlink ref="K193" location="'D-Compote de fruits (fruit cuit'!A1" display="Compote de fruits (fruit cuit)"/>
    <hyperlink ref="E194" location="'E-Céleri rémoulade'!A1" display="Céleri rémoulade"/>
    <hyperlink ref="G194" location="'P-Navarin d'agneau'!A1" display="Navarin d'agneau"/>
    <hyperlink ref="I194" location="'G-Flageolets'!A1" display="Flageolets"/>
    <hyperlink ref="E195" location="'E-Potage de légumes'!A1" display="Potage de légumes"/>
    <hyperlink ref="G195" location="'E-Pâté de campagne'!A1" display="Pâté de campagne"/>
    <hyperlink ref="I195" location="'G-Brocolis'!A1" display="Brocolis"/>
    <hyperlink ref="E196" location="'E-Feuilleté'!A1" display="Feuilleté"/>
    <hyperlink ref="G196" location="'P-Cuisse de poulet rôtie'!A1" display="Cuisse de poulet rôtie"/>
    <hyperlink ref="I196" location="'G-Haricots verts'!A1" display="Haricots verts"/>
    <hyperlink ref="E197" location="'E-Salade de chou-fleur'!A1" display="Salade de chou-fleur"/>
    <hyperlink ref="G197" location="'P-Dos de colin bordelaise'!A1" display="Dos de colin bordelaise"/>
    <hyperlink ref="I197" location="'G-Pommes dauphine'!A1" display="Pommes dauphine"/>
    <hyperlink ref="E198" location="'E-Saucisse sèche'!A1" display="Saucisse sèche"/>
    <hyperlink ref="G198" location="'P-Steak de bœuf'!A1" display="Steak de bœuf"/>
    <hyperlink ref="I198" location="'G-Purée de patate douce'!A1" display="Purée de patate douce"/>
    <hyperlink ref="G199" location="'E-Salade de pâtes'!A1" display="Salade de pâtes"/>
    <hyperlink ref="E200" location="'E-Betteraves vinaigrette'!A1" display="Betteraves vinaigrette"/>
    <hyperlink ref="G200" location="'P-Calamars à la provençale'!A1" display="Calamars à la provençale"/>
    <hyperlink ref="I200" location="'G-Riz pilaf'!A1" display="Riz pilaf"/>
    <hyperlink ref="E201" location="'E-Salade verte'!A1" display="Salade verte"/>
    <hyperlink ref="G201" location="'E-Croque-monsieur'!A1" display="Croque-monsieur"/>
    <hyperlink ref="E202" location="'E-Salade de pommes de terre'!A1" display="Salade de pommes de terre"/>
    <hyperlink ref="G202" location="'P-Rôti de veau'!A1" display="Rôti de veau"/>
    <hyperlink ref="I202" location="'G-Flan de légumes'!A1" display="Flan de légumes"/>
    <hyperlink ref="E203" location="'G-Macédoine de légumes au beurr'!A1" display="Macédoine de légumes au beurre"/>
    <hyperlink ref="G203" location="'P-Jambon braisé'!A1" display="Jambon braisé"/>
    <hyperlink ref="I203" location="'G-Rösti'!A1" display="Rösti"/>
    <hyperlink ref="E204" location="'E-Carottes râpées'!A1" display="Carottes râpées"/>
    <hyperlink ref="G204" location="'P-Bœuf bourguignon'!A1" display="Bœuf bourguignon"/>
    <hyperlink ref="I204" location="'G-Pâtes au beurre'!A1" display="Pâtes au beurre"/>
    <hyperlink ref="E205" location="'E-Salade de pois chiches'!A1" display="Salade de pois chiches"/>
    <hyperlink ref="G205" location="'P-Carbonnade flamande'!A1" display="Carbonnade flamande"/>
    <hyperlink ref="E206" location="'E-Taboulé'!A1" display="Taboulé"/>
    <hyperlink ref="G206" location="'P-Pavé de poisson sauce beurre'!A1" display="Pavé de poisson sauce beurre blanc"/>
    <hyperlink ref="I206" location="'G-Jardinière de légumes'!A1" display="Jardinière de légumes"/>
    <hyperlink ref="E207" location="'E-Salade verte'!A1" display="Salade verte"/>
    <hyperlink ref="G207" location="'E-Quiche lorraine'!A1" display="Quiche lorraine"/>
    <hyperlink ref="E208" location="'E-Betteraves vinaigrette'!A1" display="Betteraves vinaigrette"/>
    <hyperlink ref="G208" location="'P-Rôti de bœuf'!A1" display="Rôti de bœuf"/>
    <hyperlink ref="I208" location="'G-Gnocchis'!A1" display="Gnocchis"/>
    <hyperlink ref="E209" location="'E-Feuilleté'!A1" display="Feuilleté"/>
    <hyperlink ref="G209" location="'P-Moussaka'!A1" display="Moussaka"/>
    <hyperlink ref="E210" location="'E-Crêpe salée jambon fromage'!A1" display="Crêpe salée jambon fromage"/>
    <hyperlink ref="G210" location="'P-Petit salé aux lentilles'!A1" display="Petit salé aux lentilles"/>
    <hyperlink ref="I210" location="'G-Lentilles'!A1" display="Lentilles"/>
    <hyperlink ref="E211" location="'E-Salade verte'!A1" display="Salade verte"/>
    <hyperlink ref="G211" location="'P-Brandade de morue'!A1" display="Brandade de morue"/>
    <hyperlink ref="E212" location="'E-Salade mexicaine'!A1" display="Salade mexicaine"/>
    <hyperlink ref="G212" location="'P-Cuisse de lapin à la moutarde'!A1" display="Cuisse de lapin à la moutarde"/>
    <hyperlink ref="I212" location="'G-Salsifis'!A1" display="Salsifis"/>
    <hyperlink ref="E213" location="'E-Salade de tomates'!A1" display="Salade de tomates"/>
    <hyperlink ref="G213" location="'P-Cordon bleu'!A1" display="Cordon bleu"/>
    <hyperlink ref="I213" location="'G-Pâtes au beurre'!A1" display="Pâtes au beurre"/>
    <hyperlink ref="E214" location="'E-Salade verte'!A1" display="Salade verte"/>
    <hyperlink ref="G214" location="'P-Tête de veau sauce gribiche'!A1" display="Tête de veau sauce gribiche"/>
    <hyperlink ref="I214" location="'G-Pommes de terre vapeur'!A1" display="Pommes de terre vapeur"/>
    <hyperlink ref="E215" location="'E-Salade de riz'!A1" display="Salade de riz"/>
    <hyperlink ref="G215" location="'P-Omelette'!A1" display="Omelette"/>
    <hyperlink ref="I215" location="'G-Haricots beurre'!A1" display="Haricots beurre"/>
    <hyperlink ref="E216" location="'E-Pizza'!A1" display="Pizza"/>
    <hyperlink ref="G216" location="'P-Rôti de porc'!A1" display="Rôti de porc"/>
    <hyperlink ref="I216" location="'G-Carottes Vichy'!A1" display="Carottes Vichy"/>
    <hyperlink ref="E217" location="'E-Asperges vinaigrette'!A1" display="Asperges vinaigrette"/>
    <hyperlink ref="G217" location="'P-Merguez'!A1" display="Merguez"/>
    <hyperlink ref="I217" location="'G-Semoule'!A1" display="Semoule"/>
    <hyperlink ref="E218" location="'E-Râpé de courgettes'!A1" display="Râpé de courgettes"/>
    <hyperlink ref="G218" location="'P-Steak de bœuf'!A1" display="Steak de bœuf"/>
    <hyperlink ref="I218" location="'G-Gratin dauphinois'!A1" display="Gratin dauphinois"/>
    <hyperlink ref="E219" location="'E-Salade de lentilles'!A1" display="Salade de lentilles"/>
    <hyperlink ref="G219" location="'P-Quenelles de volaille sauce'!A1" display="Quenelles de volaille sauce"/>
    <hyperlink ref="I219" location="'G-Brocolis'!A1" display="Brocolis"/>
    <hyperlink ref="E220" location="'E-Rillettes de canard'!A1" display="Rillettes de canard"/>
    <hyperlink ref="G220" location="'P-Lasagnes saumon épinards'!A1" display="Lasagnes saumon épinards"/>
    <hyperlink ref="E221" location="'E-Salade verte'!A1" display="Salade verte"/>
    <hyperlink ref="G221" location="'P-Jambon à la russe'!A1" display="Jambon à la russe"/>
    <hyperlink ref="E222" location="'E-Salade de chou-fleur'!A1" display="Salade de chou-fleur"/>
    <hyperlink ref="G222" location="'P-Poulet basquaise'!A1" display="Poulet basquaise"/>
    <hyperlink ref="I222" location="'G-Riz pilaf'!A1" display="Riz pilaf"/>
    <hyperlink ref="E223" location="'E-Salade de pois chiches'!A1" display="Salade de pois chiches"/>
    <hyperlink ref="I223" location="'P-Rosbif froid'!A1" display="Rosbif froid"/>
    <hyperlink ref="E224" location="'E-Salade de pâtes'!A1" display="Salade de pâtes"/>
    <hyperlink ref="G224" location="'P-Escalope de porc'!A1" display="Escalope de porc"/>
    <hyperlink ref="I224" location="'G-Flan de légumes'!A1" display="Flan de légumes"/>
    <hyperlink ref="E225" location="'E-Terrine de légumes'!A1" display="Terrine de légumes"/>
    <hyperlink ref="G225" location="'P-Bouchée à la reine'!A1" display="Bouchée à la reine"/>
    <hyperlink ref="E226" location="'E-Taboulé'!A1" display="Taboulé"/>
    <hyperlink ref="G226" location="'P-Rôti de porc'!A1" display="Rôti de porc"/>
    <hyperlink ref="I226" location="'G-Brocolis'!A1" display="Brocolis"/>
    <hyperlink ref="E227" location="'E-Salade de haricots verts'!A1" display="Salade de haricots verts"/>
    <hyperlink ref="G227" location="'P-Poisson pané'!A1" display="Poisson pané"/>
    <hyperlink ref="I227" location="'G-Pommes de terre rissolées'!A1" display="Pommes de terre rissolées"/>
    <hyperlink ref="E228" location="'E-Salade verte'!A1" display="Salade verte"/>
    <hyperlink ref="G228" location="'P-Paëlla'!A1" display="Paëlla"/>
    <hyperlink ref="E229" location="'E-Feuilleté'!A1" display="Feuilleté"/>
    <hyperlink ref="G229" location="'P-Ficelle picarde (jambon picar'!A1" display="Ficelle picarde (jambon picard)"/>
    <hyperlink ref="E230" location="'E-Salade de pommes de terre'!A1" display="Salade de pommes de terre"/>
    <hyperlink ref="G230" location="'P-Steak haché'!A1" display="Steak haché"/>
    <hyperlink ref="I230" location="'G-Tomates provençales'!A1" display="Tomates provençales"/>
    <hyperlink ref="E231" location="'E-Carottes râpées'!A1" display="Carottes râpées"/>
    <hyperlink ref="G231" location="'P-Chipolatas'!A1" display="Chipolatas"/>
    <hyperlink ref="I231" location="'E-Salade de lentilles'!A1" display="Salade de lentilles"/>
    <hyperlink ref="E232" location="'E-Avocat vinaigrette ou mayonna'!A1" display="Avocat vinaigrette ou mayonnaise"/>
    <hyperlink ref="G232" location="'P-Sauté de veau'!A1" display="Sauté de veau"/>
    <hyperlink ref="I232" location="'G-Riz pilaf'!A1" display="Riz pilaf"/>
    <hyperlink ref="E233" location="'E-Tarte à la tomate et au chèvr'!A1" display="Tarte à la tomate et au chèvre"/>
    <hyperlink ref="G233" location="'P-Nuggets de poulet'!A1" display="Nuggets de poulet"/>
    <hyperlink ref="I233" location="'G-Poêlée campagnarde'!A1" display="Poêlée campagnarde"/>
    <hyperlink ref="E234" location="'E-Salade mexicaine'!A1" display="Salade mexicaine"/>
    <hyperlink ref="G234" location="'P-Blanquette de poisson'!A1" display="Blanquette de poisson"/>
    <hyperlink ref="I234" location="'G-Fondue de poireaux'!A1" display="Fondue de poireaux"/>
    <hyperlink ref="E235" location="'E-Céleri rémoulade'!A1" display="Céleri rémoulade"/>
    <hyperlink ref="G235" location="'P-Boulettes de bœuf sauce tomat'!A1" display="Boulettes de bœuf sauce tomate"/>
    <hyperlink ref="I235" location="'G-Semoule'!A1" display="Semoule"/>
    <hyperlink ref="E236" location="'E-Salade de betteraves et maïs'!A1" display="Salade de betteraves et maïs"/>
    <hyperlink ref="G236" location="'P-Escalope de veau'!A1" display="Escalope de veau"/>
    <hyperlink ref="I236" location="'G-Pommes de terre vapeur'!A1" display="Pommes de terre vapeur"/>
    <hyperlink ref="E237" location="'E-Salade de pâtes'!A1" display="Salade de pâtes"/>
    <hyperlink ref="G237" location="'P-Tomates farcies'!A1" display="Tomates farcies"/>
    <hyperlink ref="E238" location="'E-Rosette'!A1" display="Rosette"/>
    <hyperlink ref="G238" location="'P-Navarin d'agneau'!A1" display="Navarin d'agneau"/>
    <hyperlink ref="I238" location="'G-Flageolets'!A1" display="Flageolets"/>
    <hyperlink ref="E239" location="'E-Salade César'!A1" display="Salade César"/>
    <hyperlink ref="G239" location="'P-Crêpe aux champignons'!A1" display="Crêpe aux champignons"/>
    <hyperlink ref="E240" location="'E-Salade de riz'!A1" display="Salade de riz"/>
    <hyperlink ref="G240" location="'P-Suprême de volaille'!A1" display="Suprême de volaille"/>
    <hyperlink ref="I240" location="'G-Haricots plats'!A1" display="Haricots plats"/>
    <hyperlink ref="E241" location="'E-Macédoine mayonnaise'!A1" display="Macédoine mayonnaise"/>
    <hyperlink ref="G241" location="'P-Chipolatas'!A1" display="Chipolatas"/>
    <hyperlink ref="I241" location="'E-Salade de lentilles'!A1" display="Salade de lentilles"/>
    <hyperlink ref="E242" location="'E-Salade verte'!A1" display="Salade verte"/>
    <hyperlink ref="G242" location="'P-Hamburger'!A1" display="Hamburger"/>
    <hyperlink ref="I242" location="'G-Frites'!A1" display="Frites"/>
    <hyperlink ref="E243" location="'E-Poireaux vinaigrette'!A1" display="Poireaux vinaigrette"/>
    <hyperlink ref="G243" location="'P-Poisson pané'!A1" display="Poisson pané"/>
    <hyperlink ref="I243" location="'G-Carottes Vichy'!A1" display="Carottes Vichy"/>
    <hyperlink ref="E244" location="'E-Salade de pois chiches'!A1" display="Salade de pois chiches"/>
    <hyperlink ref="G244" location="'P-Rôti de veau'!A1" display="Rôti de veau"/>
    <hyperlink ref="I244" location="'G-Tomates provençales'!A1" display="Tomates provençales"/>
    <hyperlink ref="E245" location="'E-Chou rouge râpé aux pommes'!A1" display="Chou rouge râpé aux pommes"/>
    <hyperlink ref="G245" location="'P-Tripes à la mode de Caen'!A1" display="Tripes à la mode de Caen"/>
    <hyperlink ref="I245" location="'G-Pommes de terre vapeur'!A1" display="Pommes de terre vapeur"/>
    <hyperlink ref="E246" location="'E-Asperges vinaigrette'!A1" display="Asperges vinaigrette"/>
    <hyperlink ref="G246" location="'P-Sot-l'y-laisse de dinde à la'!A1" display="Sot-l'y-laisse de dinde à la crème"/>
    <hyperlink ref="I246" location="'G-Pâtes au beurre'!A1" display="Pâtes au beurre"/>
    <hyperlink ref="E247" location="'E-Œuf mayonnaise'!A1" display="Œuf mayonnaise"/>
    <hyperlink ref="G247" location="'P-Gratin de courgettes à la via'!A1" display="Gratin de courgettes à la viande"/>
    <hyperlink ref="E248" location="'E-Rillettes de canard'!A1" display="Rillettes de canard"/>
    <hyperlink ref="G248" location="'P-Dos de loup ou filet de dorad'!A1" display="Dos de loup ou filet de dorade"/>
    <hyperlink ref="I248" location="'G-Riz pilaf'!A1" display="Riz pilaf"/>
    <hyperlink ref="E249" location="'E-Salade mexicaine'!A1" display="Salade mexicaine"/>
    <hyperlink ref="G249" location="'P-Escalope de dinde'!A1" display="Escalope de dinde"/>
    <hyperlink ref="I249" location="'E-Salade de haricots verts'!A1" display="Salade de haricots verts"/>
    <hyperlink ref="E250" location="'E-Salade de tomates'!A1" display="Salade de tomates"/>
    <hyperlink ref="G250" location="'P-Escalope de porc'!A1" display="Escalope de porc"/>
    <hyperlink ref="I250" location="'G-Brocolis'!A1" display="Brocolis"/>
    <hyperlink ref="E251" location="'E-Salade verte'!A1" display="Salade verte"/>
    <hyperlink ref="G251" location="'P-Bouchée à la reine'!A1" display="Bouchée à la reine"/>
    <hyperlink ref="E252" location="'E-Taboulé'!A1" display="Taboulé"/>
    <hyperlink ref="G252" location="'P-Rôti de bœuf'!A1" display="Rôti de bœuf"/>
    <hyperlink ref="I252" location="'G-Flan de légumes'!A1" display="Flan de légumes"/>
    <hyperlink ref="E253" location="'E-Betteraves vinaigrette'!A1" display="Betteraves vinaigrette"/>
    <hyperlink ref="G253" location="'P-Gratin de pâtes au jambon'!A1" display="Gratin de pâtes au jambon"/>
    <hyperlink ref="E254" location="'E-Surimi'!A1" display="Surimi"/>
    <hyperlink ref="G254" location="'P-Paupiette de volaille'!A1" display="Paupiette de volaille"/>
    <hyperlink ref="I254" location="'G-Salsifis'!A1" display="Salsifis"/>
    <hyperlink ref="E255" location="'E-Salade de lentilles'!A1" display="Salade de lentilles"/>
    <hyperlink ref="G255" location="'P-Saucisson brioché'!A1" display="Saucisson brioché"/>
    <hyperlink ref="E256" location="'E-Tomates mozzarella'!A1" display="Tomates mozzarella"/>
    <hyperlink ref="G256" location="'P-Couscous'!A1" display="Couscous"/>
    <hyperlink ref="I256" location="'G-Poêlée de légumes'!A1" display="Poêlée de légumes"/>
    <hyperlink ref="E257" location="'E-Salade de pâtes'!A1" display="Salade de pâtes"/>
    <hyperlink ref="G257" location="'P-Endives au jambon'!A1" display="Endives au jambon"/>
    <hyperlink ref="E258" location="'E-Salade verte'!A1" display="Salade verte"/>
    <hyperlink ref="G258" location="'P-Steak de bœuf'!A1" display="Steak de bœuf"/>
    <hyperlink ref="I258" location="'G-Pommes de terre rissolées'!A1" display="Pommes de terre rissolées"/>
    <hyperlink ref="E259" location="'E-Céleri rémoulade'!A1" display="Céleri rémoulade"/>
    <hyperlink ref="G259" location="'P-Dos de colin bordelaise'!A1" display="Dos de colin bordelaise"/>
    <hyperlink ref="I259" location="'E-Salade de haricots verts'!A1" display="Salade de haricots verts"/>
    <hyperlink ref="E260" location="'E-Avocat vinaigrette ou mayonna'!A1" display="Avocat vinaigrette ou mayonnaise"/>
    <hyperlink ref="G260" location="'P-Rougail saucisse'!A1" display="Rougail saucisse"/>
    <hyperlink ref="I260" location="'G-Riz pilaf'!A1" display="Riz pilaf"/>
    <hyperlink ref="E261" location="'E-Salade ebly'!A1" display="Salade ebly"/>
    <hyperlink ref="G261" location="'P-Œufs à la florentine'!A1" display="Œufs à la florentine"/>
    <hyperlink ref="E262" location="'E-Tomates mozzarella'!A1" display="Tomates mozzarella"/>
    <hyperlink ref="G262" location="'P-Dos de loup ou filet de dorad'!A1" display="Dos de loup ou filet de dorade"/>
    <hyperlink ref="I262" location="'G-Ratatouille'!A1" display="Ratatouille"/>
    <hyperlink ref="E263" location="'E-Salade verte'!A1" display="Salade verte"/>
    <hyperlink ref="G263" location="'E-Tarte méditerranéenne'!A1" display="Tarte méditerranéenne"/>
    <hyperlink ref="E264" location="'E-Asperges vinaigrette'!A1" display="Asperges vinaigrette"/>
    <hyperlink ref="G264" location="'P-Filet mignon de porc au cidre'!A1" display="Filet mignon de porc au cidre"/>
    <hyperlink ref="I264" location="'G-Pâtes au beurre'!A1" display="Pâtes au beurre"/>
    <hyperlink ref="E265" location="'E-Taboulé'!A1" display="Taboulé"/>
    <hyperlink ref="G265" location="'P-Donuts de poulet'!A1" display="Donuts de poulet"/>
    <hyperlink ref="I265" location="'G-Poêlée de légumes'!A1" display="Poêlée de légumes"/>
    <hyperlink ref="E266" location="'E-Coquille Saint-Jacques'!A1" display="Coquille Saint-Jacques"/>
    <hyperlink ref="G266" location="'P-Parmentier de canard'!A1" display="Parmentier de canard"/>
    <hyperlink ref="E267" location="'E-Salade verte'!A1" display="Salade verte"/>
    <hyperlink ref="G267" location="'P-Cassoulet'!A1" display="Cassoulet"/>
    <hyperlink ref="E268" location="'E-Saucisse sèche'!A1" display="Saucisse sèche"/>
    <hyperlink ref="G268" location="'P-Escalope de porc'!A1" display="Escalope de porc"/>
    <hyperlink ref="I268" location="'G-Haricots verts'!A1" display="Haricots verts"/>
    <hyperlink ref="G269" location="'E-Salade de pâtes'!A1" display="Salade de pâtes"/>
    <hyperlink ref="I269" location="'P-Rôti de dinde'!A1" display="Rôti de dinde"/>
    <hyperlink ref="E270" location="'E-Betteraves vinaigrette'!A1" display="Betteraves vinaigrette"/>
    <hyperlink ref="G270" location="'P-Calamars à la provençale'!A1" display="Calamars à la provençale"/>
    <hyperlink ref="I270" location="'G-Riz pilaf'!A1" display="Riz pilaf"/>
    <hyperlink ref="E271" location="'E-Salade verte'!A1" display="Salade verte"/>
    <hyperlink ref="G271" location="'E-Croque-monsieur'!A1" display="Croque-monsieur"/>
    <hyperlink ref="E272" location="'E-Salade de pommes de terre'!A1" display="Salade de pommes de terre"/>
    <hyperlink ref="G272" location="'P-Rôti de veau'!A1" display="Rôti de veau"/>
    <hyperlink ref="I272" location="'G-Flan de légumes'!A1" display="Flan de légumes"/>
    <hyperlink ref="E273" location="'G-Macédoine de légumes au beurr'!A1" display="Macédoine de légumes au beurre"/>
    <hyperlink ref="G273" location="'P-Jambon braisé'!A1" display="Jambon braisé"/>
    <hyperlink ref="I273" location="'G-Rösti'!A1" display="Rösti"/>
    <hyperlink ref="E274" location="'E-Carottes râpées'!A1" display="Carottes râpées"/>
    <hyperlink ref="G274" location="'P-Bœuf bourguignon'!A1" display="Bœuf bourguignon"/>
    <hyperlink ref="I274" location="'G-Pâtes au beurre'!A1" display="Pâtes au beurre"/>
    <hyperlink ref="E275" location="'E-Salade de pois chiches'!A1" display="Salade de pois chiches"/>
    <hyperlink ref="G275" location="'P-Carbonnade flamande'!A1" display="Carbonnade flamande"/>
    <hyperlink ref="E276" location="'E-Taboulé'!A1" display="Taboulé"/>
    <hyperlink ref="G276" location="'P-Pavé de poisson sauce beurre'!A1" display="Pavé de poisson sauce beurre blanc"/>
    <hyperlink ref="I276" location="'G-Jardinière de légumes'!A1" display="Jardinière de légumes"/>
    <hyperlink ref="E277" location="'E-Salade verte'!A1" display="Salade verte"/>
    <hyperlink ref="G277" location="'E-Quiche lorraine'!A1" display="Quiche lorraine"/>
    <hyperlink ref="E278" location="'E-Betteraves vinaigrette'!A1" display="Betteraves vinaigrette"/>
    <hyperlink ref="G278" location="'P-Rôti de bœuf'!A1" display="Rôti de bœuf"/>
    <hyperlink ref="I278" location="'G-Gnocchis'!A1" display="Gnocchis"/>
    <hyperlink ref="E279" location="'E-Feuilleté'!A1" display="Feuilleté"/>
    <hyperlink ref="G279" location="'P-Moussaka'!A1" display="Moussaka"/>
    <hyperlink ref="E280" location="'E-Crêpe salée jambon fromage'!A1" display="Crêpe salée jambon fromage"/>
    <hyperlink ref="G280" location="'P-Petit salé aux lentilles'!A1" display="Petit salé aux lentilles"/>
    <hyperlink ref="I280" location="'G-Lentilles'!A1" display="Lentilles"/>
    <hyperlink ref="E281" location="'E-Salade verte'!A1" display="Salade verte"/>
    <hyperlink ref="G281" location="'P-Brandade de morue'!A1" display="Brandade de morue"/>
    <hyperlink ref="E282" location="'E-Salade mexicaine'!A1" display="Salade mexicaine"/>
    <hyperlink ref="G282" location="'P-Sauté de lapin'!A1" display="Sauté de lapin"/>
    <hyperlink ref="I282" location="'G-Salsifis'!A1" display="Salsifis"/>
    <hyperlink ref="E283" location="'E-Salade de tomates'!A1" display="Salade de tomates"/>
    <hyperlink ref="G283" location="'P-Cordon bleu'!A1" display="Cordon bleu"/>
    <hyperlink ref="I283" location="'G-Pâtes au beurre'!A1" display="Pâtes au beurre"/>
    <hyperlink ref="E284" location="'E-Salade verte'!A1" display="Salade verte"/>
    <hyperlink ref="G284" location="'P-Tête de veau sauce gribiche'!A1" display="Tête de veau sauce gribiche"/>
    <hyperlink ref="I284" location="'G-Pommes de terre vapeur'!A1" display="Pommes de terre vapeur"/>
    <hyperlink ref="E285" location="'E-Salade de riz'!A1" display="Salade de riz"/>
    <hyperlink ref="G285" location="'P-Poisson pané'!A1" display="Poisson pané"/>
    <hyperlink ref="I285" location="'G-Haricots beurre'!A1" display="Haricots beurre"/>
    <hyperlink ref="E286" location="'E-Feuilleté'!A1" display="Feuilleté"/>
    <hyperlink ref="G286" location="'P-Rôti de porc'!A1" display="Rôti de porc"/>
    <hyperlink ref="I286" location="'G-Carottes Vichy'!A1" display="Carottes Vichy"/>
    <hyperlink ref="E287" location="'G-Macédoine de légumes au beurr'!A1" display="Macédoine de légumes au beurre"/>
    <hyperlink ref="G287" location="'P-Merguez'!A1" display="Merguez"/>
    <hyperlink ref="I287" location="'G-Semoule'!A1" display="Semoule"/>
    <hyperlink ref="E288" location="'E-Salade de chou-fleur'!A1" display="Salade de chou-fleur"/>
    <hyperlink ref="G288" location="'P-Steak de bœuf'!A1" display="Steak de bœuf"/>
    <hyperlink ref="I288" location="'G-Gratin dauphinois'!A1" display="Gratin dauphinois"/>
    <hyperlink ref="E289" location="'E-Salade de lentilles'!A1" display="Salade de lentilles"/>
    <hyperlink ref="G289" location="'P-Courgettes farcies'!A1" display="Courgettes farcies"/>
    <hyperlink ref="E290" location="'E-Assiette de charcuterie'!A1" display="Assiette de charcuterie"/>
    <hyperlink ref="G290" location="'P-Lasagnes saumon épinards'!A1" display="Lasagnes saumon épinards"/>
    <hyperlink ref="E291" location="'E-Salade verte'!A1" display="Salade verte"/>
    <hyperlink ref="G291" location="'E-Croque-monsieur'!A1" display="Croque-monsieur"/>
    <hyperlink ref="E292" location="'E-Râpé de courgettes'!A1" display="Râpé de courgettes"/>
    <hyperlink ref="G292" location="'P-Poulet basquaise'!A1" display="Poulet basquaise"/>
    <hyperlink ref="I292" location="'G-Riz pilaf'!A1" display="Riz pilaf"/>
    <hyperlink ref="E293" location="'E-Salade de pois chiches'!A1" display="Salade de pois chiches"/>
    <hyperlink ref="I293" location="'P-Rosbif froid'!A1" display="Rosbif froid"/>
    <hyperlink ref="E294" location="'E-Betteraves vinaigrette'!A1" display="Betteraves vinaigrette"/>
    <hyperlink ref="G294" location="'P-Escalope de veau'!A1" display="Escalope de veau"/>
    <hyperlink ref="I294" location="'G-Rösti'!A1" display="Rösti"/>
    <hyperlink ref="E295" location="'E-Terrine de légumes'!A1" display="Terrine de légumes"/>
    <hyperlink ref="G295" location="'P-Bouchée à la reine'!A1" display="Bouchée à la reine"/>
    <hyperlink ref="E296" location="'E-Coquille Saint-Jacques'!A1" display="Coquille Saint-Jacques"/>
    <hyperlink ref="G296" location="'P-Suprême de volaille'!A1" display="Suprême de volaille"/>
    <hyperlink ref="I296" location="'G-Perles'!A1" display="Perles"/>
    <hyperlink ref="E297" location="'E-Salade de haricots verts'!A1" display="Salade de haricots verts"/>
    <hyperlink ref="G297" location="'P-Poisson pané'!A1" display="Poisson pané"/>
    <hyperlink ref="E298" location="'E-Salade verte'!A1" display="Salade verte"/>
    <hyperlink ref="G298" location="'P-Paëlla'!A1" display="Paëlla"/>
    <hyperlink ref="E299" location="'E-Feuilleté'!A1" display="Feuilleté"/>
    <hyperlink ref="G299" location="'P-Ficelle picarde (jambon picar'!A1" display="Ficelle picarde (jambon picard)"/>
    <hyperlink ref="E300" location="'E-Salade de pommes de terre'!A1" display="Salade de pommes de terre"/>
    <hyperlink ref="G300" location="'P-Steak haché'!A1" display="Steak haché"/>
    <hyperlink ref="I300" location="'G-Tomates provençales'!A1" display="Tomates provençales"/>
    <hyperlink ref="E301" location="'E-Carottes râpées'!A1" display="Carottes râpées"/>
    <hyperlink ref="G301" location="'P-Chipolatas'!A1" display="Chipolatas"/>
    <hyperlink ref="I301" location="'E-Salade de lentilles'!A1" display="Salade de lentilles"/>
    <hyperlink ref="E302" location="'E-Avocat vinaigrette ou mayonna'!A1" display="Avocat vinaigrette ou mayonnaise"/>
    <hyperlink ref="G302" location="'P-Sauté de veau'!A1" display="Sauté de veau"/>
    <hyperlink ref="I302" location="'G-Riz pilaf'!A1" display="Riz pilaf"/>
    <hyperlink ref="E303" location="'E-Tarte méditerranéenne'!A1" display="Tarte méditerranéenne"/>
    <hyperlink ref="G303" location="'P-Nuggets de poulet'!A1" display="Nuggets de poulet"/>
    <hyperlink ref="I303" location="'G-Poêlée campagnarde'!A1" display="Poêlée campagnarde"/>
    <hyperlink ref="E304" location="'E-Salade mexicaine'!A1" display="Salade mexicaine"/>
    <hyperlink ref="G304" location="'P-Pavé de poisson sauce beurre'!A1" display="Pavé de poisson sauce beurre blanc"/>
    <hyperlink ref="I304" location="'G-Semoule'!A1" display="Semoule"/>
    <hyperlink ref="E305" location="'E-Céleri rémoulade'!A1" display="Céleri rémoulade"/>
    <hyperlink ref="G305" location="'P-Bouchée à la reine'!A1" display="Bouchée à la reine"/>
    <hyperlink ref="E306" location="'E-Salade de betteraves et maïs'!A1" display="Salade de betteraves et maïs"/>
    <hyperlink ref="G306" location="'P-Cordon bleu'!A1" display="Cordon bleu"/>
    <hyperlink ref="I306" location="'G-Gratin dauphinois'!A1" display="Gratin dauphinois"/>
    <hyperlink ref="E307" location="'E-Salade de tomates'!A1" display="Salade de tomates"/>
    <hyperlink ref="G307" location="'P-Boulettes de bœuf sauce tomat'!A1" display="Boulettes de bœuf sauce tomate"/>
    <hyperlink ref="I307" location="'G-Carottes Vichy'!A1" display="Carottes Vichy"/>
    <hyperlink ref="E308" location="'E-Rosette'!A1" display="Rosette"/>
    <hyperlink ref="G308" location="'P-Rôti de porc'!A1" display="Rôti de porc"/>
    <hyperlink ref="I308" location="'G-Flageolets'!A1" display="Flageolets"/>
    <hyperlink ref="E309" location="'E-Salade verte'!A1" display="Salade verte"/>
    <hyperlink ref="G309" location="'E-Crêpe salée jambon fromage'!A1" display="Crêpe salée jambon fromage"/>
    <hyperlink ref="E310" location="'E-Salade de riz'!A1" display="Salade de riz"/>
    <hyperlink ref="G310" location="'P-Suprême de volaille'!A1" display="Suprême de volaille"/>
    <hyperlink ref="I310" location="'G-Haricots plats'!A1" display="Haricots plats"/>
    <hyperlink ref="E311" location="'E-Macédoine mayonnaise'!A1" display="Macédoine mayonnaise"/>
    <hyperlink ref="G311" location="'P-Chipolatas'!A1" display="Chipolatas"/>
    <hyperlink ref="I311" location="'E-Salade de lentilles'!A1" display="Salade de lentilles"/>
    <hyperlink ref="E312" location="'E-Salade verte'!A1" display="Salade verte"/>
    <hyperlink ref="G312" location="'P-Blanquette de veau'!A1" display="Blanquette de veau"/>
    <hyperlink ref="I312" location="'G-Pâtes au beurre'!A1" display="Pâtes au beurre"/>
    <hyperlink ref="E313" location="'E-Feuilleté'!A1" display="Feuilleté"/>
    <hyperlink ref="G313" location="'P-Poisson pané'!A1" display="Poisson pané"/>
    <hyperlink ref="I313" location="'G-Carottes Vichy'!A1" display="Carottes Vichy"/>
    <hyperlink ref="E314" location="'E-Salade de pois chiches'!A1" display="Salade de pois chiches"/>
    <hyperlink ref="G314" location="'P-Steak de bœuf'!A1" display="Steak de bœuf"/>
    <hyperlink ref="I314" location="'G-Tomates provençales'!A1" display="Tomates provençales"/>
    <hyperlink ref="E315" location="'E-Salade de haricots verts'!A1" display="Salade de haricots verts"/>
    <hyperlink ref="G315" location="'P-Tripes à la mode de Caen'!A1" display="Tripes à la mode de Caen"/>
    <hyperlink ref="I315" location="'G-Pommes de terre vapeur'!A1" display="Pommes de terre vapeur"/>
    <hyperlink ref="E316" location="'E-Asperges vinaigrette'!A1" display="Asperges vinaigrette"/>
    <hyperlink ref="G316" location="'P-Escalope de veau'!A1" display="Escalope de veau"/>
    <hyperlink ref="I316" location="'G-Pommes dauphine'!A1" display="Pommes dauphine"/>
    <hyperlink ref="E317" location="'E-Sardines'!A1" display="Sardines"/>
    <hyperlink ref="G317" location="'P-Courgettes farcies'!A1" display="Courgettes farcies"/>
    <hyperlink ref="E318" location="'E-Mâche et tartine de chèvre ch'!A1" display="Mâche et tartine de chèvre chaud"/>
    <hyperlink ref="G318" location="'P-Souris d'agneau'!A1" display="Souris d'agneau"/>
    <hyperlink ref="I318" location="'G-Pommes de terre vapeur'!A1" display="Pommes de terre vapeur"/>
    <hyperlink ref="K318" location="'D-Cheesecake à la mangue'!A1" display="Cheesecake à la mangue"/>
    <hyperlink ref="E319" location="'E-Salade mexicaine'!A1" display="Salade mexicaine"/>
    <hyperlink ref="G319" location="'P-Donuts de poulet'!A1" display="Donuts de poulet"/>
    <hyperlink ref="I319" location="'G-Haricots beurre'!A1" display="Haricots beurre"/>
    <hyperlink ref="E320" location="'E-Salade de tomates'!A1" display="Salade de tomates"/>
    <hyperlink ref="G320" location="'P-Rôti de veau'!A1" display="Rôti de veau"/>
    <hyperlink ref="I320" location="'G-Brocolis'!A1" display="Brocolis"/>
    <hyperlink ref="E321" location="'E-Salade verte'!A1" display="Salade verte"/>
    <hyperlink ref="G321" location="'P-Lasagnes au bœuf'!A1" display="Lasagnes au bœuf"/>
    <hyperlink ref="E322" location="'E-Taboulé'!A1" display="Taboulé"/>
    <hyperlink ref="G322" location="'P-Rôti de bœuf'!A1" display="Rôti de bœuf"/>
    <hyperlink ref="I322" location="'G-Courgettes sautées'!A1" display="Courgettes sautées"/>
    <hyperlink ref="E323" location="'E-Betteraves vinaigrette'!A1" display="Betteraves vinaigrette"/>
    <hyperlink ref="G323" location="'P-Brandade de morue'!A1" display="Brandade de morue"/>
    <hyperlink ref="E324" location="'E-Surimi'!A1" display="Surimi"/>
    <hyperlink ref="G324" location="'P-Paupiette de volaille'!A1" display="Paupiette de volaille"/>
    <hyperlink ref="I324" location="'G-Pâtes au beurre'!A1" display="Pâtes au beurre"/>
    <hyperlink ref="E325" location="'E-Salade de lentilles'!A1" display="Salade de lentilles"/>
    <hyperlink ref="G325" location="'P-Saucisson brioché'!A1" display="Saucisson brioché"/>
    <hyperlink ref="I325" location="'G-Rösti'!A1" display="Rösti"/>
    <hyperlink ref="E326" location="'E-Tomates mozzarella'!A1" display="Tomates mozzarella"/>
    <hyperlink ref="G326" location="'P-Couscous'!A1" display="Couscous"/>
    <hyperlink ref="I326" location="'G-Poêlée de légumes'!A1" display="Poêlée de légumes"/>
    <hyperlink ref="E327" location="'E-Salade de riz'!A1" display="Salade de riz"/>
    <hyperlink ref="G327" location="'P-Endives au jambon'!A1" display="Endives au jambon"/>
    <hyperlink ref="E328" location="'E-Salade verte'!A1" display="Salade verte"/>
    <hyperlink ref="G328" location="'P-Quenelles de volaille sauce'!A1" display="Quenelles de volaille sauce"/>
    <hyperlink ref="I328" location="'G-Petits pois'!A1" display="Petits pois"/>
    <hyperlink ref="E329" location="'E-Céleri rémoulade'!A1" display="Céleri rémoulade"/>
    <hyperlink ref="G329" location="'P-Dos de colin bordelaise'!A1" display="Dos de colin bordelaise"/>
    <hyperlink ref="I329" location="'E-Salade de haricots verts'!A1" display="Salade de haricots verts"/>
    <hyperlink ref="E330" location="'E-Avocat vinaigrette ou mayonna'!A1" display="Avocat vinaigrette ou mayonnaise"/>
    <hyperlink ref="G330" location="'P-Rougail saucisse'!A1" display="Rougail saucisse"/>
    <hyperlink ref="I330" location="'G-Riz pilaf'!A1" display="Riz pilaf"/>
    <hyperlink ref="E331" location="'E-Salade ebly'!A1" display="Salade ebly"/>
    <hyperlink ref="G331" location="'P-Œufs à la florentine'!A1" display="Œufs à la florentine"/>
    <hyperlink ref="E332" location="'E-Pizza'!A1" display="Pizza"/>
    <hyperlink ref="G332" location="'P-Dos de cabillaud'!A1" display="Dos de cabillaud"/>
    <hyperlink ref="I332" location="'G-Brocolis'!A1" display="Brocolis"/>
    <hyperlink ref="E333" location="'E-Salade verte'!A1" display="Salade verte"/>
    <hyperlink ref="G333" location="'P-Tourte aux champignons'!A1" display="Tourte aux champignons"/>
    <hyperlink ref="E334" location="'E-Asperges vinaigrette'!A1" display="Asperges vinaigrette"/>
    <hyperlink ref="G334" location="'P-Filet mignon de porc au cidre'!A1" display="Filet mignon de porc au cidre"/>
    <hyperlink ref="I334" location="'G-Pâtes au beurre'!A1" display="Pâtes au beurre"/>
    <hyperlink ref="E335" location="'E-Taboulé'!A1" display="Taboulé"/>
    <hyperlink ref="G335" location="'P-Cordon bleu'!A1" display="Cordon bleu"/>
    <hyperlink ref="I335" location="'G-Poêlée de légumes'!A1" display="Poêlée de légumes"/>
    <hyperlink ref="E336" location="'E-Coquille Saint-Jacques'!A1" display="Coquille Saint-Jacques"/>
    <hyperlink ref="G336" location="'P-Parmentier de canard'!A1" display="Parmentier de canard"/>
    <hyperlink ref="E337" location="'E-Salade verte'!A1" display="Salade verte"/>
    <hyperlink ref="G337" location="'P-Lasagnes saumon épinards'!A1" display="Lasagnes saumon épinards"/>
    <hyperlink ref="E338" location="'E-Saucisse sèche'!A1" display="Saucisse sèche"/>
    <hyperlink ref="G338" location="'P-Escalope de porc'!A1" display="Escalope de porc"/>
    <hyperlink ref="I338" location="'G-Haricots verts'!A1" display="Haricots verts"/>
    <hyperlink ref="G339" location="'E-Salade de pâtes'!A1" display="Salade de pâtes"/>
    <hyperlink ref="I339" location="'P-Rôti de dinde'!A1" display="Rôti de dinde"/>
    <hyperlink ref="E340" location="'E-Betteraves vinaigrette'!A1" display="Betteraves vinaigrette"/>
    <hyperlink ref="G340" location="'P-Calamars à la provençale'!A1" display="Calamars à la provençale"/>
    <hyperlink ref="I340" location="'G-Riz pilaf'!A1" display="Riz pilaf"/>
    <hyperlink ref="E341" location="'E-Salade verte'!A1" display="Salade verte"/>
    <hyperlink ref="G341" location="'E-Croque-monsieur'!A1" display="Croque-monsieur"/>
    <hyperlink ref="E342" location="'E-Salade de pommes de terre'!A1" display="Salade de pommes de terre"/>
    <hyperlink ref="G342" location="'P-Rôti de veau'!A1" display="Rôti de veau"/>
    <hyperlink ref="I342" location="'G-Flan de légumes'!A1" display="Flan de légumes"/>
    <hyperlink ref="E343" location="'G-Macédoine de légumes au beurr'!A1" display="Macédoine de légumes au beurre"/>
    <hyperlink ref="G343" location="'P-Jambon braisé'!A1" display="Jambon braisé"/>
    <hyperlink ref="I343" location="'G-Rösti'!A1" display="Rösti"/>
    <hyperlink ref="E344" location="'E-Carottes râpées'!A1" display="Carottes râpées"/>
    <hyperlink ref="I344" location="'P-Pâtes bolognaise'!A1" display="Pâtes bolognaise"/>
    <hyperlink ref="E345" location="'E-Salade de pois chiches'!A1" display="Salade de pois chiches"/>
    <hyperlink ref="G345" location="'P-Tomates farcies'!A1" display="Tomates farcies"/>
    <hyperlink ref="E346" location="'E-Taboulé'!A1" display="Taboulé"/>
    <hyperlink ref="G346" location="'P-Pavé de poisson sauce beurre'!A1" display="Pavé de poisson sauce beurre blanc"/>
    <hyperlink ref="I346" location="'G-Jardinière de légumes'!A1" display="Jardinière de légumes"/>
    <hyperlink ref="E347" location="'E-Salade verte'!A1" display="Salade verte"/>
    <hyperlink ref="G347" location="'E-Quiche lorraine'!A1" display="Quiche lorraine"/>
    <hyperlink ref="E348" location="'E-Betteraves vinaigrette'!A1" display="Betteraves vinaigrette"/>
    <hyperlink ref="G348" location="'P-Rôti de bœuf'!A1" display="Rôti de bœuf"/>
    <hyperlink ref="I348" location="'G-Purée de pommes de terre'!A1" display="Purée de pommes de terre"/>
    <hyperlink ref="E349" location="'E-Feuilleté'!A1" display="Feuilleté"/>
    <hyperlink ref="G349" location="'P-Moussaka'!A1" display="Moussaka"/>
    <hyperlink ref="E350" location="'E-Crêpe salée jambon fromage'!A1" display="Crêpe salée jambon fromage"/>
    <hyperlink ref="G350" location="'P-Boulettes de bœuf sauce tomat'!A1" display="Boulettes de bœuf sauce tomate"/>
    <hyperlink ref="I350" location="'G-Carottes Vichy'!A1" display="Carottes Vichy"/>
    <hyperlink ref="E351" location="'E-Salade verte'!A1" display="Salade verte"/>
    <hyperlink ref="G351" location="'P-Feuilleté franc-comtois'!A1" display="Feuilleté franc-comtois"/>
    <hyperlink ref="E352" location="'G-Macédoine de légumes au beurr'!A1" display="Macédoine de légumes au beurre"/>
    <hyperlink ref="G352" location="'P-Suprême de volaille'!A1" display="Suprême de volaille"/>
    <hyperlink ref="I352" location="'G-Salsifis'!A1" display="Salsifis"/>
    <hyperlink ref="E353" location="'E-Salade de tomates'!A1" display="Salade de tomates"/>
    <hyperlink ref="G353" location="'P-Cordon bleu'!A1" display="Cordon bleu"/>
    <hyperlink ref="I353" location="'G-Pâtes au beurre'!A1" display="Pâtes au beurre"/>
    <hyperlink ref="E354" location="'E-Salade verte'!A1" display="Salade verte"/>
    <hyperlink ref="G354" location="'P-Blanquette de veau'!A1" display="Blanquette de veau"/>
    <hyperlink ref="I354" location="'G-Pâtes au beurre'!A1" display="Pâtes au beurre"/>
    <hyperlink ref="E355" location="'E-Salade de riz'!A1" display="Salade de riz"/>
    <hyperlink ref="G355" location="'P-Poisson pané'!A1" display="Poisson pané"/>
    <hyperlink ref="I355" location="'G-Haricots beurre'!A1" display="Haricots beurre"/>
    <hyperlink ref="E356" location="'E-Feuilleté'!A1" display="Feuilleté"/>
    <hyperlink ref="G356" location="'P-Rôti de porc'!A1" display="Rôti de porc"/>
    <hyperlink ref="I356" location="'G-Carottes Vichy'!A1" display="Carottes Vichy"/>
    <hyperlink ref="E357" location="'G-Macédoine de légumes au beurr'!A1" display="Macédoine de légumes au beurre"/>
    <hyperlink ref="G357" location="'P-Merguez'!A1" display="Merguez"/>
    <hyperlink ref="I357" location="'G-Semoule'!A1" display="Semoule"/>
    <hyperlink ref="E358" location="'E-Salade de chou-fleur'!A1" display="Salade de chou-fleur"/>
    <hyperlink ref="G358" location="'P-Steak de bœuf'!A1" display="Steak de bœuf"/>
    <hyperlink ref="I358" location="'G-Gratin dauphinois'!A1" display="Gratin dauphinois"/>
    <hyperlink ref="E359" location="'E-Salade de lentilles'!A1" display="Salade de lentilles"/>
    <hyperlink ref="G359" location="'P-Courgettes farcies'!A1" display="Courgettes farcies"/>
    <hyperlink ref="E360" location="'E-Rosette'!A1" display="Rosette"/>
    <hyperlink ref="G360" location="'P-Lasagnes saumon épinards'!A1" display="Lasagnes saumon épinards"/>
    <hyperlink ref="E361" location="'E-Salade verte'!A1" display="Salade verte"/>
    <hyperlink ref="G361" location="'P-Tourte aux champignons'!A1" display="Tourte aux champignons"/>
    <hyperlink ref="E362" location="'E-Râpé de courgettes'!A1" display="Râpé de courgettes"/>
    <hyperlink ref="G362" location="'P-Poulet basquaise'!A1" display="Poulet basquaise"/>
    <hyperlink ref="I362" location="'G-Riz pilaf'!A1" display="Riz pilaf"/>
    <hyperlink ref="E363" location="'E-Salade de pois chiches'!A1" display="Salade de pois chiches"/>
    <hyperlink ref="I363" location="'P-Rosbif froid'!A1" display="Rosbif froid"/>
    <hyperlink ref="E364" location="'E-Betteraves vinaigrette'!A1" display="Betteraves vinaigrette"/>
    <hyperlink ref="G364" location="'P-Escalope de veau'!A1" display="Escalope de veau"/>
    <hyperlink ref="I364" location="'G-Rösti'!A1" display="Rösti"/>
    <hyperlink ref="E365" location="'E-Terrine de légumes'!A1" display="Terrine de légumes"/>
    <hyperlink ref="G365" location="'P-Bouchée à la reine'!A1" display="Bouchée à la reine"/>
    <hyperlink ref="E366" location="'E-Taboulé'!A1" display="Taboulé"/>
    <hyperlink ref="G366" location="'P-Rôti de porc'!A1" display="Rôti de porc"/>
    <hyperlink ref="I366" location="'G-Brocolis'!A1" display="Brocolis"/>
    <hyperlink ref="E367" location="'E-Salade de haricots verts'!A1" display="Salade de haricots verts"/>
    <hyperlink ref="G367" location="'P-Poisson pané'!A1" display="Poisson pané"/>
    <hyperlink ref="I367" location="'G-Pommes de terre rissolées'!A1" display="Pommes de terre rissolées"/>
    <hyperlink ref="E368" location="'E-Salade verte'!A1" display="Salade verte"/>
    <hyperlink ref="G368" location="'P-Hamburger'!A1" display="Hamburger"/>
    <hyperlink ref="I368" location="'G-Frites'!A1" display="Frites"/>
    <hyperlink ref="E369" location="'E-Feuilleté'!A1" display="Feuilleté"/>
    <hyperlink ref="G369" location="'P-Ficelle picarde (jambon picar'!A1" display="Ficelle picarde (jambon picard)"/>
    <hyperlink ref="E370" location="'E-Salade de pommes de terre'!A1" display="Salade de pommes de terre"/>
    <hyperlink ref="G370" location="'P-Steak de bœuf'!A1" display="Steak de bœuf"/>
    <hyperlink ref="I370" location="'G-Tomates provençales'!A1" display="Tomates provençales"/>
    <hyperlink ref="E371" location="'E-Carottes râpées'!A1" display="Carottes râpées"/>
    <hyperlink ref="G371" location="'P-Chipolatas'!A1" display="Chipolatas"/>
    <hyperlink ref="I371" location="'E-Salade de lentilles'!A1" display="Salade de lentilles"/>
    <hyperlink ref="E372" location="'E-Avocat vinaigrette ou mayonna'!A1" display="Avocat vinaigrette ou mayonnaise"/>
    <hyperlink ref="G372" location="'P-Sauté de veau'!A1" display="Sauté de veau"/>
    <hyperlink ref="I372" location="'G-Riz pilaf'!A1" display="Riz pilaf"/>
    <hyperlink ref="E373" location="'E-Tarte à la tomate et au chèvr'!A1" display="Tarte à la tomate et au chèvre"/>
    <hyperlink ref="G373" location="'P-Nuggets de poulet'!A1" display="Nuggets de poulet"/>
    <hyperlink ref="I373" location="'G-Poêlée campagnarde'!A1" display="Poêlée campagnarde"/>
    <hyperlink ref="E374" location="'E-Salade mexicaine'!A1" display="Salade mexicaine"/>
    <hyperlink ref="G374" location="'P-Blanquette de poisson'!A1" display="Blanquette de poisson"/>
    <hyperlink ref="I374" location="'G-Fondue de poireaux'!A1" display="Fondue de poireaux"/>
    <hyperlink ref="E375" location="'E-Céleri rémoulade'!A1" display="Céleri rémoulade"/>
    <hyperlink ref="G375" location="'P-Boulettes de bœuf sauce tomat'!A1" display="Boulettes de bœuf sauce tomate"/>
    <hyperlink ref="I375" location="'G-Semoule'!A1" display="Semoule"/>
    <hyperlink ref="E376" location="'E-Salade de betteraves et maïs'!A1" display="Salade de betteraves et maïs"/>
    <hyperlink ref="G376" location="'P-Escalope de veau'!A1" display="Escalope de veau"/>
    <hyperlink ref="I376" location="'G-Pommes de terre vapeur'!A1" display="Pommes de terre vapeur"/>
    <hyperlink ref="E377" location="'E-Salade de pâtes'!A1" display="Salade de pâtes"/>
    <hyperlink ref="G377" location="'P-Tomates farcies'!A1" display="Tomates farcies"/>
    <hyperlink ref="E378" location="'E-Rosette'!A1" display="Rosette"/>
    <hyperlink ref="G378" location="'P-Navarin d'agneau'!A1" display="Navarin d'agneau"/>
    <hyperlink ref="I378" location="'G-Flageolets'!A1" display="Flageolets"/>
    <hyperlink ref="E379" location="'E-Salade César'!A1" display="Salade César"/>
    <hyperlink ref="G379" location="'P-Crêpe aux champignons'!A1" display="Crêpe aux champignons"/>
    <hyperlink ref="E380" location="'E-Salade de pois chiches'!A1" display="Salade de pois chiches"/>
    <hyperlink ref="G380" location="'P-Escalope de dinde'!A1" display="Escalope de dinde"/>
    <hyperlink ref="I380" location="'G-Chou-fleur persillé'!A1" display="Chou-fleur persillé"/>
    <hyperlink ref="E381" location="'E-Salade verte'!A1" display="Salade verte"/>
    <hyperlink ref="G381" location="'P-Raviolis'!A1" display="Raviolis"/>
    <hyperlink ref="E382" location="'E-Melon'!A1" display="Melon"/>
    <hyperlink ref="G382" location="'P-Moules marinières'!A1" display="Moules marinières"/>
    <hyperlink ref="I382" location="'G-Frites'!A1" display="Frites"/>
    <hyperlink ref="E383" location="'E-Œuf mayonnaise'!A1" display="Œuf mayonnaise"/>
    <hyperlink ref="G383" location="'E-Pâté de campagne'!A1" display="Pâté de campagne"/>
    <hyperlink ref="I383" location="'G-Carottes Vichy'!A1" display="Carottes Vichy"/>
    <hyperlink ref="E384" location="'E-Salade de pâtes'!A1" display="Salade de pâtes"/>
    <hyperlink ref="G384" location="'P-Rôti de veau'!A1" display="Rôti de veau"/>
    <hyperlink ref="I384" location="'G-Tomates provençales'!A1" display="Tomates provençales"/>
    <hyperlink ref="E385" location="'E-Betteraves vinaigrette'!A1" display="Betteraves vinaigrette"/>
    <hyperlink ref="G385" location="'P-Gratin de courgettes à la via'!A1" display="Gratin de courgettes à la viande"/>
    <hyperlink ref="E386" location="'E-Pastèque'!A1" display="Pastèque"/>
    <hyperlink ref="G386" location="'P-Sauté de volaille'!A1" display="Sauté de volaille"/>
    <hyperlink ref="I386" location="'G-Haricots blancs'!A1" display="Haricots blancs"/>
    <hyperlink ref="E387" location="'E-Salade de lentilles'!A1" display="Salade de lentilles"/>
    <hyperlink ref="G387" location="'E-Crêpe salée jambon fromage'!A1" display="Crêpe salée jambon fromage"/>
    <hyperlink ref="E388" location="'E-Feuilleté'!A1" display="Feuilleté"/>
    <hyperlink ref="G388" location="'P-Pavé de poisson sauce beurre'!A1" display="Pavé de poisson sauce beurre blanc"/>
    <hyperlink ref="I388" location="'G-Ratatouille'!A1" display="Ratatouille"/>
    <hyperlink ref="E389" location="'E-Tomate à la russe'!A1" display="Tomate à la russe"/>
    <hyperlink ref="G389" location="'P-Jambon blanc'!A1" display="Jambon blanc"/>
    <hyperlink ref="E390" location="'E-Taboulé'!A1" display="Taboulé"/>
    <hyperlink ref="G390" location="'P-Rôti de bœuf'!A1" display="Rôti de bœuf"/>
    <hyperlink ref="I390" location="'G-Haricots verts'!A1" display="Haricots verts"/>
    <hyperlink ref="E391" location="'E-Melon'!A1" display="Melon"/>
    <hyperlink ref="G391" location="'P-Paupiette de volaille'!A1" display="Paupiette de volaille"/>
    <hyperlink ref="I391" location="'G-Pâtes au beurre'!A1" display="Pâtes au beurre"/>
    <hyperlink ref="E392" location="'E-Salade de mâche'!A1" display="Salade de mâche"/>
    <hyperlink ref="G392" location="'P-Langue de bœuf sauce piquante'!A1" display="Langue de bœuf sauce piquante"/>
    <hyperlink ref="I392" location="'G-Pommes de terre vapeur'!A1" display="Pommes de terre vapeur"/>
    <hyperlink ref="E393" location="'E-Salade de riz'!A1" display="Salade de riz"/>
    <hyperlink ref="G393" location="'P-Rôti de porc froid'!A1" display="Rôti de porc froid"/>
    <hyperlink ref="E394" location="'E-Salade de tomates'!A1" display="Salade de tomates"/>
    <hyperlink ref="G394" location="'P-Steak de bœuf'!A1" display="Steak de bœuf"/>
    <hyperlink ref="I394" location="'G-Petits pois'!A1" display="Petits pois"/>
    <hyperlink ref="E395" location="'E-Salade ebly'!A1" display="Salade ebly"/>
    <hyperlink ref="G395" location="'P-Poisson pané'!A1" display="Poisson pané"/>
    <hyperlink ref="I395" location="'G-Haricots beurre'!A1" display="Haricots beurre"/>
    <hyperlink ref="E396" location="'E-Melon'!A1" display="Melon"/>
    <hyperlink ref="G396" location="'P-Magret de canard'!A1" display="Magret de canard"/>
    <hyperlink ref="I396" location="'G-Pommes de terre rissolées'!A1" display="Pommes de terre rissolées"/>
    <hyperlink ref="G397" location="'E-Salade verte'!A1" display="Salade verte"/>
    <hyperlink ref="I397" location="'P-Bouchée à la reine'!A1" display="Bouchée à la reine"/>
    <hyperlink ref="E398" location="'E-Pâté aux olives'!A1" display="Pâté aux olives"/>
    <hyperlink ref="G398" location="'P-Saucisse de Toulouse'!A1" display="Saucisse de Toulouse"/>
    <hyperlink ref="I398" location="'G-Courgettes sautées'!A1" display="Courgettes sautées"/>
    <hyperlink ref="E399" location="'E-Carottes râpées'!A1" display="Carottes râpées"/>
    <hyperlink ref="G399" location="'P-Parmentier de canard'!A1" display="Parmentier de canard"/>
    <hyperlink ref="E400" location="'E-Salade verte'!A1" display="Salade verte"/>
    <hyperlink ref="G400" location="'P-Escalope de veau'!A1" display="Escalope de veau"/>
    <hyperlink ref="I400" location="'G-Pâtes au beurre'!A1" display="Pâtes au beurre"/>
    <hyperlink ref="E401" location="'E-Salade de pois chiches'!A1" display="Salade de pois chiches"/>
    <hyperlink ref="G401" location="'P-Brochette de volaille'!A1" display="Brochette de volaille"/>
    <hyperlink ref="I401" location="'G-Brocolis'!A1" display="Brocolis"/>
    <hyperlink ref="E402" location="'E-Salade d'artichauts'!A1" display="Salade d'artichauts"/>
    <hyperlink ref="G402" location="'P-Pavé de poisson sauce beurre'!A1" display="Pavé de poisson sauce beurre blanc"/>
    <hyperlink ref="I402" location="'G-Côtes de blettes'!A1" display="Côtes de blettes"/>
    <hyperlink ref="E403" location="'E-Poireaux vinaigrette'!A1" display="Poireaux vinaigrette"/>
    <hyperlink ref="G403" location="'P-Pâtes carbonara'!A1" display="Pâtes carbonara"/>
    <hyperlink ref="E404" location="'E-Taboulé'!A1" display="Taboulé"/>
    <hyperlink ref="G404" location="'P-Brochette de bœuf'!A1" display="Brochette de bœuf"/>
    <hyperlink ref="I404" location="'G-Carottes Vichy'!A1" display="Carottes Vichy"/>
    <hyperlink ref="E405" location="'E-Salade de tomates'!A1" display="Salade de tomates"/>
    <hyperlink ref="G405" location="'P-Nuggets de poulet'!A1" display="Nuggets de poulet"/>
    <hyperlink ref="I405" location="'G-Rösti'!A1" display="Rösti"/>
    <hyperlink ref="E406" location="'E-Terrine de légumes'!A1" display="Terrine de légumes"/>
    <hyperlink ref="G406" location="'P-Sauté de porc'!A1" display="Sauté de porc"/>
    <hyperlink ref="I406" location="'G-Riz pilaf'!A1" display="Riz pilaf"/>
    <hyperlink ref="E407" location="'E-Salade verte'!A1" display="Salade verte"/>
    <hyperlink ref="G407" location="'E-Pizza'!A1" display="Pizza"/>
    <hyperlink ref="E408" location="'E-Pâté en croûte'!A1" display="Pâté en croûte"/>
    <hyperlink ref="G408" location="'P-Poulet basquaise'!A1" display="Poulet basquaise"/>
    <hyperlink ref="I408" location="'G-Haricots verts'!A1" display="Haricots verts"/>
    <hyperlink ref="E409" location="'E-Tomates mozzarella'!A1" display="Tomates mozzarella"/>
    <hyperlink ref="G409" location="'E-Croque-monsieur'!A1" display="Croque-monsieur"/>
    <hyperlink ref="E410" location="'E-Salade de mâche'!A1" display="Salade de mâche"/>
    <hyperlink ref="G410" location="'P-Kebab'!A1" display="Kebab"/>
    <hyperlink ref="I410" location="'G-Frites'!A1" display="Frites"/>
    <hyperlink ref="E411" location="'E-Salade de perles'!A1" display="Salade de perles"/>
    <hyperlink ref="G411" location="'P-Courgettes farcies'!A1" display="Courgettes farcies"/>
    <hyperlink ref="E412" location="'E-Pizza'!A1" display="Pizza"/>
    <hyperlink ref="G412" location="'P-Rôti de bœuf'!A1" display="Rôti de bœuf"/>
    <hyperlink ref="I412" location="'G-Carottes Vichy'!A1" display="Carottes Vichy"/>
    <hyperlink ref="E413" location="'E-Râpé de courgettes'!A1" display="Râpé de courgettes"/>
    <hyperlink ref="G413" location="'P-Poisson pané'!A1" display="Poisson pané"/>
    <hyperlink ref="I413" location="'G-Riz pilaf'!A1" display="Riz pilaf"/>
    <hyperlink ref="E414" location="'E-Pamplemousse'!A1" display="Pamplemousse"/>
    <hyperlink ref="G414" location="'P-Moussaka'!A1" display="Moussaka"/>
    <hyperlink ref="E415" location="'E-Taboulé'!A1" display="Taboulé"/>
    <hyperlink ref="G415" location="'P-Cordon bleu'!A1" display="Cordon bleu"/>
    <hyperlink ref="I415" location="'G-Brocolis'!A1" display="Brocolis"/>
    <hyperlink ref="E416" location="'E-Salade de pommes de terre'!A1" display="Salade de pommes de terre"/>
    <hyperlink ref="G416" location="'P-Pavé de poisson sauce beurre'!A1" display="Pavé de poisson sauce beurre blanc"/>
    <hyperlink ref="I416" location="'G-Fondue de poireaux'!A1" display="Fondue de poireaux"/>
    <hyperlink ref="E417" location="'E-Salade verte'!A1" display="Salade verte"/>
    <hyperlink ref="G417" location="'E-Melon'!A1" display="Melon"/>
    <hyperlink ref="I417" location="'E-Jambon cru'!A1" display="Jambon cru"/>
    <hyperlink ref="E418" location="'E-Salade de haricots verts'!A1" display="Salade de haricots verts"/>
    <hyperlink ref="G418" location="'P-Sauté de veau'!A1" display="Sauté de veau"/>
    <hyperlink ref="I418" location="'G-Pâtes au beurre'!A1" display="Pâtes au beurre"/>
    <hyperlink ref="E419" location="'E-Feuilleté'!A1" display="Feuilleté"/>
    <hyperlink ref="G419" location="'E-Œuf mayonnaise'!A1" display="Œuf mayonnaise"/>
    <hyperlink ref="I419" location="'G-Épinards à la crème'!A1" display="Épinards à la crème"/>
    <hyperlink ref="E420" location="'E-Coquille Saint-Jacques'!A1" display="Coquille Saint-Jacques"/>
    <hyperlink ref="G420" location="'P-Rôti de porc'!A1" display="Rôti de porc"/>
    <hyperlink ref="I420" location="'G-Ratatouille'!A1" display="Ratatouille"/>
    <hyperlink ref="E421" location="'E-Salade de chou-fleur'!A1" display="Salade de chou-fleur"/>
    <hyperlink ref="G421" location="'P-Cannellonis'!A1" display="Cannellonis"/>
    <hyperlink ref="E422" location="'E-Pâté de campagne'!A1" display="Pâté de campagne"/>
    <hyperlink ref="G422" location="'P-Endives au jambon'!A1" display="Endives au jambon"/>
    <hyperlink ref="I422" location="'G-Salsifis'!A1" display="Salsifis"/>
    <hyperlink ref="E423" location="'E-Betteraves vinaigrette'!A1" display="Betteraves vinaigrette"/>
    <hyperlink ref="G423" location="'P-Dos de colin bordelaise'!A1" display="Dos de colin bordelaise"/>
    <hyperlink ref="I423" location="'G-Rösti'!A1" display="Rösti"/>
    <hyperlink ref="E424" location="'E-Champignons à la grecque'!A1" display="Champignons à la grecque"/>
    <hyperlink ref="G424" location="'G-Gratin dauphinois'!A1" display="Gratin dauphinois"/>
    <hyperlink ref="I424" location="'P-Saucisse de Toulouse'!A1" display="Saucisse de Toulouse"/>
    <hyperlink ref="K424" location="'D-Religieuse'!A1" display="Religieuse"/>
    <hyperlink ref="E425" location="'E-Salade de pois chiches'!A1" display="Salade de pois chiches"/>
    <hyperlink ref="G425" location="'P-Chou farci'!A1" display="Chou farci"/>
    <hyperlink ref="E426" location="'E-Coleslaw'!A1" display="Coleslaw"/>
    <hyperlink ref="G426" location="'P-Paupiette de volaille'!A1" display="Paupiette de volaille"/>
    <hyperlink ref="I426" location="'G-Riz pilaf'!A1" display="Riz pilaf"/>
    <hyperlink ref="E427" location="'E-Salade de pâtes'!A1" display="Salade de pâtes"/>
    <hyperlink ref="G427" location="'P-Rosbif froid'!A1" display="Rosbif froid"/>
    <hyperlink ref="E428" location="'E-Quiche lorraine'!A1" display="Quiche lorraine"/>
    <hyperlink ref="G428" location="'P-Courgettes farcies'!A1" display="Courgettes farcies"/>
    <hyperlink ref="E429" location="'E-Céleri rémoulade'!A1" display="Céleri rémoulade"/>
    <hyperlink ref="G429" location="'P-Feuilleté franc-comtois'!A1" display="Feuilleté franc-comtois"/>
    <hyperlink ref="E430" location="'E-Poireaux vinaigrette'!A1" display="Poireaux vinaigrette"/>
    <hyperlink ref="G430" location="'P-Dos de cabillaud'!A1" display="Dos de cabillaud"/>
    <hyperlink ref="I430" location="'G-Semoule'!A1" display="Semoule"/>
    <hyperlink ref="E431" location="'E-Melon'!A1" display="Melon"/>
    <hyperlink ref="G431" location="'P-Cordon bleu'!A1" display="Cordon bleu"/>
    <hyperlink ref="I431" location="'G-Haricots plats'!A1" display="Haricots plats"/>
    <hyperlink ref="E432" location="'E-Salade de lentilles'!A1" display="Salade de lentilles"/>
    <hyperlink ref="G432" location="'P-Brochette de volaille'!A1" display="Brochette de volaille"/>
    <hyperlink ref="I432" location="'G-Jardinière de légumes'!A1" display="Jardinière de légumes"/>
    <hyperlink ref="E433" location="'E-Salade verte'!A1" display="Salade verte"/>
    <hyperlink ref="G433" location="'P-Hachis parmentier'!A1" display="Hachis parmentier"/>
    <hyperlink ref="E434" location="'G-Macédoine de légumes au beurr'!A1" display="Macédoine de légumes au beurre"/>
    <hyperlink ref="G434" location="'P-Tripes à la mode de Caen'!A1" display="Tripes à la mode de Caen"/>
    <hyperlink ref="I434" location="'G-Pommes de terre vapeur'!A1" display="Pommes de terre vapeur"/>
    <hyperlink ref="K434" location="'D-Tarte aux framboises'!A1" display="Tarte aux framboises"/>
    <hyperlink ref="E435" location="'E-Carottes râpées'!A1" display="Carottes râpées"/>
    <hyperlink ref="G435" location="'P-Bouchée à la reine'!A1" display="Bouchée à la reine"/>
    <hyperlink ref="E436" location="'E-Saucisse sèche'!A1" display="Saucisse sèche"/>
    <hyperlink ref="G436" location="'P-Escalope de veau'!A1" display="Escalope de veau"/>
    <hyperlink ref="I436" location="'G-Petits pois'!A1" display="Petits pois"/>
    <hyperlink ref="E437" location="'E-Salade verte'!A1" display="Salade verte"/>
    <hyperlink ref="G437" location="'P-Lasagnes au bœuf'!A1" display="Lasagnes au bœuf"/>
    <hyperlink ref="E438" location="'E-Nems'!A1" display="Nems"/>
    <hyperlink ref="G438" location="'P-Porc au caramel'!A1" display="Porc au caramel"/>
    <hyperlink ref="I438" location="'G-Nouilles chinoises'!A1" display="Nouilles chinoises"/>
    <hyperlink ref="E439" location="'E-Taboulé'!A1" display="Taboulé"/>
    <hyperlink ref="G439" location="'P-Omelette'!A1" display="Omelette"/>
    <hyperlink ref="I439" location="'G-Poêlée de légumes'!A1" display="Poêlée de légumes"/>
    <hyperlink ref="E440" location="'E-Sardines'!A1" display="Sardines"/>
    <hyperlink ref="G440" location="'P-Suprême de volaille'!A1" display="Suprême de volaille"/>
    <hyperlink ref="I440" location="'G-Haricots verts'!A1" display="Haricots verts"/>
    <hyperlink ref="E441" location="'E-Céleri rémoulade'!A1" display="Céleri rémoulade"/>
    <hyperlink ref="G441" location="'P-Jambon blanc'!A1" display="Jambon blanc"/>
    <hyperlink ref="I441" location="'G-Rösti'!A1" display="Rösti"/>
    <hyperlink ref="E442" location="'E-Melon'!A1" display="Melon"/>
    <hyperlink ref="G442" location="'P-Gardianne de taureau'!A1" display="Gardianne de taureau"/>
    <hyperlink ref="I442" location="'G-Purée de pommes de terre'!A1" display="Purée de pommes de terre"/>
    <hyperlink ref="E443" location="'E-Salade mexicaine'!A1" display="Salade mexicaine"/>
    <hyperlink ref="G443" location="'P-Rôti de veau'!A1" display="Rôti de veau"/>
    <hyperlink ref="I443" location="'G-Poêlée de champignons'!A1" display="Poêlée de champignons"/>
    <hyperlink ref="E444" location="'E-Salade de tomates'!A1" display="Salade de tomates"/>
    <hyperlink ref="G444" location="'P-Calamars à la provençale'!A1" display="Calamars à la provençale"/>
    <hyperlink ref="I444" location="'G-Riz pilaf'!A1" display="Riz pilaf"/>
    <hyperlink ref="E445" location="'E-Salade de pâtes'!A1" display="Salade de pâtes"/>
    <hyperlink ref="G445" location="'P-Rôti de porc froid'!A1" display="Rôti de porc froid"/>
    <hyperlink ref="E446" location="'E-Feuilleté'!A1" display="Feuilleté"/>
    <hyperlink ref="G446" location="'P-Rôti de bœuf'!A1" display="Rôti de bœuf"/>
    <hyperlink ref="I446" location="'G-Carottes Vichy'!A1" display="Carottes Vichy"/>
    <hyperlink ref="E447" location="'E-Coleslaw'!A1" display="Coleslaw"/>
    <hyperlink ref="G447" location="'P-Brochette de volaille'!A1" display="Brochette de volaille"/>
    <hyperlink ref="I447" location="'G-Pommes dauphine'!A1" display="Pommes dauphine"/>
    <hyperlink ref="E448" location="'E-Pastèque'!A1" display="Pastèque"/>
    <hyperlink ref="G448" location="'P-Sauté de lapin'!A1" display="Sauté de lapin"/>
    <hyperlink ref="I448" location="'G-Pâtes au beurre'!A1" display="Pâtes au beurre"/>
    <hyperlink ref="E449" location="'E-Salade verte'!A1" display="Salade verte"/>
    <hyperlink ref="G449" location="'P-Hachis parmentier'!A1" display="Hachis parmentier"/>
    <hyperlink ref="E450" location="'E-Salade de pois chiches'!A1" display="Salade de pois chiches"/>
    <hyperlink ref="G450" location="'P-Sauté de porc'!A1" display="Sauté de porc"/>
    <hyperlink ref="I450" location="'G-Chou-fleur persillé'!A1" display="Chou-fleur persillé"/>
    <hyperlink ref="E451" location="'E-Salade verte'!A1" display="Salade verte"/>
    <hyperlink ref="G451" location="'P-Raviolis'!A1" display="Raviolis"/>
    <hyperlink ref="E452" location="'E-Melon'!A1" display="Melon"/>
    <hyperlink ref="G452" location="'P-Moules marinières'!A1" display="Moules marinières"/>
    <hyperlink ref="I452" location="'G-Frites'!A1" display="Frites"/>
    <hyperlink ref="E453" location="'E-Salade de tomates'!A1" display="Salade de tomates"/>
    <hyperlink ref="G453" location="'E-Pâté de campagne'!A1" display="Pâté de campagne"/>
    <hyperlink ref="I453" location="'G-Carottes Vichy'!A1" display="Carottes Vichy"/>
    <hyperlink ref="E454" location="'E-Salade de pâtes'!A1" display="Salade de pâtes"/>
    <hyperlink ref="G454" location="'P-Rôti de veau'!A1" display="Rôti de veau"/>
    <hyperlink ref="I454" location="'G-Tomates provençales'!A1" display="Tomates provençales"/>
    <hyperlink ref="E455" location="'E-Betteraves vinaigrette'!A1" display="Betteraves vinaigrette"/>
    <hyperlink ref="G455" location="'P-Lasagnes saumon épinards'!A1" display="Lasagnes saumon épinards"/>
    <hyperlink ref="E456" location="'E-Pastèque'!A1" display="Pastèque"/>
    <hyperlink ref="G456" location="'P-Sauté de volaille'!A1" display="Sauté de volaille"/>
    <hyperlink ref="I456" location="'G-Haricots blancs'!A1" display="Haricots blancs"/>
    <hyperlink ref="E457" location="'E-Salade de lentilles'!A1" display="Salade de lentilles"/>
    <hyperlink ref="G457" location="'E-Crêpe salée jambon fromage'!A1" display="Crêpe salée jambon fromage"/>
    <hyperlink ref="E458" location="'E-Carottes râpées'!A1" display="Carottes râpées"/>
    <hyperlink ref="G458" location="'P-Brandade de morue'!A1" display="Brandade de morue"/>
    <hyperlink ref="E459" location="'E-Tomate à la russe'!A1" display="Tomate à la russe"/>
    <hyperlink ref="G459" location="'P-Jambon blanc'!A1" display="Jambon blanc"/>
    <hyperlink ref="E460" location="'E-Taboulé'!A1" display="Taboulé"/>
    <hyperlink ref="G460" location="'P-Rôti de bœuf'!A1" display="Rôti de bœuf"/>
    <hyperlink ref="I460" location="'G-Haricots verts'!A1" display="Haricots verts"/>
    <hyperlink ref="E461" location="'E-Melon'!A1" display="Melon"/>
    <hyperlink ref="G461" location="'P-Paupiette de volaille'!A1" display="Paupiette de volaille"/>
    <hyperlink ref="I461" location="'G-Pâtes au beurre'!A1" display="Pâtes au beurre"/>
    <hyperlink ref="E462" location="'E-Salade de mâche'!A1" display="Salade de mâche"/>
    <hyperlink ref="G462" location="'P-Langue de bœuf sauce piquante'!A1" display="Langue de bœuf sauce piquante"/>
    <hyperlink ref="I462" location="'G-Gratin dauphinois'!A1" display="Gratin dauphinois"/>
    <hyperlink ref="E463" location="'E-Salade de riz'!A1" display="Salade de riz"/>
    <hyperlink ref="G463" location="'P-Rôti de porc froid'!A1" display="Rôti de porc froid"/>
    <hyperlink ref="E464" location="'E-Taboulé'!A1" display="Taboulé"/>
    <hyperlink ref="G464" location="'P-Steak de bœuf'!A1" display="Steak de bœuf"/>
    <hyperlink ref="I464" location="'G-Petits pois'!A1" display="Petits pois"/>
    <hyperlink ref="E465" location="'E-Céleri rémoulade'!A1" display="Céleri rémoulade"/>
    <hyperlink ref="G465" location="'P-Dos de colin bordelaise'!A1" display="Dos de colin bordelaise"/>
    <hyperlink ref="I465" location="'G-Haricots beurre'!A1" display="Haricots beurre"/>
    <hyperlink ref="E466" location="'E-Melon'!A1" display="Melon"/>
    <hyperlink ref="G466" location="'P-Blanquette de veau'!A1" display="Blanquette de veau"/>
    <hyperlink ref="I466" location="'G-Riz pilaf'!A1" display="Riz pilaf"/>
    <hyperlink ref="E467" location="'E-Salade piémontaise'!A1" display="Salade piémontaise"/>
    <hyperlink ref="G467" location="'P-Bouchée à la reine'!A1" display="Bouchée à la reine"/>
    <hyperlink ref="E468" location="'E-Pâté aux olives'!A1" display="Pâté aux olives"/>
    <hyperlink ref="G468" location="'P-Saucisse de Toulouse'!A1" display="Saucisse de Toulouse"/>
    <hyperlink ref="I468" location="'E-Salade de lentilles'!A1" display="Salade de lentilles"/>
    <hyperlink ref="E469" location="'E-Carottes râpées'!A1" display="Carottes râpées"/>
    <hyperlink ref="G469" location="'P-Parmentier de canard'!A1" display="Parmentier de canard"/>
    <hyperlink ref="E470" location="'E-Salade de mâche'!A1" display="Salade de mâche"/>
    <hyperlink ref="G470" location="'P-Aubergines farcies'!A1" display="Aubergines farcies"/>
    <hyperlink ref="E471" location="'G-Macédoine de légumes au beurr'!A1" display="Macédoine de légumes au beurre"/>
    <hyperlink ref="G471" location="'P-Nuggets de poulet'!A1" display="Nuggets de poulet"/>
    <hyperlink ref="I471" location="'G-Rösti'!A1" display="Rösti"/>
    <hyperlink ref="E472" location="'E-Salade de pois chiches'!A1" display="Salade de pois chiches"/>
    <hyperlink ref="G472" location="'P-Poisson pané'!A1" display="Poisson pané"/>
    <hyperlink ref="I472" location="'E-Salade de haricots verts'!A1" display="Salade de haricots verts"/>
    <hyperlink ref="E473" location="'E-Poireaux vinaigrette'!A1" display="Poireaux vinaigrette"/>
    <hyperlink ref="G473" location="'E-Salade de pâtes, poulet et pe'!A1" display="Salade de pâtes, poulet et pesto"/>
    <hyperlink ref="E474" location="'E-Salade gourmande de céréales'!A1" display="Salade gourmande de céréales"/>
    <hyperlink ref="G474" location="'P-Rôti de bœuf'!A1" display="Rôti de bœuf"/>
    <hyperlink ref="I474" location="'G-Carottes Vichy'!A1" display="Carottes Vichy"/>
    <hyperlink ref="E475" location="'E-Betteraves vinaigrette'!A1" display="Betteraves vinaigrette"/>
    <hyperlink ref="G475" location="'P-Cordon bleu'!A1" display="Cordon bleu"/>
    <hyperlink ref="I475" location="'G-Brocolis'!A1" display="Brocolis"/>
    <hyperlink ref="E476" location="'E-Terrine de légumes'!A1" display="Terrine de légumes"/>
    <hyperlink ref="G476" location="'P-Tomates farcies'!A1" display="Tomates farcies"/>
    <hyperlink ref="I476" location="'G-Riz pilaf'!A1" display="Riz pilaf"/>
    <hyperlink ref="E477" location="'E-Salade verte'!A1" display="Salade verte"/>
    <hyperlink ref="G477" location="'E-Quiche lorraine'!A1" display="Quiche lorraine"/>
    <hyperlink ref="E478" location="'E-Pâté en croûte'!A1" display="Pâté en croûte"/>
    <hyperlink ref="G478" location="'P-Steak haché'!A1" display="Steak haché"/>
    <hyperlink ref="I478" location="'G-Haricots verts'!A1" display="Haricots verts"/>
    <hyperlink ref="E479" location="'E-Taboulé'!A1" display="Taboulé"/>
    <hyperlink ref="G479" location="'E-Croque-monsieur'!A1" display="Croque-monsieur"/>
    <hyperlink ref="E480" location="'E-Salade de mâche'!A1" display="Salade de mâche"/>
    <hyperlink ref="G480" location="'P-Rôti de bœuf'!A1" display="Rôti de bœuf"/>
    <hyperlink ref="I480" location="'G-Truffade au cantal'!A1" display="Truffade au cantal"/>
    <hyperlink ref="E481" location="'E-Salade de perles'!A1" display="Salade de perles"/>
    <hyperlink ref="G481" location="'P-Courgettes farcies'!A1" display="Courgettes farcies"/>
    <hyperlink ref="E482" location="'E-Tarte à l'oignon'!A1" display="Tarte à l'oignon"/>
    <hyperlink ref="G482" location="'P-Moussaka'!A1" display="Moussaka"/>
    <hyperlink ref="E483" location="'E-Coleslaw'!A1" display="Coleslaw"/>
    <hyperlink ref="G483" location="'P-Raviolis'!A1" display="Raviolis"/>
    <hyperlink ref="E484" location="'E-Salade de lentilles'!A1" display="Salade de lentilles"/>
    <hyperlink ref="G484" location="'P-Rôti de veau'!A1" display="Rôti de veau"/>
    <hyperlink ref="I484" location="'G-Flan de légumes'!A1" display="Flan de légumes"/>
    <hyperlink ref="E485" location="'E-Salade de pois chiches'!A1" display="Salade de pois chiches"/>
    <hyperlink ref="G485" location="'P-Cordon bleu'!A1" display="Cordon bleu"/>
    <hyperlink ref="I485" location="'G-Épinards à la crème'!A1" display="Épinards à la crème"/>
    <hyperlink ref="E486" location="'G-Macédoine de légumes au beurr'!A1" display="Macédoine de légumes au beurre"/>
    <hyperlink ref="G486" location="'P-Lasagnes saumon épinards'!A1" display="Lasagnes saumon épinards"/>
    <hyperlink ref="E487" location="'E-Salade de pommes de terre'!A1" display="Salade de pommes de terre"/>
    <hyperlink ref="G487" location="'E-Melon'!A1" display="Melon"/>
    <hyperlink ref="I487" location="'E-Jambon cru'!A1" display="Jambon cru"/>
    <hyperlink ref="E488" location="'E-Salade crétoise à la feta'!A1" display="Salade crétoise à la feta"/>
    <hyperlink ref="G488" location="'P-Chou farci'!A1" display="Chou farci"/>
    <hyperlink ref="I488" location="'G-Riz pilaf'!A1" display="Riz pilaf"/>
    <hyperlink ref="E489" location="'E-Salade de pâtes'!A1" display="Salade de pâtes"/>
    <hyperlink ref="G489" location="'P-Poisson pané'!A1" display="Poisson pané"/>
    <hyperlink ref="I489" location="'G-Poêlée de légumes'!A1" display="Poêlée de légumes"/>
    <hyperlink ref="E490" location="'E-Feuilleté'!A1" display="Feuilleté"/>
    <hyperlink ref="G490" location="'P-Rôti de porc'!A1" display="Rôti de porc"/>
    <hyperlink ref="I490" location="'G-Ratatouille'!A1" display="Ratatouille"/>
    <hyperlink ref="E491" location="'E-Salade de chou-fleur'!A1" display="Salade de chou-fleur"/>
    <hyperlink ref="G491" location="'P-Hachis parmentier'!A1" display="Hachis parmentier"/>
    <hyperlink ref="E492" location="'E-Pâté de campagne'!A1" display="Pâté de campagne"/>
    <hyperlink ref="G492" location="'P-Steak de bœuf'!A1" display="Steak de bœuf"/>
    <hyperlink ref="I492" location="'G-Salsifis'!A1" display="Salsifis"/>
    <hyperlink ref="E493" location="'E-Betteraves vinaigrette'!A1" display="Betteraves vinaigrette"/>
    <hyperlink ref="G493" location="'P-Dos de colin bordelaise'!A1" display="Dos de colin bordelaise"/>
    <hyperlink ref="I493" location="'G-Rösti'!A1" display="Rösti"/>
    <hyperlink ref="E494" location="'E-Salade verte'!A1" display="Salade verte"/>
    <hyperlink ref="G494" location="'G-Aligot'!A1" display="Aligot"/>
    <hyperlink ref="I494" location="'P-Saucisse de Toulouse'!A1" display="Saucisse de Toulouse"/>
    <hyperlink ref="E495" location="'E-Salade de pois chiches'!A1" display="Salade de pois chiches"/>
    <hyperlink ref="G495" location="'P-Omelette piperade'!A1" display="Omelette piperade"/>
    <hyperlink ref="E496" location="'E-Asperges vinaigrette'!A1" display="Asperges vinaigrette"/>
    <hyperlink ref="G496" location="'P-Sauté de volaille'!A1" display="Sauté de volaille"/>
    <hyperlink ref="I496" location="'G-Riz pilaf'!A1" display="Riz pilaf"/>
    <hyperlink ref="E497" location="'E-Salade de pâtes'!A1" display="Salade de pâtes"/>
    <hyperlink ref="G497" location="'P-Rosbif froid'!A1" display="Rosbif froid"/>
    <hyperlink ref="E498" location="'E-Pizza'!A1" display="Pizza"/>
    <hyperlink ref="G498" location="'P-Gigot d'agneau'!A1" display="Gigot d'agneau"/>
    <hyperlink ref="I498" location="'G-Chou romanesco'!A1" display="Chou romanesco"/>
    <hyperlink ref="E499" location="'E-Tomate antiboise'!A1" display="Tomate antiboise"/>
    <hyperlink ref="G499" location="'P-Feuilleté franc-comtois'!A1" display="Feuilleté franc-comtois"/>
    <hyperlink ref="E500" location="'E-Poireaux vinaigrette'!A1" display="Poireaux vinaigrette"/>
    <hyperlink ref="G500" location="'P-Pavé de saumon'!A1" display="Pavé de saumon"/>
    <hyperlink ref="I500" location="'G-Semoule'!A1" display="Semoule"/>
    <hyperlink ref="E501" location="'E-Melon'!A1" display="Melon"/>
    <hyperlink ref="G501" location="'P-Cordon bleu'!A1" display="Cordon bleu"/>
    <hyperlink ref="I501" location="'G-Haricots plats'!A1" display="Haricots plats"/>
    <hyperlink ref="E502" location="'E-Salade de lentilles'!A1" display="Salade de lentilles"/>
    <hyperlink ref="G502" location="'P-Brochette de volaille'!A1" display="Brochette de volaille"/>
    <hyperlink ref="I502" location="'G-Jardinière de légumes'!A1" display="Jardinière de légumes"/>
    <hyperlink ref="E503" location="'E-Salade verte'!A1" display="Salade verte"/>
    <hyperlink ref="G503" location="'P-Pâtes bolognaise'!A1" display="Pâtes bolognaise"/>
    <hyperlink ref="E504" location="'G-Macédoine de légumes au beurr'!A1" display="Macédoine de légumes au beurre"/>
    <hyperlink ref="G504" location="'P-Tripes à la mode de Caen'!A1" display="Tripes à la mode de Caen"/>
    <hyperlink ref="I504" location="'G-Pommes de terre vapeur'!A1" display="Pommes de terre vapeur"/>
    <hyperlink ref="E505" location="'E-Carottes râpées'!A1" display="Carottes râpées"/>
    <hyperlink ref="G505" location="'P-Bouchée à la reine'!A1" display="Bouchée à la reine"/>
    <hyperlink ref="E506" location="'E-Saucisse sèche'!A1" display="Saucisse sèche"/>
    <hyperlink ref="G506" location="'P-Escalope de veau'!A1" display="Escalope de veau"/>
    <hyperlink ref="I506" location="'G-Petits pois'!A1" display="Petits pois"/>
    <hyperlink ref="E507" location="'E-Salade verte'!A1" display="Salade verte"/>
    <hyperlink ref="G507" location="'P-Lasagnes au bœuf'!A1" display="Lasagnes au bœuf"/>
    <hyperlink ref="E508" location="'E-Nems'!A1" display="Nems"/>
    <hyperlink ref="G508" location="'P-Porc au caramel'!A1" display="Porc au caramel"/>
    <hyperlink ref="I508" location="'G-Nouilles chinoises'!A1" display="Nouilles chinoises"/>
    <hyperlink ref="E509" location="'E-Salade de pois chiches'!A1" display="Salade de pois chiches"/>
    <hyperlink ref="G509" location="'P-Poisson pané'!A1" display="Poisson pané"/>
    <hyperlink ref="I509" location="'G-Poêlée de légumes'!A1" display="Poêlée de légumes"/>
    <hyperlink ref="E510" location="'E-Sardines'!A1" display="Sardines"/>
    <hyperlink ref="G510" location="'P-Suprême de volaille'!A1" display="Suprême de volaille"/>
    <hyperlink ref="I510" location="'G-Haricots verts'!A1" display="Haricots verts"/>
    <hyperlink ref="E511" location="'E-Céleri rémoulade'!A1" display="Céleri rémoulade"/>
    <hyperlink ref="G511" location="'P-Jambon blanc'!A1" display="Jambon blanc"/>
    <hyperlink ref="I511" location="'G-Rösti'!A1" display="Rösti"/>
    <hyperlink ref="E512" location="'E-Melon'!A1" display="Melon"/>
    <hyperlink ref="G512" location="'P-Gardianne de taureau'!A1" display="Gardianne de taureau"/>
    <hyperlink ref="I512" location="'G-Purée de pommes de terre'!A1" display="Purée de pommes de terre"/>
    <hyperlink ref="E513" location="'E-Salade mexicaine'!A1" display="Salade mexicaine"/>
    <hyperlink ref="G513" location="'P-Rôti de veau'!A1" display="Rôti de veau"/>
    <hyperlink ref="I513" location="'G-Poêlée de champignons'!A1" display="Poêlée de champignons"/>
    <hyperlink ref="E514" location="'E-Salade de tomates'!A1" display="Salade de tomates"/>
    <hyperlink ref="G514" location="'P-Calamars à la provençale'!A1" display="Calamars à la provençale"/>
    <hyperlink ref="I514" location="'G-Riz pilaf'!A1" display="Riz pilaf"/>
    <hyperlink ref="E515" location="'E-Salade de pâtes'!A1" display="Salade de pâtes"/>
    <hyperlink ref="G515" location="'P-Rôti de porc'!A1" display="Rôti de porc"/>
    <hyperlink ref="I515" location="'G-Épinards à la crème'!A1" display="Épinards à la crème"/>
    <hyperlink ref="E516" location="'E-Feuilleté'!A1" display="Feuilleté"/>
    <hyperlink ref="G516" location="'P-Rôti de bœuf'!A1" display="Rôti de bœuf"/>
    <hyperlink ref="I516" location="'G-Carottes Vichy'!A1" display="Carottes Vichy"/>
    <hyperlink ref="E517" location="'E-Coleslaw'!A1" display="Coleslaw"/>
    <hyperlink ref="G517" location="'P-Nuggets de poulet'!A1" display="Nuggets de poulet"/>
    <hyperlink ref="I517" location="'G-Pommes dauphine'!A1" display="Pommes dauphine"/>
    <hyperlink ref="E518" location="'E-Pastèque'!A1" display="Pastèque"/>
    <hyperlink ref="G518" location="'P-Sauté de lapin'!A1" display="Sauté de lapin"/>
    <hyperlink ref="I518" location="'G-Pâtes au beurre'!A1" display="Pâtes au beurre"/>
    <hyperlink ref="E519" location="'E-Salade verte'!A1" display="Salade verte"/>
    <hyperlink ref="G519" location="'P-Hachis parmentier'!A1" display="Hachis parmentier"/>
    <hyperlink ref="E520" location="'E-Salade de pois chiches'!A1" display="Salade de pois chiches"/>
    <hyperlink ref="G520" location="'P-Escalope de dinde'!A1" display="Escalope de dinde"/>
    <hyperlink ref="I520" location="'G-Chou-fleur persillé'!A1" display="Chou-fleur persillé"/>
    <hyperlink ref="E521" location="'E-Salade de mâche'!A1" display="Salade de mâche"/>
    <hyperlink ref="G521" location="'P-Raviolis'!A1" display="Raviolis"/>
    <hyperlink ref="E522" location="'E-Melon'!A1" display="Melon"/>
    <hyperlink ref="G522" location="'P-Moules marinières'!A1" display="Moules marinières"/>
    <hyperlink ref="I522" location="'G-Frites'!A1" display="Frites"/>
    <hyperlink ref="E523" location="'E-Pâté de campagne'!A1" display="Pâté de campagne"/>
    <hyperlink ref="G523" location="'P-Courgettes farcies'!A1" display="Courgettes farcies"/>
    <hyperlink ref="I523" location="'G-Riz pilaf'!A1" display="Riz pilaf"/>
    <hyperlink ref="E524" location="'E-Salade de pâtes'!A1" display="Salade de pâtes"/>
    <hyperlink ref="G524" location="'P-Rôti de veau'!A1" display="Rôti de veau"/>
    <hyperlink ref="I524" location="'G-Tomates provençales'!A1" display="Tomates provençales"/>
    <hyperlink ref="E525" location="'E-Betteraves vinaigrette'!A1" display="Betteraves vinaigrette"/>
    <hyperlink ref="G525" location="'P-Parmentier de canard'!A1" display="Parmentier de canard"/>
    <hyperlink ref="E526" location="'E-Carottes râpées'!A1" display="Carottes râpées"/>
    <hyperlink ref="G526" location="'P-Sauté de veau'!A1" display="Sauté de veau"/>
    <hyperlink ref="I526" location="'G-Haricots blancs'!A1" display="Haricots blancs"/>
    <hyperlink ref="E527" location="'E-Crêpe salée jambon fromage'!A1" display="Crêpe salée jambon fromage"/>
    <hyperlink ref="G527" location="'E-Salade de lentilles'!A1" display="Salade de lentilles"/>
    <hyperlink ref="I527" location="'P-Saucisse de Toulouse'!A1" display="Saucisse de Toulouse"/>
    <hyperlink ref="E528" location="'E-Feuilleté'!A1" display="Feuilleté"/>
    <hyperlink ref="G528" location="'P-Dos de cabillaud'!A1" display="Dos de cabillaud"/>
    <hyperlink ref="I528" location="'G-Semoule'!A1" display="Semoule"/>
    <hyperlink ref="E529" location="'E-Tomate à la russe'!A1" display="Tomate à la russe"/>
    <hyperlink ref="G529" location="'P-Jambon blanc'!A1" display="Jambon blanc"/>
    <hyperlink ref="E530" location="'E-Taboulé'!A1" display="Taboulé"/>
    <hyperlink ref="G530" location="'P-Rôti de bœuf'!A1" display="Rôti de bœuf"/>
    <hyperlink ref="I530" location="'G-Haricots verts'!A1" display="Haricots verts"/>
    <hyperlink ref="E531" location="'E-Melon'!A1" display="Melon"/>
    <hyperlink ref="G531" location="'P-Paupiette de volaille'!A1" display="Paupiette de volaille"/>
    <hyperlink ref="I531" location="'G-Pâtes au beurre'!A1" display="Pâtes au beurre"/>
    <hyperlink ref="E532" location="'E-Salade de mâche'!A1" display="Salade de mâche"/>
    <hyperlink ref="G532" location="'P-Langue de bœuf sauce piquante'!A1" display="Langue de bœuf sauce piquante"/>
    <hyperlink ref="I532" location="'G-Pommes de terre vapeur'!A1" display="Pommes de terre vapeur"/>
    <hyperlink ref="E533" location="'E-Salade de riz'!A1" display="Salade de riz"/>
    <hyperlink ref="G533" location="'P-Rôti de porc'!A1" display="Rôti de porc"/>
    <hyperlink ref="I533" location="'G-Poêlée de légumes'!A1" display="Poêlée de légumes"/>
    <hyperlink ref="E534" location="'E-Taboulé'!A1" display="Taboulé"/>
    <hyperlink ref="G534" location="'P-Sauté de volaille'!A1" display="Sauté de volaille"/>
    <hyperlink ref="I534" location="'G-Chou-fleur persillé'!A1" display="Chou-fleur persillé"/>
    <hyperlink ref="E535" location="'E-Salade d'endives'!A1" display="Salade d'endives"/>
    <hyperlink ref="G535" location="'P-Moussaka'!A1" display="Moussaka"/>
    <hyperlink ref="E536" location="'E-Pamplemousse'!A1" display="Pamplemousse"/>
    <hyperlink ref="G536" location="'P-Tartiflette'!A1" display="Tartiflette"/>
    <hyperlink ref="E537" location="'E-Pâté en croûte'!A1" display="Pâté en croûte"/>
    <hyperlink ref="G537" location="'P-Godiveau'!A1" display="Godiveau"/>
    <hyperlink ref="I537" location="'G-Côtes de blettes'!A1" display="Côtes de blettes"/>
    <hyperlink ref="E538" location="'E-Salade de lentilles'!A1" display="Salade de lentilles"/>
    <hyperlink ref="G538" location="'P-Escalope de veau'!A1" display="Escalope de veau"/>
    <hyperlink ref="I538" location="'G-Haricots verts'!A1" display="Haricots verts"/>
    <hyperlink ref="E539" location="'E-Salade verte'!A1" display="Salade verte"/>
    <hyperlink ref="G539" location="'P-Andouillette'!A1" display="Andouillette"/>
    <hyperlink ref="I539" location="'G-Pâtes au beurre'!A1" display="Pâtes au beurre"/>
    <hyperlink ref="E540" location="'E-Avocat vinaigrette ou mayonna'!A1" display="Avocat vinaigrette ou mayonnaise"/>
    <hyperlink ref="G540" location="'P-Steak de bœuf'!A1" display="Steak de bœuf"/>
    <hyperlink ref="I540" location="'G-Petits pois'!A1" display="Petits pois"/>
    <hyperlink ref="E541" location="'E-Salade piémontaise'!A1" display="Salade piémontaise"/>
    <hyperlink ref="G541" location="'P-Cordon bleu'!A1" display="Cordon bleu"/>
    <hyperlink ref="I541" location="'G-Poêlée de légumes'!A1" display="Poêlée de légumes"/>
    <hyperlink ref="E542" location="'E-Pâté aux olives'!A1" display="Pâté aux olives"/>
    <hyperlink ref="G542" location="'P-Dos de cabillaud'!A1" display="Dos de cabillaud"/>
    <hyperlink ref="I542" location="'G-Carottes à la crème'!A1" display="Carottes à la crème"/>
    <hyperlink ref="E543" location="'E-Terrine de légumes'!A1" display="Terrine de légumes"/>
    <hyperlink ref="G543" location="'P-Quenelles de volaille sauce'!A1" display="Quenelles de volaille sauce"/>
    <hyperlink ref="I543" location="'G-Riz pilaf'!A1" display="Riz pilaf"/>
    <hyperlink ref="E544" location="'E-Salade de pâtes'!A1" display="Salade de pâtes"/>
    <hyperlink ref="G544" location="'P-Rôti de porc'!A1" display="Rôti de porc"/>
    <hyperlink ref="I544" location="'G-Chou romanesco'!A1" display="Chou romanesco"/>
    <hyperlink ref="E545" location="'E-Salade verte'!A1" display="Salade verte"/>
    <hyperlink ref="G545" location="'P-Lasagnes au bœuf'!A1" display="Lasagnes au bœuf"/>
    <hyperlink ref="E546" location="'E-Tarte à l'oignon'!A1" display="Tarte à l'oignon"/>
    <hyperlink ref="G546" location="'P-Escalope de porc'!A1" display="Escalope de porc"/>
    <hyperlink ref="I546" location="'G-Salsifis'!A1" display="Salsifis"/>
    <hyperlink ref="E547" location="'E-Carottes râpées'!A1" display="Carottes râpées"/>
    <hyperlink ref="G547" location="'P-Poisson pané'!A1" display="Poisson pané"/>
    <hyperlink ref="I547" location="'G-Râpé de pommes de terre'!A1" display="Râpé de pommes de terre"/>
    <hyperlink ref="E548" location="'E-Pizza'!A1" display="Pizza"/>
    <hyperlink ref="G548" location="'P-Rôti de bœuf'!A1" display="Rôti de bœuf"/>
    <hyperlink ref="I548" location="'G-Haricots beurre'!A1" display="Haricots beurre"/>
    <hyperlink ref="E549" location="'E-Poireaux vinaigrette'!A1" display="Poireaux vinaigrette"/>
    <hyperlink ref="G549" location="'P-Raviolis'!A1" display="Raviolis"/>
    <hyperlink ref="E550" location="'E-Macédoine mayonnaise'!A1" display="Macédoine mayonnaise"/>
    <hyperlink ref="G550" location="'P-Tête de veau sauce gribiche'!A1" display="Tête de veau sauce gribiche"/>
    <hyperlink ref="I550" location="'G-Légumes de pot-au-feu'!A1" display="Légumes de pot-au-feu"/>
    <hyperlink ref="E551" location="'E-Taboulé'!A1" display="Taboulé"/>
    <hyperlink ref="G551" location="'P-Jambon blanc'!A1" display="Jambon blanc"/>
    <hyperlink ref="I551" location="'G-Épinards à la crème'!A1" display="Épinards à la crème"/>
    <hyperlink ref="E552" location="'E-Salade d'endives aux noix'!A1" display="Salade d'endives aux noix"/>
    <hyperlink ref="G552" location="'P-Steak haché'!A1" display="Steak haché"/>
    <hyperlink ref="I552" location="'G-Pâtes au beurre'!A1" display="Pâtes au beurre"/>
    <hyperlink ref="E553" location="'E-Salade verte'!A1" display="Salade verte"/>
    <hyperlink ref="G553" location="'E-Quiche lorraine'!A1" display="Quiche lorraine"/>
    <hyperlink ref="E554" location="'E-Salade de haricots rouges'!A1" display="Salade de haricots rouges"/>
    <hyperlink ref="G554" location="'P-Blanquette de dinde'!A1" display="Blanquette de dinde"/>
    <hyperlink ref="I554" location="'G-Carottes Vichy'!A1" display="Carottes Vichy"/>
    <hyperlink ref="E555" location="'E-Chou rouge râpé aux pommes'!A1" display="Chou rouge râpé aux pommes"/>
    <hyperlink ref="G555" location="'P-Saucisse de volaille'!A1" display="Saucisse de volaille"/>
    <hyperlink ref="I555" location="'G-Riz pilaf'!A1" display="Riz pilaf"/>
    <hyperlink ref="E556" location="'E-Salade de mâche'!A1" display="Salade de mâche"/>
    <hyperlink ref="G556" location="'P-Dos de cabillaud'!A1" display="Dos de cabillaud"/>
    <hyperlink ref="I556" location="'G-Purée de pommes de terre'!A1" display="Purée de pommes de terre"/>
    <hyperlink ref="E557" location="'E-Salade de pâtes, poulet et pe'!A1" display="Salade de pâtes, poulet et pesto"/>
    <hyperlink ref="G557" location="'P-Paupiette de veau sauce tomat'!A1" display="Paupiette de veau sauce tomate"/>
    <hyperlink ref="I557" location="'G-Petits pois'!A1" display="Petits pois"/>
    <hyperlink ref="E558" location="'E-Pâté de campagne'!A1" display="Pâté de campagne"/>
    <hyperlink ref="G558" location="'P-Suprême de volaille'!A1" display="Suprême de volaille"/>
    <hyperlink ref="I558" location="'E-Salade de haricots verts'!A1" display="Salade de haricots verts"/>
    <hyperlink ref="E559" location="'E-Carottes râpées'!A1" display="Carottes râpées"/>
    <hyperlink ref="G559" location="'P-Hachis parmentier'!A1" display="Hachis parmentier"/>
    <hyperlink ref="E560" location="'E-Betteraves vinaigrette'!A1" display="Betteraves vinaigrette"/>
    <hyperlink ref="G560" location="'P-Gigot d'agneau'!A1" display="Gigot d'agneau"/>
    <hyperlink ref="I560" location="'G-Flageolets'!A1" display="Flageolets"/>
    <hyperlink ref="E561" location="'E-Croque-monsieur'!A1" display="Croque-monsieur"/>
    <hyperlink ref="G561" location="'P-Aubergines à la parmesane'!A1" display="Aubergines à la parmesane"/>
    <hyperlink ref="E562" location="'E-Jambon cru'!A1" display="Jambon cru"/>
    <hyperlink ref="G562" location="'P-Escalope de veau'!A1" display="Escalope de veau"/>
    <hyperlink ref="I562" location="'G-Gratin de potimarron'!A1" display="Gratin de potimarron"/>
    <hyperlink ref="E563" location="'E-Carottes râpées'!A1" display="Carottes râpées"/>
    <hyperlink ref="G563" location="'P-Poisson pané'!A1" display="Poisson pané"/>
    <hyperlink ref="I563" location="'G-Purée de brocolis'!A1" display="Purée de brocolis"/>
    <hyperlink ref="E564" location="'E-Salade verte aux croûtons et'!A1" display="Salade verte aux croûtons et gésiers"/>
    <hyperlink ref="G564" location="'P-Sauté de porc aux pruneaux'!A1" display="Sauté de porc aux pruneaux"/>
    <hyperlink ref="I564" location="'G-Pâtes au beurre'!A1" display="Pâtes au beurre"/>
    <hyperlink ref="E565" location="'E-Chou rouge râpé aux pommes'!A1" display="Chou rouge râpé aux pommes"/>
    <hyperlink ref="G565" location="'P-Riz cantonais'!A1" display="Riz cantonais"/>
    <hyperlink ref="E566" location="'E-Taboulé'!A1" display="Taboulé"/>
    <hyperlink ref="G566" location="'P-Cordon bleu'!A1" display="Cordon bleu"/>
    <hyperlink ref="I566" location="'G-Petits pois'!A1" display="Petits pois"/>
    <hyperlink ref="E567" location="'E-Macédoine mayonnaise'!A1" display="Macédoine mayonnaise"/>
    <hyperlink ref="G567" location="'P-Rôti de dinde'!A1" display="Rôti de dinde"/>
    <hyperlink ref="I567" location="'G-Rösti'!A1" display="Rösti"/>
    <hyperlink ref="E568" location="'E-Salade de lentilles'!A1" display="Salade de lentilles"/>
    <hyperlink ref="G568" location="'P-Bœuf bourguignon'!A1" display="Bœuf bourguignon"/>
    <hyperlink ref="I568" location="'G-Pâtes au beurre'!A1" display="Pâtes au beurre"/>
    <hyperlink ref="E569" location="'E-Salade d'endives'!A1" display="Salade d'endives"/>
    <hyperlink ref="G569" location="'P-Jambon braisé'!A1" display="Jambon braisé"/>
    <hyperlink ref="I569" location="'G-Chou-fleur persillé'!A1" display="Chou-fleur persillé"/>
    <hyperlink ref="E570" location="'E-Poireaux vinaigrette'!A1" display="Poireaux vinaigrette"/>
    <hyperlink ref="G570" location="'P-Dos de colin bordelaise'!A1" display="Dos de colin bordelaise"/>
    <hyperlink ref="I570" location="'G-Riz pilaf'!A1" display="Riz pilaf"/>
    <hyperlink ref="E571" location="'E-Tarte au fromage'!A1" display="Tarte au fromage"/>
    <hyperlink ref="G571" location="'P-Escalope viennoise'!A1" display="Escalope viennoise"/>
    <hyperlink ref="I571" location="'G-Haricots beurre'!A1" display="Haricots beurre"/>
    <hyperlink ref="E572" location="'E-Salade de pâtes'!A1" display="Salade de pâtes"/>
    <hyperlink ref="G572" location="'P-Sauté d'agneau'!A1" display="Sauté d'agneau"/>
    <hyperlink ref="I572" location="'G-Gratin de courgettes'!A1" display="Gratin de courgettes"/>
    <hyperlink ref="E573" location="'E-Terrine de légumes'!A1" display="Terrine de légumes"/>
    <hyperlink ref="G573" location="'P-Rôti de veau'!A1" display="Rôti de veau"/>
    <hyperlink ref="I573" location="'G-Haricots blancs'!A1" display="Haricots blancs"/>
    <hyperlink ref="E574" location="'E-Salade de betteraves et maïs'!A1" display="Salade de betteraves et maïs"/>
    <hyperlink ref="G574" location="'P-Rôti de bœuf'!A1" display="Rôti de bœuf"/>
    <hyperlink ref="I574" location="'G-Gratin dauphinois'!A1" display="Gratin dauphinois"/>
    <hyperlink ref="E575" location="'E-Salade de pois chiches'!A1" display="Salade de pois chiches"/>
    <hyperlink ref="G575" location="'E-Crêpe salée jambon fromage'!A1" display="Crêpe salée jambon fromage"/>
    <hyperlink ref="I575" location="'E-Salade verte'!A1" display="Salade verte"/>
    <hyperlink ref="E576" location="'E-Taboulé'!A1" display="Taboulé"/>
    <hyperlink ref="G576" location="'P-Paupiette de veau sauce tomat'!A1" display="Paupiette de veau sauce tomate"/>
    <hyperlink ref="I576" location="'G-Haricots plats'!A1" display="Haricots plats"/>
    <hyperlink ref="E577" location="'E-Carottes râpées'!A1" display="Carottes râpées"/>
    <hyperlink ref="G577" location="'P-Pommes de terre farcies'!A1" display="Pommes de terre farcies"/>
    <hyperlink ref="E578" location="'E-Salade de chou chinois'!A1" display="Salade de chou chinois"/>
    <hyperlink ref="G578" location="'P-Bœuf aux oignons'!A1" display="Bœuf aux oignons"/>
    <hyperlink ref="I578" location="'G-Nouilles chinoises'!A1" display="Nouilles chinoises"/>
    <hyperlink ref="K578" location="'D-Salade de fruits frais'!A1" display="Salade de fruits frais"/>
    <hyperlink ref="E579" location="'E-Salade de pommes de terre'!A1" display="Salade de pommes de terre"/>
    <hyperlink ref="G579" location="'P-Endives au jambon'!A1" display="Endives au jambon"/>
    <hyperlink ref="E580" location="'E-Salade de mâche'!A1" display="Salade de mâche"/>
    <hyperlink ref="G580" location="'P-Rôti de veau'!A1" display="Rôti de veau"/>
    <hyperlink ref="I580" location="'G-Poêlée de champignons'!A1" display="Poêlée de champignons"/>
    <hyperlink ref="E581" location="'E-Salade de haricots verts'!A1" display="Salade de haricots verts"/>
    <hyperlink ref="G581" location="'P-Saucisse de Toulouse'!A1" display="Saucisse de Toulouse"/>
    <hyperlink ref="I581" location="'G-Lentilles'!A1" display="Lentilles"/>
    <hyperlink ref="E582" location="'E-Terrine de poisson'!A1" display="Terrine de poisson"/>
    <hyperlink ref="G582" location="'P-Cuisse de pintade'!A1" display="Cuisse de pintade"/>
    <hyperlink ref="I582" location="'G-Purée de châtaignes et pommes'!A1" display="Purée de châtaignes et pommes de terre"/>
    <hyperlink ref="E583" location="'E-Salade de pois chiches'!A1" display="Salade de pois chiches"/>
    <hyperlink ref="G583" location="'P-Cordon bleu'!A1" display="Cordon bleu"/>
    <hyperlink ref="I583" location="'G-Salsifis'!A1" display="Salsifis"/>
    <hyperlink ref="E584" location="'E-Salade de riz'!A1" display="Salade de riz"/>
    <hyperlink ref="G584" location="'P-Dos de cabillaud'!A1" display="Dos de cabillaud"/>
    <hyperlink ref="I584" location="'G-Fondue de poireaux'!A1" display="Fondue de poireaux"/>
    <hyperlink ref="E585" location="'E-Salade d'endives'!A1" display="Salade d'endives"/>
    <hyperlink ref="G585" location="'P-Sot-l'y-laisse de dinde à la'!A1" display="Sot-l'y-laisse de dinde à la crème"/>
    <hyperlink ref="I585" location="'G-Semoule'!A1" display="Semoule"/>
    <hyperlink ref="E586" location="'E-Assiette de charcuterie'!A1" display="Assiette de charcuterie"/>
    <hyperlink ref="G586" location="'P-Poulet basquaise'!A1" display="Poulet basquaise"/>
    <hyperlink ref="I586" location="'G-Riz pilaf'!A1" display="Riz pilaf"/>
    <hyperlink ref="E587" location="'E-Tarte à l'oignon'!A1" display="Tarte à l'oignon"/>
    <hyperlink ref="G587" location="'P-Œufs durs sauce béchamel'!A1" display="Œufs durs sauce béchamel"/>
    <hyperlink ref="I587" location="'G-Épinards à la crème'!A1" display="Épinards à la crème"/>
    <hyperlink ref="E588" location="'E-Salade de mâche'!A1" display="Salade de mâche"/>
    <hyperlink ref="G588" location="'P-Rôti de porc'!A1" display="Rôti de porc"/>
    <hyperlink ref="I588" location="'G-Petits pois carottes'!A1" display="Petits pois carottes"/>
    <hyperlink ref="E589" location="'E-Salade verte'!A1" display="Salade verte"/>
    <hyperlink ref="G589" location="'P-Lasagnes au bœuf'!A1" display="Lasagnes au bœuf"/>
    <hyperlink ref="E590" location="'E-Maquereaux à la moutarde'!A1" display="Maquereaux à la moutarde"/>
    <hyperlink ref="G590" location="'P-Steak de bœuf'!A1" display="Steak de bœuf"/>
    <hyperlink ref="I590" location="'G-Chou-fleur persillé'!A1" display="Chou-fleur persillé"/>
    <hyperlink ref="E591" location="'E-Taboulé'!A1" display="Taboulé"/>
    <hyperlink ref="G591" location="'P-Rôti de veau'!A1" display="Rôti de veau"/>
    <hyperlink ref="I591" location="'E-Salade de haricots verts'!A1" display="Salade de haricots verts"/>
    <hyperlink ref="E592" location="'E-Endives au bleu et aux noix'!A1" display="Endives au bleu et aux noix"/>
    <hyperlink ref="G592" location="'P-Sauté de porc au curry doux'!A1" display="Sauté de porc au curry doux"/>
    <hyperlink ref="I592" location="'G-Riz pilaf'!A1" display="Riz pilaf"/>
    <hyperlink ref="E593" location="'E-Carottes râpées'!A1" display="Carottes râpées"/>
    <hyperlink ref="G593" location="'P-Hachis parmentier'!A1" display="Hachis parmentier"/>
    <hyperlink ref="E594" location="'E-Betteraves vinaigrette'!A1" display="Betteraves vinaigrette"/>
    <hyperlink ref="G594" location="'P-Blanquette de veau'!A1" display="Blanquette de veau"/>
    <hyperlink ref="I594" location="'G-Pommes de terre vapeur'!A1" display="Pommes de terre vapeur"/>
    <hyperlink ref="E595" location="'E-Salade de riz'!A1" display="Salade de riz"/>
    <hyperlink ref="G595" location="'P-Jambon braisé'!A1" display="Jambon braisé"/>
    <hyperlink ref="I595" location="'G-Purée de potiron'!A1" display="Purée de potiron"/>
    <hyperlink ref="E596" location="'E-Salade ebly'!A1" display="Salade ebly"/>
    <hyperlink ref="G596" location="'P-Suprême de volaille'!A1" display="Suprême de volaille"/>
    <hyperlink ref="I596" location="'E-Salade de haricots verts'!A1" display="Salade de haricots verts"/>
    <hyperlink ref="E597" location="'E-Betteraves vinaigrette'!A1" display="Betteraves vinaigrette"/>
    <hyperlink ref="G597" location="'P-Cordon bleu'!A1" display="Cordon bleu"/>
    <hyperlink ref="I597" location="'G-Pâtes au pesto'!A1" display="Pâtes au pesto"/>
    <hyperlink ref="E598" location="'E-Salade verte'!A1" display="Salade verte"/>
    <hyperlink ref="G598" location="'P-Lasagnes saumon épinards'!A1" display="Lasagnes saumon épinards"/>
    <hyperlink ref="I598" location="'G-Carottes à la crème'!A1" display="Carottes à la crème"/>
    <hyperlink ref="E599" location="'E-Salade de pois chiches'!A1" display="Salade de pois chiches"/>
    <hyperlink ref="G599" location="'P-Saucisse de Toulouse'!A1" display="Saucisse de Toulouse"/>
    <hyperlink ref="I599" location="'G-Choux de Bruxelles'!A1" display="Choux de Bruxelles"/>
    <hyperlink ref="E600" location="'E-Salade de lentilles'!A1" display="Salade de lentilles"/>
    <hyperlink ref="G600" location="'P-Rôti de bœuf'!A1" display="Rôti de bœuf"/>
    <hyperlink ref="I600" location="'G-Gratin de potimarron'!A1" display="Gratin de potimarron"/>
    <hyperlink ref="E601" location="'E-Chou rouge râpé aux pommes'!A1" display="Chou rouge râpé aux pommes"/>
    <hyperlink ref="G601" location="'P-Merguez'!A1" display="Merguez"/>
    <hyperlink ref="I601" location="'G-Semoule'!A1" display="Semoule"/>
    <hyperlink ref="E602" location="'E-Assiette de charcuterie'!A1" display="Assiette de charcuterie"/>
    <hyperlink ref="G602" location="'P-Filet mignon de porc au cidre'!A1" display="Filet mignon de porc au cidre"/>
    <hyperlink ref="I602" location="'G-Gratin dauphinois'!A1" display="Gratin dauphinois"/>
    <hyperlink ref="E603" location="'E-Salade verte'!A1" display="Salade verte"/>
    <hyperlink ref="G603" location="'E-Quiche au thon'!A1" display="Quiche au thon"/>
    <hyperlink ref="E604" location="'E-Pizza'!A1" display="Pizza"/>
    <hyperlink ref="G604" location="'P-Rôti de bœuf'!A1" display="Rôti de bœuf"/>
    <hyperlink ref="I604" location="'G-Haricots beurre'!A1" display="Haricots beurre"/>
    <hyperlink ref="E605" location="'E-Poireaux vinaigrette'!A1" display="Poireaux vinaigrette"/>
    <hyperlink ref="G605" location="'P-Raviolis'!A1" display="Raviolis"/>
    <hyperlink ref="E606" location="'E-Carottes râpées'!A1" display="Carottes râpées"/>
    <hyperlink ref="G606" location="'P-Tête de veau sauce gribiche'!A1" display="Tête de veau sauce gribiche"/>
    <hyperlink ref="I606" location="'G-Légumes de pot-au-feu'!A1" display="Légumes de pot-au-feu"/>
    <hyperlink ref="E607" location="'E-Taboulé'!A1" display="Taboulé"/>
    <hyperlink ref="G607" location="'P-Jambon blanc'!A1" display="Jambon blanc"/>
    <hyperlink ref="I607" location="'G-Épinards à la crème'!A1" display="Épinards à la crème"/>
    <hyperlink ref="E608" location="'E-Salade d'endives aux noix'!A1" display="Salade d'endives aux noix"/>
    <hyperlink ref="G608" location="'P-Rôti de porc'!A1" display="Rôti de porc"/>
    <hyperlink ref="I608" location="'G-Pâtes au beurre'!A1" display="Pâtes au beurre"/>
    <hyperlink ref="E609" location="'E-Salade verte'!A1" display="Salade verte"/>
    <hyperlink ref="G609" location="'E-Quiche lorraine'!A1" display="Quiche lorraine"/>
    <hyperlink ref="E610" location="'E-Salade de haricots rouges'!A1" display="Salade de haricots rouges"/>
    <hyperlink ref="G610" location="'P-Blanquette de dinde'!A1" display="Blanquette de dinde"/>
    <hyperlink ref="I610" location="'G-Carottes Vichy'!A1" display="Carottes Vichy"/>
    <hyperlink ref="E611" location="'E-Chou rouge râpé aux pommes'!A1" display="Chou rouge râpé aux pommes"/>
    <hyperlink ref="G611" location="'P-Saucisse de volaille'!A1" display="Saucisse de volaille"/>
    <hyperlink ref="I611" location="'G-Riz pilaf'!A1" display="Riz pilaf"/>
    <hyperlink ref="E612" location="'E-Salade de mâche'!A1" display="Salade de mâche"/>
    <hyperlink ref="G612" location="'P-Dos de cabillaud'!A1" display="Dos de cabillaud"/>
    <hyperlink ref="I612" location="'G-Purée de pommes de terre'!A1" display="Purée de pommes de terre"/>
    <hyperlink ref="E613" location="'E-Salade de pâtes, poulet et pe'!A1" display="Salade de pâtes, poulet et pesto"/>
    <hyperlink ref="G613" location="'P-Paupiette de veau sauce tomat'!A1" display="Paupiette de veau sauce tomate"/>
    <hyperlink ref="I613" location="'G-Petits pois'!A1" display="Petits pois"/>
    <hyperlink ref="E614" location="'E-Pâté de campagne'!A1" display="Pâté de campagne"/>
    <hyperlink ref="G614" location="'P-Suprême de volaille'!A1" display="Suprême de volaille"/>
    <hyperlink ref="I614" location="'E-Salade de haricots verts'!A1" display="Salade de haricots verts"/>
    <hyperlink ref="E615" location="'E-Carottes râpées'!A1" display="Carottes râpées"/>
    <hyperlink ref="G615" location="'P-Hachis parmentier'!A1" display="Hachis parmentier"/>
    <hyperlink ref="E616" location="'E-Betteraves vinaigrette'!A1" display="Betteraves vinaigrette"/>
    <hyperlink ref="G616" location="'P-Gigot d'agneau'!A1" display="Gigot d'agneau"/>
    <hyperlink ref="I616" location="'G-Flageolets'!A1" display="Flageolets"/>
    <hyperlink ref="E617" location="'E-Croque-monsieur'!A1" display="Croque-monsieur"/>
    <hyperlink ref="G617" location="'P-Aubergines à la parmesane'!A1" display="Aubergines à la parmesane"/>
    <hyperlink ref="E618" location="'E-Jambon cru'!A1" display="Jambon cru"/>
    <hyperlink ref="G618" location="'P-Pavé de poisson sauce beurre'!A1" display="Pavé de poisson sauce beurre blanc"/>
    <hyperlink ref="I618" location="'G-Épinards à la crème'!A1" display="Épinards à la crème"/>
    <hyperlink ref="E619" location="'E-Poireaux vinaigrette'!A1" display="Poireaux vinaigrette"/>
    <hyperlink ref="G619" location="'P-Escalope viennoise'!A1" display="Escalope viennoise"/>
    <hyperlink ref="I619" location="'G-Riz à la tomate'!A1" display="Riz à la tomate"/>
    <hyperlink ref="E620" location="'E-Avocat vinaigrette ou mayonna'!A1" display="Avocat vinaigrette ou mayonnaise"/>
    <hyperlink ref="G620" location="'P-Pot-au-feu'!A1" display="Pot-au-feu"/>
    <hyperlink ref="E621" location="'E-Potage de légumes'!A1" display="Potage de légumes"/>
    <hyperlink ref="G621" location="'P-Pâtes bolognaise'!A1" display="Pâtes bolognaise"/>
    <hyperlink ref="E622" location="'E-Feuilleté'!A1" display="Feuilleté"/>
    <hyperlink ref="G622" location="'P-Suprême de volaille'!A1" display="Suprême de volaille"/>
    <hyperlink ref="I622" location="'G-Petits pois'!A1" display="Petits pois"/>
    <hyperlink ref="E623" location="'E-Taboulé'!A1" display="Taboulé"/>
    <hyperlink ref="G623" location="'P-Langue de bœuf sauce piquante'!A1" display="Langue de bœuf sauce piquante"/>
    <hyperlink ref="I623" location="'G-Côtes de blettes'!A1" display="Côtes de blettes"/>
    <hyperlink ref="E624" location="'E-Salade d'endives'!A1" display="Salade d'endives"/>
    <hyperlink ref="G624" location="'P-Choucroute garnie'!A1" display="Choucroute garnie"/>
    <hyperlink ref="E625" location="'E-Potage de féculents'!A1" display="Potage de féculents"/>
    <hyperlink ref="G625" location="'P-Mortadelle'!A1" display="Mortadelle"/>
    <hyperlink ref="I625" location="'G-Carottes Vichy'!A1" display="Carottes Vichy"/>
    <hyperlink ref="E626" location="'E-Salade mexicaine'!A1" display="Salade mexicaine"/>
    <hyperlink ref="G626" location="'P-Gratin de poisson'!A1" display="Gratin de poisson"/>
    <hyperlink ref="I626" location="'G-Haricots verts'!A1" display="Haricots verts"/>
    <hyperlink ref="E627" location="'E-Salade de chou chinois'!A1" display="Salade de chou chinois"/>
    <hyperlink ref="G627" location="'E-Quiche lorraine'!A1" display="Quiche lorraine"/>
    <hyperlink ref="I627" location="'G-Pâtes au beurre'!A1" display="Pâtes au beurre"/>
    <hyperlink ref="E628" location="'E-Pamplemousse'!A1" display="Pamplemousse"/>
    <hyperlink ref="G628" location="'P-Escalope de veau'!A1" display="Escalope de veau"/>
    <hyperlink ref="I628" location="'G-Pommes de terre boulangère'!A1" display="Pommes de terre boulangère"/>
    <hyperlink ref="E629" location="'E-Potage de légumes'!A1" display="Potage de légumes"/>
    <hyperlink ref="G629" location="'P-Nuggets de poulet'!A1" display="Nuggets de poulet"/>
    <hyperlink ref="I629" location="'G-Salsifis'!A1" display="Salsifis"/>
    <hyperlink ref="E630" location="'E-Salade verte'!A1" display="Salade verte"/>
    <hyperlink ref="G630" location="'P-Paupiette de volaille'!A1" display="Paupiette de volaille"/>
    <hyperlink ref="I630" location="'G-Riz pilaf'!A1" display="Riz pilaf"/>
    <hyperlink ref="E631" location="'E-Betteraves vinaigrette'!A1" display="Betteraves vinaigrette"/>
    <hyperlink ref="G631" location="'P-Jambon blanc'!A1" display="Jambon blanc"/>
    <hyperlink ref="I631" location="'G-Pommes duchesse'!A1" display="Pommes duchesse"/>
    <hyperlink ref="E632" location="'E-Taboulé'!A1" display="Taboulé"/>
    <hyperlink ref="G632" location="'P-Paupiette de veau sauce tomat'!A1" display="Paupiette de veau sauce tomate"/>
    <hyperlink ref="I632" location="'G-Haricots plats'!A1" display="Haricots plats"/>
    <hyperlink ref="E633" location="'E-Betteraves vinaigrette'!A1" display="Betteraves vinaigrette"/>
    <hyperlink ref="G633" location="'P-Pommes de terre farcies'!A1" display="Pommes de terre farcies"/>
    <hyperlink ref="E634" location="'E-Salade de chou chinois'!A1" display="Salade de chou chinois"/>
    <hyperlink ref="G634" location="'P-Bœuf aux oignons'!A1" display="Bœuf aux oignons"/>
    <hyperlink ref="I634" location="'G-Nouilles chinoises'!A1" display="Nouilles chinoises"/>
    <hyperlink ref="K634" location="'D-Salade de fruits frais'!A1" display="Salade de fruits frais"/>
    <hyperlink ref="E635" location="'E-Salade de pommes de terre'!A1" display="Salade de pommes de terre"/>
    <hyperlink ref="G635" location="'P-Endives au jambon'!A1" display="Endives au jambon"/>
    <hyperlink ref="E636" location="'E-Carottes râpées'!A1" display="Carottes râpées"/>
    <hyperlink ref="G636" location="'P-Rôti de veau'!A1" display="Rôti de veau"/>
    <hyperlink ref="I636" location="'G-Poêlée de champignons'!A1" display="Poêlée de champignons"/>
    <hyperlink ref="E637" location="'E-Salade de haricots verts'!A1" display="Salade de haricots verts"/>
    <hyperlink ref="G637" location="'P-Saucisse de Toulouse'!A1" display="Saucisse de Toulouse"/>
    <hyperlink ref="I637" location="'G-Lentilles'!A1" display="Lentilles"/>
    <hyperlink ref="E638" location="'E-Terrine de poisson'!A1" display="Terrine de poisson"/>
    <hyperlink ref="G638" location="'P-Cuisse de pintade'!A1" display="Cuisse de pintade"/>
    <hyperlink ref="I638" location="'G-Purée de châtaignes et pommes'!A1" display="Purée de châtaignes et pommes de terre"/>
    <hyperlink ref="E639" location="'E-Salade de pois chiches'!A1" display="Salade de pois chiches"/>
    <hyperlink ref="G639" location="'P-Cordon bleu'!A1" display="Cordon bleu"/>
    <hyperlink ref="I639" location="'G-Salsifis'!A1" display="Salsifis"/>
    <hyperlink ref="E640" location="'E-Salade de riz'!A1" display="Salade de riz"/>
    <hyperlink ref="G640" location="'P-Dos de cabillaud'!A1" display="Dos de cabillaud"/>
    <hyperlink ref="I640" location="'G-Fondue de poireaux'!A1" display="Fondue de poireaux"/>
    <hyperlink ref="E641" location="'E-Salade d'endives'!A1" display="Salade d'endives"/>
    <hyperlink ref="G641" location="'P-Sot-l'y-laisse de dinde à la'!A1" display="Sot-l'y-laisse de dinde à la crème"/>
    <hyperlink ref="I641" location="'G-Semoule'!A1" display="Semoule"/>
    <hyperlink ref="E642" location="'E-Assiette de charcuterie'!A1" display="Assiette de charcuterie"/>
    <hyperlink ref="G642" location="'P-Poulet basquaise'!A1" display="Poulet basquaise"/>
    <hyperlink ref="I642" location="'G-Riz pilaf'!A1" display="Riz pilaf"/>
    <hyperlink ref="E643" location="'E-Tarte à l'oignon'!A1" display="Tarte à l'oignon"/>
    <hyperlink ref="G643" location="'P-Œufs durs sauce béchamel'!A1" display="Œufs durs sauce béchamel"/>
    <hyperlink ref="I643" location="'G-Épinards à la crème'!A1" display="Épinards à la crème"/>
    <hyperlink ref="E644" location="'E-Salade de mâche'!A1" display="Salade de mâche"/>
    <hyperlink ref="G644" location="'P-Rôti de porc'!A1" display="Rôti de porc"/>
    <hyperlink ref="I644" location="'G-Petits pois carottes'!A1" display="Petits pois carottes"/>
    <hyperlink ref="E645" location="'E-Salade verte'!A1" display="Salade verte"/>
    <hyperlink ref="G645" location="'P-Lasagnes au bœuf'!A1" display="Lasagnes au bœuf"/>
    <hyperlink ref="E646" location="'E-Maquereaux à la moutarde'!A1" display="Maquereaux à la moutarde"/>
    <hyperlink ref="G646" location="'P-Steak de bœuf'!A1" display="Steak de bœuf"/>
    <hyperlink ref="I646" location="'G-Chou-fleur persillé'!A1" display="Chou-fleur persillé"/>
    <hyperlink ref="E647" location="'E-Taboulé'!A1" display="Taboulé"/>
    <hyperlink ref="G647" location="'P-Rôti de veau'!A1" display="Rôti de veau"/>
    <hyperlink ref="I647" location="'E-Salade de haricots verts'!A1" display="Salade de haricots verts"/>
    <hyperlink ref="E648" location="'E-Endives au bleu et aux noix'!A1" display="Endives au bleu et aux noix"/>
    <hyperlink ref="G648" location="'P-Sauté de porc au curry doux'!A1" display="Sauté de porc au curry doux"/>
    <hyperlink ref="I648" location="'G-Riz pilaf'!A1" display="Riz pilaf"/>
    <hyperlink ref="E649" location="'E-Carottes râpées'!A1" display="Carottes râpées"/>
    <hyperlink ref="G649" location="'P-Hachis parmentier'!A1" display="Hachis parmentier"/>
    <hyperlink ref="E650" location="'E-Betteraves vinaigrette'!A1" display="Betteraves vinaigrette"/>
    <hyperlink ref="G650" location="'P-Blanquette de veau'!A1" display="Blanquette de veau"/>
    <hyperlink ref="I650" location="'G-Pommes de terre vapeur'!A1" display="Pommes de terre vapeur"/>
    <hyperlink ref="E651" location="'E-Salade de riz'!A1" display="Salade de riz"/>
    <hyperlink ref="G651" location="'P-Jambon braisé'!A1" display="Jambon braisé"/>
    <hyperlink ref="I651" location="'G-Purée de potiron'!A1" display="Purée de potiron"/>
    <hyperlink ref="E652" location="'E-Salade de pâtes'!A1" display="Salade de pâtes"/>
    <hyperlink ref="G652" location="'P-Suprême de volaille'!A1" display="Suprême de volaille"/>
    <hyperlink ref="I652" location="'E-Salade de haricots verts'!A1" display="Salade de haricots verts"/>
    <hyperlink ref="E653" location="'E-Betteraves vinaigrette'!A1" display="Betteraves vinaigrette"/>
    <hyperlink ref="G653" location="'P-Cordon bleu'!A1" display="Cordon bleu"/>
    <hyperlink ref="I653" location="'G-Pâtes au pesto'!A1" display="Pâtes au pesto"/>
    <hyperlink ref="E654" location="'E-Salade verte'!A1" display="Salade verte"/>
    <hyperlink ref="G654" location="'P-Lasagnes saumon épinards'!A1" display="Lasagnes saumon épinards"/>
    <hyperlink ref="I654" location="'G-Carottes à la crème'!A1" display="Carottes à la crème"/>
    <hyperlink ref="E655" location="'E-Salade de pois chiches'!A1" display="Salade de pois chiches"/>
    <hyperlink ref="G655" location="'P-Saucisse de Toulouse'!A1" display="Saucisse de Toulouse"/>
    <hyperlink ref="I655" location="'G-Choux de Bruxelles'!A1" display="Choux de Bruxelles"/>
    <hyperlink ref="E656" location="'E-Salade de lentilles'!A1" display="Salade de lentilles"/>
    <hyperlink ref="G656" location="'P-Rôti de bœuf'!A1" display="Rôti de bœuf"/>
    <hyperlink ref="I656" location="'G-Gratin de potimarron'!A1" display="Gratin de potimarron"/>
    <hyperlink ref="E657" location="'E-Chou rouge râpé aux pommes'!A1" display="Chou rouge râpé aux pommes"/>
    <hyperlink ref="G657" location="'P-Merguez'!A1" display="Merguez"/>
    <hyperlink ref="I657" location="'G-Semoule'!A1" display="Semoule"/>
    <hyperlink ref="E658" location="'E-Assiette de charcuterie'!A1" display="Assiette de charcuterie"/>
    <hyperlink ref="G658" location="'P-Filet mignon de porc au cidre'!A1" display="Filet mignon de porc au cidre"/>
    <hyperlink ref="I658" location="'G-Gratin dauphinois'!A1" display="Gratin dauphinois"/>
    <hyperlink ref="E659" location="'E-Salade verte'!A1" display="Salade verte"/>
    <hyperlink ref="G659" location="'E-Quiche au thon'!A1" display="Quiche au thon"/>
    <hyperlink ref="E660" location="'E-Taboulé'!A1" display="Taboulé"/>
    <hyperlink ref="G660" location="'P-Paupiette de volaille'!A1" display="Paupiette de volaille"/>
    <hyperlink ref="I660" location="'G-Gratin de chou-fleur'!A1" display="Gratin de chou-fleur"/>
    <hyperlink ref="E661" location="'E-Salade d'endives'!A1" display="Salade d'endives"/>
    <hyperlink ref="G661" location="'P-Jambon blanc'!A1" display="Jambon blanc"/>
    <hyperlink ref="I661" location="'G-Pommes de terre rissolées'!A1" display="Pommes de terre rissolées"/>
    <hyperlink ref="E662" location="'E-Pamplemousse'!A1" display="Pamplemousse"/>
    <hyperlink ref="G662" location="'P-Tartiflette'!A1" display="Tartiflette"/>
    <hyperlink ref="E663" location="'E-Potage de légumes'!A1" display="Potage de légumes"/>
    <hyperlink ref="G663" location="'E-Œuf mayonnaise'!A1" display="Œuf mayonnaise"/>
    <hyperlink ref="I663" location="'G-Salsifis'!A1" display="Salsifis"/>
    <hyperlink ref="E664" location="'E-Salade de lentilles'!A1" display="Salade de lentilles"/>
    <hyperlink ref="G664" location="'P-Sauté de veau'!A1" display="Sauté de veau"/>
    <hyperlink ref="I664" location="'G-Haricots verts'!A1" display="Haricots verts"/>
    <hyperlink ref="E665" location="'E-Betteraves vinaigrette'!A1" display="Betteraves vinaigrette"/>
    <hyperlink ref="G665" location="'P-Andouillette'!A1" display="Andouillette"/>
    <hyperlink ref="I665" location="'G-Pâtes au beurre'!A1" display="Pâtes au beurre"/>
    <hyperlink ref="E666" location="'E-Avocat vinaigrette ou mayonna'!A1" display="Avocat vinaigrette ou mayonnaise"/>
    <hyperlink ref="G666" location="'P-Tête de veau sauce gribiche'!A1" display="Tête de veau sauce gribiche"/>
    <hyperlink ref="I666" location="'G-Pommes de terre vapeur'!A1" display="Pommes de terre vapeur"/>
    <hyperlink ref="E667" location="'E-Potage de féculents'!A1" display="Potage de féculents"/>
    <hyperlink ref="G667" location="'P-Cordon bleu'!A1" display="Cordon bleu"/>
    <hyperlink ref="I667" location="'G-Brocolis'!A1" display="Brocolis"/>
    <hyperlink ref="E668" location="'E-Pâté aux olives'!A1" display="Pâté aux olives"/>
    <hyperlink ref="G668" location="'P-Pavé de poisson sauce beurre'!A1" display="Pavé de poisson sauce beurre blanc"/>
    <hyperlink ref="I668" location="'G-Riz pilaf'!A1" display="Riz pilaf"/>
    <hyperlink ref="E669" location="'E-Terrine de légumes'!A1" display="Terrine de légumes"/>
    <hyperlink ref="G669" location="'P-Quenelles de volaille sauce'!A1" display="Quenelles de volaille sauce"/>
    <hyperlink ref="I669" location="'E-Salade verte'!A1" display="Salade verte"/>
    <hyperlink ref="E670" location="'E-Salade de pâtes'!A1" display="Salade de pâtes"/>
    <hyperlink ref="G670" location="'P-Rôti de porc'!A1" display="Rôti de porc"/>
    <hyperlink ref="I670" location="'G-Chou romanesco'!A1" display="Chou romanesco"/>
    <hyperlink ref="E671" location="'E-Potage de légumes'!A1" display="Potage de légumes"/>
    <hyperlink ref="G671" location="'P-Lasagnes au bœuf'!A1" display="Lasagnes au bœuf"/>
    <hyperlink ref="E672" location="'E-Salade verte'!A1" display="Salade verte"/>
    <hyperlink ref="G672" location="'P-Bœuf bourguignon'!A1" display="Bœuf bourguignon"/>
    <hyperlink ref="I672" location="'G-Semoule'!A1" display="Semoule"/>
    <hyperlink ref="E673" location="'E-Carottes râpées'!A1" display="Carottes râpées"/>
    <hyperlink ref="G673" location="'P-Dos de colin meunière'!A1" display="Dos de colin meunière"/>
    <hyperlink ref="I673" location="'G-Râpé de pommes de terre'!A1" display="Râpé de pommes de terre"/>
    <hyperlink ref="E674" location="'E-Salade verte'!A1" display="Salade verte"/>
    <hyperlink ref="G674" location="'P-Sauté de lapin'!A1" display="Sauté de lapin"/>
    <hyperlink ref="I674" location="'G-Choux de Bruxelles'!A1" display="Choux de Bruxelles"/>
    <hyperlink ref="E675" location="'E-Salade de perles'!A1" display="Salade de perles"/>
    <hyperlink ref="G675" location="'P-Endives au jambon'!A1" display="Endives au jambon"/>
    <hyperlink ref="E676" location="'E-Coleslaw'!A1" display="Coleslaw"/>
    <hyperlink ref="G676" location="'P-Croziflette'!A1" display="Croziflette"/>
    <hyperlink ref="E677" location="'E-Potage de légumes'!A1" display="Potage de légumes"/>
    <hyperlink ref="G677" location="'P-Chipolatas'!A1" display="Chipolatas"/>
    <hyperlink ref="I677" location="'G-Haricots blancs'!A1" display="Haricots blancs"/>
    <hyperlink ref="E678" location="'E-Taboulé'!A1" display="Taboulé"/>
    <hyperlink ref="G678" location="'P-Sauté de volaille'!A1" display="Sauté de volaille"/>
    <hyperlink ref="I678" location="'G-Gratin de potimarron'!A1" display="Gratin de potimarron"/>
    <hyperlink ref="E679" location="'E-Macédoine mayonnaise'!A1" display="Macédoine mayonnaise"/>
    <hyperlink ref="G679" location="'P-Raviolis'!A1" display="Raviolis"/>
    <hyperlink ref="I679" location="'E-Salade verte'!A1" display="Salade verte"/>
    <hyperlink ref="E680" location="'E-Salade de chou chinois'!A1" display="Salade de chou chinois"/>
    <hyperlink ref="G680" location="'P-Saucisse de Toulouse'!A1" display="Saucisse de Toulouse"/>
    <hyperlink ref="I680" location="'G-Aligot'!A1" display="Aligot"/>
    <hyperlink ref="E681" location="'E-Potage de féculents'!A1" display="Potage de féculents"/>
    <hyperlink ref="G681" location="'P-Œufs durs sauce béchamel'!A1" display="Œufs durs sauce béchamel"/>
    <hyperlink ref="I681" location="'G-Haricots beurre'!A1" display="Haricots beurre"/>
    <hyperlink ref="E682" location="'E-Mousse de canard'!A1" display="Mousse de canard"/>
    <hyperlink ref="G682" location="'P-Pavé de saumon'!A1" display="Pavé de saumon"/>
    <hyperlink ref="I682" location="'G-Chou romanesco'!A1" display="Chou romanesco"/>
    <hyperlink ref="E683" location="'E-Salade d'endives'!A1" display="Salade d'endives"/>
    <hyperlink ref="G683" location="'P-Chili con carne'!A1" display="Chili con carne"/>
    <hyperlink ref="E684" location="'E-Carottes râpées'!A1" display="Carottes râpées"/>
    <hyperlink ref="G684" location="'P-Flammekueche'!A1" display="Flammekueche"/>
    <hyperlink ref="E685" location="'E-Potage de légumes'!A1" display="Potage de légumes"/>
    <hyperlink ref="G685" location="'P-Pâtes carbonara'!A1" display="Pâtes carbonara"/>
    <hyperlink ref="E686" location="'E-Salade verte'!A1" display="Salade verte"/>
    <hyperlink ref="G686" location="'P-Rôti de veau'!A1" display="Rôti de veau"/>
    <hyperlink ref="I686" location="'G-Lentilles'!A1" display="Lentilles"/>
    <hyperlink ref="E687" location="'E-Salade de riz'!A1" display="Salade de riz"/>
    <hyperlink ref="G687" location="'P-Poisson pané'!A1" display="Poisson pané"/>
    <hyperlink ref="I687" location="'G-Poêlée de légumes'!A1" display="Poêlée de légumes"/>
    <hyperlink ref="E688" location="'E-Jambon cru'!A1" display="Jambon cru"/>
    <hyperlink ref="G688" location="'P-Pavé de poisson sauce beurre'!A1" display="Pavé de poisson sauce beurre blanc"/>
    <hyperlink ref="I688" location="'G-Épinards à la crème'!A1" display="Épinards à la crème"/>
    <hyperlink ref="E689" location="'E-Poireaux vinaigrette'!A1" display="Poireaux vinaigrette"/>
    <hyperlink ref="G689" location="'P-Escalope viennoise'!A1" display="Escalope viennoise"/>
    <hyperlink ref="I689" location="'G-Riz à la tomate'!A1" display="Riz à la tomate"/>
    <hyperlink ref="E690" location="'E-Avocat vinaigrette ou mayonna'!A1" display="Avocat vinaigrette ou mayonnaise"/>
    <hyperlink ref="G690" location="'P-Pot-au-feu'!A1" display="Pot-au-feu"/>
    <hyperlink ref="E691" location="'E-Potage de légumes'!A1" display="Potage de légumes"/>
    <hyperlink ref="G691" location="'P-Pâtes bolognaise'!A1" display="Pâtes bolognaise"/>
    <hyperlink ref="E692" location="'E-Feuilleté'!A1" display="Feuilleté"/>
    <hyperlink ref="G692" location="'P-Suprême de volaille'!A1" display="Suprême de volaille"/>
    <hyperlink ref="I692" location="'G-Petits pois'!A1" display="Petits pois"/>
    <hyperlink ref="E693" location="'E-Taboulé'!A1" display="Taboulé"/>
    <hyperlink ref="G693" location="'P-Langue de bœuf sauce piquante'!A1" display="Langue de bœuf sauce piquante"/>
    <hyperlink ref="I693" location="'G-Côtes de blettes'!A1" display="Côtes de blettes"/>
    <hyperlink ref="E694" location="'E-Salade d'endives'!A1" display="Salade d'endives"/>
    <hyperlink ref="G694" location="'P-Choucroute garnie'!A1" display="Choucroute garnie"/>
    <hyperlink ref="E695" location="'E-Potage de féculents'!A1" display="Potage de féculents"/>
    <hyperlink ref="G695" location="'P-Mortadelle'!A1" display="Mortadelle"/>
    <hyperlink ref="I695" location="'G-Carottes Vichy'!A1" display="Carottes Vichy"/>
    <hyperlink ref="E696" location="'E-Salade mexicaine'!A1" display="Salade mexicaine"/>
    <hyperlink ref="G696" location="'P-Gratin de poisson'!A1" display="Gratin de poisson"/>
    <hyperlink ref="I696" location="'G-Haricots verts'!A1" display="Haricots verts"/>
    <hyperlink ref="E697" location="'E-Salade verte'!A1" display="Salade verte"/>
    <hyperlink ref="G697" location="'E-Quiche lorraine'!A1" display="Quiche lorraine"/>
    <hyperlink ref="I697" location="'G-Pâtes au beurre'!A1" display="Pâtes au beurre"/>
    <hyperlink ref="E698" location="'E-Pamplemousse'!A1" display="Pamplemousse"/>
    <hyperlink ref="G698" location="'P-Escalope de veau'!A1" display="Escalope de veau"/>
    <hyperlink ref="I698" location="'G-Pommes de terre boulangère'!A1" display="Pommes de terre boulangère"/>
    <hyperlink ref="E699" location="'E-Potage de légumes'!A1" display="Potage de légumes"/>
    <hyperlink ref="G699" location="'P-Nuggets de poulet'!A1" display="Nuggets de poulet"/>
    <hyperlink ref="I699" location="'G-Salsifis'!A1" display="Salsifis"/>
    <hyperlink ref="E700" location="'E-Salade verte'!A1" display="Salade verte"/>
    <hyperlink ref="G700" location="'P-Paupiette de volaille'!A1" display="Paupiette de volaille"/>
    <hyperlink ref="I700" location="'G-Riz pilaf'!A1" display="Riz pilaf"/>
    <hyperlink ref="E701" location="'E-Betteraves vinaigrette'!A1" display="Betteraves vinaigrette"/>
    <hyperlink ref="G701" location="'P-Jambon blanc'!A1" display="Jambon blanc"/>
    <hyperlink ref="I701" location="'G-Pommes duchesse'!A1" display="Pommes duchesse"/>
    <hyperlink ref="E702" location="'E-Feuilleté'!A1" display="Feuilleté"/>
    <hyperlink ref="G702" location="'P-Escalope de porc'!A1" display="Escalope de porc"/>
    <hyperlink ref="I702" location="'G-Petits pois carottes'!A1" display="Petits pois carottes"/>
    <hyperlink ref="E703" location="'E-Salade verte'!A1" display="Salade verte"/>
    <hyperlink ref="G703" location="'P-Omelette'!A1" display="Omelette"/>
    <hyperlink ref="I703" location="'G-Pâtes au beurre'!A1" display="Pâtes au beurre"/>
    <hyperlink ref="E704" location="'E-Salade de chou chinois'!A1" display="Salade de chou chinois"/>
    <hyperlink ref="G704" location="'P-Steak de bœuf'!A1" display="Steak de bœuf"/>
    <hyperlink ref="I704" location="'G-Gratin dauphinois'!A1" display="Gratin dauphinois"/>
    <hyperlink ref="E705" location="'E-Potage de légumes'!A1" display="Potage de légumes"/>
    <hyperlink ref="G705" location="'P-Rôti de dinde'!A1" display="Rôti de dinde"/>
    <hyperlink ref="I705" location="'G-Riz à la tomate'!A1" display="Riz à la tomate"/>
    <hyperlink ref="E706" location="'E-Avocat vinaigrette ou mayonna'!A1" display="Avocat vinaigrette ou mayonnaise"/>
    <hyperlink ref="G706" location="'P-Tripoux'!A1" display="Tripoux"/>
    <hyperlink ref="I706" location="'G-Semoule'!A1" display="Semoule"/>
    <hyperlink ref="E707" location="'E-Salade de pois chiches'!A1" display="Salade de pois chiches"/>
    <hyperlink ref="G707" location="'E-Pizza'!A1" display="Pizza"/>
    <hyperlink ref="I707" location="'E-Salade verte'!A1" display="Salade verte"/>
    <hyperlink ref="E708" location="'E-Tartare de saumon'!A1" display="Tartare de saumon"/>
    <hyperlink ref="G708" location="'P-Magret de canard'!A1" display="Magret de canard"/>
    <hyperlink ref="I708" location="'G-Frites de patate douce'!A1" display="Frites de patate douce"/>
    <hyperlink ref="K708" location="'D-Bûche de Noël'!A1" display="Bûche de Noël"/>
    <hyperlink ref="E709" location="'E-Potage de légumes'!A1" display="Potage de légumes"/>
    <hyperlink ref="G709" location="'P-Hachis parmentier'!A1" display="Hachis parmentier"/>
    <hyperlink ref="E710" location="'E-Rosette'!A1" display="Rosette"/>
    <hyperlink ref="G710" location="'P-Dos de cabillaud'!A1" display="Dos de cabillaud"/>
    <hyperlink ref="I710" location="'G-Fondue de poireaux'!A1" display="Fondue de poireaux"/>
    <hyperlink ref="E711" location="'E-Salade d'endives'!A1" display="Salade d'endives"/>
    <hyperlink ref="G711" location="'P-Boulettes de bœuf sauce tomat'!A1" display="Boulettes de bœuf sauce tomate"/>
    <hyperlink ref="I711" location="'G-Perles'!A1" display="Perles"/>
    <hyperlink ref="E712" location="'E-Céleri rémoulade'!A1" display="Céleri rémoulade"/>
    <hyperlink ref="G712" location="'P-Navarin d'agneau'!A1" display="Navarin d'agneau"/>
    <hyperlink ref="I712" location="'G-Flageolets'!A1" display="Flageolets"/>
    <hyperlink ref="E713" location="'E-Potage de légumes'!A1" display="Potage de légumes"/>
    <hyperlink ref="G713" location="'E-Pâté de campagne'!A1" display="Pâté de campagne"/>
    <hyperlink ref="I713" location="'G-Brocolis'!A1" display="Brocolis"/>
    <hyperlink ref="E714" location="'E-Feuilleté'!A1" display="Feuilleté"/>
    <hyperlink ref="G714" location="'P-Cuisse de poulet rôtie'!A1" display="Cuisse de poulet rôtie"/>
    <hyperlink ref="I714" location="'G-Haricots verts'!A1" display="Haricots verts"/>
    <hyperlink ref="E715" location="'E-Salade de chou-fleur'!A1" display="Salade de chou-fleur"/>
    <hyperlink ref="G715" location="'P-Dos de colin bordelaise'!A1" display="Dos de colin bordelaise"/>
    <hyperlink ref="I715" location="'G-Pommes dauphine'!A1" display="Pommes dauphine"/>
    <hyperlink ref="E716" location="'E-Pâté en croûte'!A1" display="Pâté en croûte"/>
    <hyperlink ref="G716" location="'P-Rôti de veau'!A1" display="Rôti de veau"/>
    <hyperlink ref="I716" location="'G-Choux de Bruxelles'!A1" display="Choux de Bruxelles"/>
    <hyperlink ref="E717" location="'E-Poireaux vinaigrette'!A1" display="Poireaux vinaigrette"/>
    <hyperlink ref="G717" location="'P-Poisson pané'!A1" display="Poisson pané"/>
    <hyperlink ref="I717" location="'G-Pommes de terre rissolées'!A1" display="Pommes de terre rissolées"/>
    <hyperlink ref="E718" location="'E-Salade verte'!A1" display="Salade verte"/>
    <hyperlink ref="G718" location="'P-Hamburger'!A1" display="Hamburger"/>
    <hyperlink ref="I718" location="'G-Frites'!A1" display="Frites"/>
    <hyperlink ref="E719" location="'E-Potage de légumes'!A1" display="Potage de légumes"/>
    <hyperlink ref="G719" location="'P-Aiguillettes de poulet aux cè'!A1" display="Aiguillettes de poulet aux cèpes"/>
    <hyperlink ref="I719" location="'G-Carottes Vichy'!A1" display="Carottes Vichy"/>
    <hyperlink ref="E720" location="'E-Pizza'!A1" display="Pizza"/>
    <hyperlink ref="G720" location="'P-Pavé de poisson sauce beurre'!A1" display="Pavé de poisson sauce beurre blanc"/>
    <hyperlink ref="I720" location="'G-Haricots plats'!A1" display="Haricots plats"/>
    <hyperlink ref="E721" location="'E-Velouté aux pointes d'asperge'!A1" display="Velouté aux pointes d'asperges"/>
    <hyperlink ref="G721" location="'E-Feuilleté de Saint-Jacques'!A1" display="Feuilleté de Saint-Jacques"/>
    <hyperlink ref="I721" location="'G-Pommes duchesse'!A1" display="Pommes duchesse"/>
    <hyperlink ref="K721" location="'D-Entremets chocolat caramel'!A1" display="Entremets chocolat caramel"/>
    <hyperlink ref="E722" location="'E-Toast de foie gras'!A1" display="Toast de foie gras"/>
    <hyperlink ref="G722" location="'P-Rôti de dinde'!A1" display="Rôti de dinde"/>
    <hyperlink ref="I722" location="'G-Pommes dauphine'!A1" display="Pommes dauphine"/>
    <hyperlink ref="K722" location="'D-Bûche de Noël'!A1" display="Bûche de Noël"/>
    <hyperlink ref="E723" location="'E-Velouté de potimarron'!A1" display="Velouté de potimarron"/>
    <hyperlink ref="G723" location="'P-Boudin blanc sauce morilles'!A1" display="Boudin blanc sauce morilles"/>
    <hyperlink ref="I723" location="'G-Pommes caramélisées'!A1" display="Pommes caramélisées"/>
    <hyperlink ref="E724" location="'E-Salade de haricots beurre'!A1" display="Salade de haricots beurre"/>
    <hyperlink ref="G724" location="'P-Parmentier de poisson'!A1" display="Parmentier de poisson"/>
    <hyperlink ref="E725" location="'E-Salade verte'!A1" display="Salade verte"/>
    <hyperlink ref="G725" location="'P-Flammekueche'!A1" display="Flammekueche"/>
    <hyperlink ref="I725" location="'G-Macédoine de légumes au beurr'!A1" display="Macédoine de légumes au beurre"/>
    <hyperlink ref="E726" location="'E-Pâté de campagne'!A1" display="Pâté de campagne"/>
    <hyperlink ref="G726" location="'P-Sauté de volaille'!A1" display="Sauté de volaille"/>
    <hyperlink ref="I726" location="'G-Petits pois'!A1" display="Petits pois"/>
    <hyperlink ref="E727" location="'E-Potage de légumes'!A1" display="Potage de légumes"/>
    <hyperlink ref="G727" location="'P-Jambonnette de volaille'!A1" display="Jambonnette de volaille"/>
    <hyperlink ref="I727" location="'G-Rösti'!A1" display="Rösti"/>
    <hyperlink ref="E728" location="'E-Betteraves vinaigrette'!A1" display="Betteraves vinaigrette"/>
    <hyperlink ref="G728" location="'P-Rôti de bœuf'!A1" display="Rôti de bœuf"/>
    <hyperlink ref="I728" location="'G-Riz pilaf'!A1" display="Riz pilaf"/>
    <hyperlink ref="E729" location="'E-Coleslaw'!A1" display="Coleslaw"/>
    <hyperlink ref="G729" location="'P-Pâtes au chorizo'!A1" display="Pâtes au chorizo"/>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2109375" defaultRowHeight="15" zeroHeight="false" outlineLevelRow="0" outlineLevelCol="0"/>
  <cols>
    <col collapsed="false" customWidth="true" hidden="false" outlineLevel="0" max="2" min="2" style="0" width="52.17"/>
    <col collapsed="false" customWidth="true" hidden="false" outlineLevel="0" max="3" min="3" style="0" width="62.33"/>
  </cols>
  <sheetData>
    <row r="1" customFormat="false" ht="33.85" hidden="false" customHeight="false" outlineLevel="0" collapsed="false">
      <c r="A1" s="32" t="s">
        <v>2586</v>
      </c>
      <c r="B1" s="32"/>
      <c r="C1" s="32"/>
    </row>
    <row r="2" customFormat="false" ht="24.45" hidden="false" customHeight="false" outlineLevel="0" collapsed="false">
      <c r="A2" s="33" t="s">
        <v>2587</v>
      </c>
      <c r="B2" s="33"/>
      <c r="C2" s="33"/>
    </row>
    <row r="3" customFormat="false" ht="20.85" hidden="false" customHeight="false" outlineLevel="0" collapsed="false">
      <c r="B3" s="34" t="s">
        <v>2588</v>
      </c>
      <c r="C3" s="35" t="s">
        <v>2589</v>
      </c>
    </row>
    <row r="4" customFormat="false" ht="59.7" hidden="false" customHeight="false" outlineLevel="0" collapsed="false">
      <c r="A4" s="36" t="s">
        <v>2590</v>
      </c>
      <c r="B4" s="37" t="s">
        <v>2591</v>
      </c>
      <c r="C4" s="38" t="s">
        <v>2592</v>
      </c>
    </row>
    <row r="5" customFormat="false" ht="22.05" hidden="false" customHeight="false" outlineLevel="0" collapsed="false">
      <c r="A5" s="36"/>
      <c r="B5" s="39" t="s">
        <v>2593</v>
      </c>
    </row>
    <row r="6" customFormat="false" ht="22.05" hidden="false" customHeight="false" outlineLevel="0" collapsed="false">
      <c r="A6" s="40" t="s">
        <v>2594</v>
      </c>
      <c r="B6" s="39" t="s">
        <v>2212</v>
      </c>
    </row>
    <row r="7" customFormat="false" ht="22.05" hidden="false" customHeight="false" outlineLevel="0" collapsed="false">
      <c r="A7" s="40"/>
      <c r="B7" s="39" t="s">
        <v>2595</v>
      </c>
    </row>
    <row r="8" customFormat="false" ht="22.05" hidden="false" customHeight="false" outlineLevel="0" collapsed="false">
      <c r="A8" s="40"/>
      <c r="B8" s="39" t="s">
        <v>2596</v>
      </c>
    </row>
    <row r="9" customFormat="false" ht="22.05" hidden="false" customHeight="false" outlineLevel="0" collapsed="false">
      <c r="A9" s="40" t="s">
        <v>2597</v>
      </c>
      <c r="B9" s="39" t="s">
        <v>2598</v>
      </c>
    </row>
    <row r="10" customFormat="false" ht="22.05" hidden="false" customHeight="false" outlineLevel="0" collapsed="false">
      <c r="A10" s="40"/>
      <c r="B10" s="39" t="s">
        <v>2599</v>
      </c>
    </row>
    <row r="11" customFormat="false" ht="22.05" hidden="false" customHeight="false" outlineLevel="0" collapsed="false">
      <c r="A11" s="40"/>
      <c r="B11" s="39" t="s">
        <v>375</v>
      </c>
    </row>
    <row r="12" customFormat="false" ht="22.05" hidden="false" customHeight="false" outlineLevel="0" collapsed="false">
      <c r="A12" s="40"/>
      <c r="B12" s="39" t="s">
        <v>2600</v>
      </c>
    </row>
    <row r="13" customFormat="false" ht="22.05" hidden="false" customHeight="false" outlineLevel="0" collapsed="false">
      <c r="A13" s="40"/>
      <c r="B13" s="39" t="s">
        <v>1481</v>
      </c>
    </row>
    <row r="14" customFormat="false" ht="22.05" hidden="false" customHeight="false" outlineLevel="0" collapsed="false">
      <c r="A14" s="40"/>
      <c r="B14" s="39" t="s">
        <v>2601</v>
      </c>
    </row>
    <row r="15" customFormat="false" ht="22.05" hidden="false" customHeight="false" outlineLevel="0" collapsed="false">
      <c r="A15" s="40"/>
      <c r="B15" s="39" t="s">
        <v>2602</v>
      </c>
    </row>
    <row r="16" customFormat="false" ht="22.05" hidden="false" customHeight="false" outlineLevel="0" collapsed="false">
      <c r="A16" s="40" t="s">
        <v>2603</v>
      </c>
      <c r="B16" s="39" t="s">
        <v>2604</v>
      </c>
    </row>
    <row r="17" customFormat="false" ht="22.05" hidden="false" customHeight="false" outlineLevel="0" collapsed="false">
      <c r="A17" s="40"/>
      <c r="B17" s="39" t="s">
        <v>200</v>
      </c>
      <c r="C17" s="41" t="s">
        <v>2605</v>
      </c>
    </row>
    <row r="18" customFormat="false" ht="22.05" hidden="false" customHeight="true" outlineLevel="0" collapsed="false">
      <c r="A18" s="42" t="s">
        <v>2606</v>
      </c>
      <c r="B18" s="39" t="s">
        <v>243</v>
      </c>
      <c r="C18" s="41" t="s">
        <v>2607</v>
      </c>
    </row>
    <row r="19" customFormat="false" ht="22.05" hidden="false" customHeight="false" outlineLevel="0" collapsed="false">
      <c r="A19" s="42"/>
      <c r="B19" s="43" t="s">
        <v>2608</v>
      </c>
      <c r="C19" s="41" t="s">
        <v>2607</v>
      </c>
    </row>
    <row r="20" customFormat="false" ht="22.05" hidden="false" customHeight="false" outlineLevel="0" collapsed="false">
      <c r="A20" s="42"/>
      <c r="B20" s="39" t="s">
        <v>239</v>
      </c>
    </row>
    <row r="21" customFormat="false" ht="22.05" hidden="false" customHeight="false" outlineLevel="0" collapsed="false">
      <c r="A21" s="44" t="s">
        <v>2609</v>
      </c>
      <c r="B21" s="39" t="s">
        <v>2610</v>
      </c>
    </row>
    <row r="22" customFormat="false" ht="22.05" hidden="false" customHeight="false" outlineLevel="0" collapsed="false">
      <c r="A22" s="45" t="s">
        <v>2611</v>
      </c>
      <c r="B22" s="43" t="s">
        <v>2612</v>
      </c>
    </row>
    <row r="23" customFormat="false" ht="40.25" hidden="false" customHeight="false" outlineLevel="0" collapsed="false">
      <c r="A23" s="45"/>
      <c r="B23" s="39" t="s">
        <v>2613</v>
      </c>
      <c r="C23" s="46" t="s">
        <v>2614</v>
      </c>
    </row>
    <row r="24" customFormat="false" ht="22.05" hidden="false" customHeight="false" outlineLevel="0" collapsed="false">
      <c r="A24" s="47" t="s">
        <v>2615</v>
      </c>
      <c r="B24" s="39" t="s">
        <v>2616</v>
      </c>
    </row>
    <row r="25" customFormat="false" ht="22.05" hidden="false" customHeight="false" outlineLevel="0" collapsed="false">
      <c r="A25" s="47"/>
      <c r="B25" s="39" t="s">
        <v>2617</v>
      </c>
      <c r="C25" s="48" t="s">
        <v>2618</v>
      </c>
    </row>
    <row r="35" customFormat="false" ht="15" hidden="false" customHeight="false" outlineLevel="0" collapsed="false">
      <c r="C35" s="49"/>
    </row>
    <row r="36" customFormat="false" ht="15" hidden="false" customHeight="false" outlineLevel="0" collapsed="false">
      <c r="C36" s="49"/>
    </row>
    <row r="37" customFormat="false" ht="15" hidden="false" customHeight="false" outlineLevel="0" collapsed="false">
      <c r="C37" s="49"/>
    </row>
    <row r="38" customFormat="false" ht="15" hidden="false" customHeight="false" outlineLevel="0" collapsed="false">
      <c r="C38" s="49"/>
    </row>
  </sheetData>
  <mergeCells count="10">
    <mergeCell ref="A1:C1"/>
    <mergeCell ref="A2:C2"/>
    <mergeCell ref="A4:A5"/>
    <mergeCell ref="A6:A8"/>
    <mergeCell ref="A9:A15"/>
    <mergeCell ref="A16:A17"/>
    <mergeCell ref="A18:A20"/>
    <mergeCell ref="A22:A23"/>
    <mergeCell ref="A24:A25"/>
    <mergeCell ref="C35:C3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9</v>
      </c>
      <c r="B1" s="50"/>
      <c r="C1" s="50"/>
      <c r="D1" s="50"/>
      <c r="E1" s="51" t="s">
        <v>2619</v>
      </c>
      <c r="F1" s="51"/>
      <c r="G1" s="52" t="s">
        <v>2620</v>
      </c>
    </row>
    <row r="2" customFormat="false" ht="24.75" hidden="false" customHeight="true" outlineLevel="0" collapsed="false">
      <c r="A2" s="50"/>
      <c r="B2" s="50"/>
      <c r="C2" s="50"/>
      <c r="D2" s="50"/>
      <c r="E2" s="53" t="s">
        <v>2621</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1897</v>
      </c>
      <c r="B4" s="57" t="n">
        <v>4.66</v>
      </c>
      <c r="C4" s="58" t="n">
        <f aca="false">B4/B$22*B$24</f>
        <v>7.3215497232637</v>
      </c>
      <c r="D4" s="57" t="s">
        <v>434</v>
      </c>
      <c r="E4" s="59" t="n">
        <f aca="false">IFERROR(INDEX(Correspondance!$D$2:$D$3000,MATCH(A4,Correspondance!$A$2:$A$3000,0)),0)</f>
        <v>5.5</v>
      </c>
      <c r="F4" s="60" t="n">
        <f aca="false">C4*E4</f>
        <v>40.2685234779504</v>
      </c>
      <c r="G4" s="61" t="s">
        <v>2627</v>
      </c>
    </row>
    <row r="5" customFormat="false" ht="15.75" hidden="false" customHeight="false" outlineLevel="0" collapsed="false">
      <c r="A5" s="57" t="s">
        <v>1131</v>
      </c>
      <c r="B5" s="57" t="n">
        <v>0.559</v>
      </c>
      <c r="C5" s="58" t="n">
        <f aca="false">B5/B$22*B$24</f>
        <v>0.878271737189788</v>
      </c>
      <c r="D5" s="57" t="s">
        <v>682</v>
      </c>
      <c r="E5" s="59" t="n">
        <f aca="false">IFERROR(INDEX(Correspondance!$D$2:$D$3000,MATCH(A5,Correspondance!$A$2:$A$3000,0)),0)</f>
        <v>2.2</v>
      </c>
      <c r="F5" s="60" t="n">
        <f aca="false">C5*E5</f>
        <v>1.93219782181753</v>
      </c>
      <c r="G5" s="61"/>
      <c r="I5" s="62"/>
    </row>
    <row r="6" customFormat="false" ht="15.75" hidden="false" customHeight="false" outlineLevel="0" collapsed="false">
      <c r="A6" s="57" t="s">
        <v>1982</v>
      </c>
      <c r="B6" s="57" t="n">
        <v>0.186</v>
      </c>
      <c r="C6" s="58" t="n">
        <f aca="false">B6/B$22*B$24</f>
        <v>0.292233529726835</v>
      </c>
      <c r="D6" s="57" t="s">
        <v>682</v>
      </c>
      <c r="E6" s="59" t="n">
        <f aca="false">IFERROR(INDEX(Correspondance!$D$2:$D$3000,MATCH(A6,Correspondance!$A$2:$A$3000,0)),0)</f>
        <v>1.5</v>
      </c>
      <c r="F6" s="60" t="n">
        <f aca="false">C6*E6</f>
        <v>0.438350294590252</v>
      </c>
      <c r="G6" s="61"/>
      <c r="I6" s="63"/>
    </row>
    <row r="7" customFormat="false" ht="15.75" hidden="false" customHeight="false" outlineLevel="0" collapsed="false">
      <c r="A7" s="57" t="s">
        <v>1298</v>
      </c>
      <c r="B7" s="57" t="n">
        <v>0.075</v>
      </c>
      <c r="C7" s="58" t="n">
        <f aca="false">B7/B$22*B$24</f>
        <v>0.117836100696304</v>
      </c>
      <c r="D7" s="57" t="s">
        <v>434</v>
      </c>
      <c r="E7" s="59" t="n">
        <f aca="false">IFERROR(INDEX(Correspondance!$D$2:$D$3000,MATCH(A7,Correspondance!$A$2:$A$3000,0)),0)</f>
        <v>9</v>
      </c>
      <c r="F7" s="60" t="n">
        <f aca="false">C7*E7</f>
        <v>1.06052490626674</v>
      </c>
      <c r="G7" s="61"/>
      <c r="I7" s="63"/>
    </row>
    <row r="8" customFormat="false" ht="15.75" hidden="false" customHeight="false" outlineLevel="0" collapsed="false">
      <c r="A8" s="57" t="s">
        <v>947</v>
      </c>
      <c r="B8" s="57" t="n">
        <v>0.093</v>
      </c>
      <c r="C8" s="58" t="n">
        <f aca="false">B8/B$22*B$24</f>
        <v>0.146116764863417</v>
      </c>
      <c r="D8" s="57" t="s">
        <v>434</v>
      </c>
      <c r="E8" s="59" t="n">
        <f aca="false">IFERROR(INDEX(Correspondance!$D$2:$D$3000,MATCH(A8,Correspondance!$A$2:$A$3000,0)),0)</f>
        <v>4.5</v>
      </c>
      <c r="F8" s="60" t="n">
        <f aca="false">C8*E8</f>
        <v>0.657525441885378</v>
      </c>
      <c r="G8" s="61"/>
      <c r="I8" s="63"/>
    </row>
    <row r="9" customFormat="false" ht="15.75" hidden="false" customHeight="false" outlineLevel="0" collapsed="false">
      <c r="A9" s="57" t="s">
        <v>1332</v>
      </c>
      <c r="B9" s="57" t="n">
        <v>0.028</v>
      </c>
      <c r="C9" s="58" t="n">
        <f aca="false">B9/B$22*B$24</f>
        <v>0.0439921442599536</v>
      </c>
      <c r="D9" s="57" t="s">
        <v>434</v>
      </c>
      <c r="E9" s="59" t="n">
        <f aca="false">IFERROR(INDEX(Correspondance!$D$2:$D$3000,MATCH(A9,Correspondance!$A$2:$A$3000,0)),0)</f>
        <v>2</v>
      </c>
      <c r="F9" s="60" t="n">
        <f aca="false">C9*E9</f>
        <v>0.0879842885199072</v>
      </c>
      <c r="G9" s="61"/>
      <c r="I9" s="63"/>
    </row>
    <row r="10" customFormat="false" ht="15.75" hidden="false" customHeight="false" outlineLevel="0" collapsed="false">
      <c r="A10" s="57" t="s">
        <v>1814</v>
      </c>
      <c r="B10" s="57"/>
      <c r="C10" s="58" t="n">
        <f aca="false">B10/B$22*B$24</f>
        <v>0</v>
      </c>
      <c r="D10" s="57" t="s">
        <v>434</v>
      </c>
      <c r="E10" s="59" t="n">
        <f aca="false">IFERROR(INDEX(Correspondance!$D$2:$D$3000,MATCH(A10,Correspondance!$A$2:$A$3000,0)),0)</f>
        <v>18</v>
      </c>
      <c r="F10" s="60" t="n">
        <f aca="false">C10*E10</f>
        <v>0</v>
      </c>
      <c r="G10" s="61"/>
      <c r="I10" s="63"/>
    </row>
    <row r="11" customFormat="false" ht="15.75" hidden="false" customHeight="false" outlineLevel="0" collapsed="false">
      <c r="A11" s="57" t="s">
        <v>1539</v>
      </c>
      <c r="B11" s="57"/>
      <c r="C11" s="58" t="n">
        <f aca="false">B11/B$22*B$24</f>
        <v>0</v>
      </c>
      <c r="D11" s="57" t="s">
        <v>434</v>
      </c>
      <c r="E11" s="59" t="n">
        <f aca="false">IFERROR(INDEX(Correspondance!$D$2:$D$3000,MATCH(A11,Correspondance!$A$2:$A$3000,0)),0)</f>
        <v>13</v>
      </c>
      <c r="F11" s="60" t="n">
        <f aca="false">C11*E11</f>
        <v>0</v>
      </c>
      <c r="G11" s="61"/>
      <c r="I11" s="63"/>
    </row>
    <row r="12" customFormat="false" ht="18.75" hidden="false" customHeight="true" outlineLevel="0" collapsed="false">
      <c r="A12" s="57"/>
      <c r="B12" s="64"/>
      <c r="C12" s="58" t="n">
        <f aca="false">B12/B$22*B$24</f>
        <v>0</v>
      </c>
      <c r="D12" s="57"/>
      <c r="E12" s="65" t="n">
        <f aca="false">IFERROR(INDEX(Correspondance!$D$2:$D$3000,MATCH(A12,Correspondance!$A$2:$A$3000,0)),0)</f>
        <v>0</v>
      </c>
      <c r="F12" s="60" t="n">
        <f aca="false">C12*E12</f>
        <v>0</v>
      </c>
      <c r="G12" s="61"/>
      <c r="I12" s="63"/>
    </row>
    <row r="13" customFormat="false" ht="18.75" hidden="false" customHeight="true" outlineLevel="0" collapsed="false">
      <c r="A13" s="57"/>
      <c r="B13" s="64"/>
      <c r="C13" s="58" t="n">
        <f aca="false">B13/B$22*B$24</f>
        <v>0</v>
      </c>
      <c r="D13" s="57"/>
      <c r="E13" s="65" t="n">
        <f aca="false">IFERROR(INDEX(Correspondance!$D$2:$D$3000,MATCH(A13,Correspondance!$A$2:$A$3000,0)),0)</f>
        <v>0</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44.4451062310302</v>
      </c>
      <c r="G19" s="61"/>
      <c r="I19" s="63"/>
    </row>
    <row r="20" customFormat="false" ht="18.75" hidden="false" customHeight="true" outlineLevel="0" collapsed="false">
      <c r="A20" s="68" t="s">
        <v>2628</v>
      </c>
      <c r="B20" s="69" t="n">
        <f aca="false">F19/B24</f>
        <v>0.404046420282092</v>
      </c>
      <c r="C20" s="70"/>
      <c r="G20" s="61"/>
      <c r="I20" s="63"/>
    </row>
    <row r="21" customFormat="false" ht="15.75" hidden="false" customHeight="false" outlineLevel="0" collapsed="false">
      <c r="A21" s="71" t="s">
        <v>2629</v>
      </c>
      <c r="B21" s="71" t="n">
        <f aca="false">SUM(B3:B18)</f>
        <v>5.601</v>
      </c>
      <c r="C21" s="66"/>
      <c r="G21" s="61"/>
      <c r="I21" s="63"/>
    </row>
    <row r="22" customFormat="false" ht="15.75" hidden="false" customHeight="false" outlineLevel="0" collapsed="false">
      <c r="A22" s="0" t="s">
        <v>2630</v>
      </c>
      <c r="B22" s="72" t="n">
        <f aca="false">B21/B23</f>
        <v>70.0125</v>
      </c>
      <c r="C22" s="66"/>
      <c r="G22" s="61"/>
      <c r="I22" s="63"/>
    </row>
    <row r="23" customFormat="false" ht="15.75" hidden="false" customHeight="false" outlineLevel="0" collapsed="false">
      <c r="A23" s="0" t="s">
        <v>2631</v>
      </c>
      <c r="B23" s="0" t="n">
        <v>0.08</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13</v>
      </c>
      <c r="B1" s="50"/>
      <c r="C1" s="50"/>
      <c r="D1" s="50"/>
      <c r="E1" s="51" t="s">
        <v>2619</v>
      </c>
      <c r="F1" s="51"/>
      <c r="G1" s="52" t="s">
        <v>2635</v>
      </c>
    </row>
    <row r="2" customFormat="false" ht="24.75" hidden="false" customHeight="true" outlineLevel="0" collapsed="false">
      <c r="A2" s="50"/>
      <c r="B2" s="50"/>
      <c r="C2" s="50"/>
      <c r="D2" s="50"/>
      <c r="E2" s="53" t="s">
        <v>2636</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1018</v>
      </c>
      <c r="B4" s="57" t="n">
        <v>2.77</v>
      </c>
      <c r="C4" s="58" t="n">
        <f aca="false">B4/B$22*B$24</f>
        <v>4.35186243144424</v>
      </c>
      <c r="D4" s="57" t="s">
        <v>434</v>
      </c>
      <c r="E4" s="59" t="n">
        <f aca="false">IFERROR(INDEX(Correspondance!$D$2:$D$3000,MATCH(A4,Correspondance!$A$2:$A$3000,0)),0)</f>
        <v>2.6</v>
      </c>
      <c r="F4" s="60" t="n">
        <f aca="false">C4*E4</f>
        <v>11.314842321755</v>
      </c>
      <c r="G4" s="61" t="s">
        <v>2637</v>
      </c>
    </row>
    <row r="5" customFormat="false" ht="15.75" hidden="false" customHeight="false" outlineLevel="0" collapsed="false">
      <c r="A5" s="57" t="s">
        <v>1832</v>
      </c>
      <c r="B5" s="57" t="n">
        <v>2.77</v>
      </c>
      <c r="C5" s="58" t="n">
        <f aca="false">B5/B$22*B$24</f>
        <v>4.35186243144424</v>
      </c>
      <c r="D5" s="57" t="s">
        <v>434</v>
      </c>
      <c r="E5" s="59" t="n">
        <f aca="false">IFERROR(INDEX(Correspondance!$D$2:$D$3000,MATCH(A5,Correspondance!$A$2:$A$3000,0)),0)</f>
        <v>2.2</v>
      </c>
      <c r="F5" s="60" t="n">
        <f aca="false">C5*E5</f>
        <v>9.57409734917733</v>
      </c>
      <c r="G5" s="61"/>
      <c r="I5" s="62"/>
    </row>
    <row r="6" customFormat="false" ht="15.75" hidden="false" customHeight="false" outlineLevel="0" collapsed="false">
      <c r="A6" s="57" t="s">
        <v>917</v>
      </c>
      <c r="B6" s="57" t="n">
        <v>1.85</v>
      </c>
      <c r="C6" s="58" t="n">
        <f aca="false">B6/B$22*B$24</f>
        <v>2.90647851919561</v>
      </c>
      <c r="D6" s="57" t="s">
        <v>434</v>
      </c>
      <c r="E6" s="59" t="n">
        <f aca="false">IFERROR(INDEX(Correspondance!$D$2:$D$3000,MATCH(A6,Correspondance!$A$2:$A$3000,0)),0)</f>
        <v>1.8</v>
      </c>
      <c r="F6" s="60" t="n">
        <f aca="false">C6*E6</f>
        <v>5.2316613345521</v>
      </c>
      <c r="G6" s="61"/>
      <c r="I6" s="63"/>
    </row>
    <row r="7" customFormat="false" ht="15.75" hidden="false" customHeight="false" outlineLevel="0" collapsed="false">
      <c r="A7" s="57" t="s">
        <v>993</v>
      </c>
      <c r="B7" s="57" t="n">
        <v>0.923</v>
      </c>
      <c r="C7" s="58" t="n">
        <f aca="false">B7/B$22*B$24</f>
        <v>1.45009712065814</v>
      </c>
      <c r="D7" s="57" t="s">
        <v>434</v>
      </c>
      <c r="E7" s="59" t="n">
        <f aca="false">IFERROR(INDEX(Correspondance!$D$2:$D$3000,MATCH(A7,Correspondance!$A$2:$A$3000,0)),0)</f>
        <v>2.2</v>
      </c>
      <c r="F7" s="60" t="n">
        <f aca="false">C7*E7</f>
        <v>3.1902136654479</v>
      </c>
      <c r="G7" s="61"/>
      <c r="I7" s="63"/>
    </row>
    <row r="8" customFormat="false" ht="15.75" hidden="false" customHeight="false" outlineLevel="0" collapsed="false">
      <c r="A8" s="57" t="s">
        <v>1001</v>
      </c>
      <c r="B8" s="57" t="n">
        <v>0.462</v>
      </c>
      <c r="C8" s="58" t="n">
        <f aca="false">B8/B$22*B$24</f>
        <v>0.725834095063985</v>
      </c>
      <c r="D8" s="57" t="s">
        <v>434</v>
      </c>
      <c r="E8" s="59" t="n">
        <f aca="false">IFERROR(INDEX(Correspondance!$D$2:$D$3000,MATCH(A8,Correspondance!$A$2:$A$3000,0)),0)</f>
        <v>1.8</v>
      </c>
      <c r="F8" s="60" t="n">
        <f aca="false">C8*E8</f>
        <v>1.30650137111517</v>
      </c>
      <c r="G8" s="61"/>
      <c r="I8" s="63"/>
    </row>
    <row r="9" customFormat="false" ht="15.75" hidden="false" customHeight="false" outlineLevel="0" collapsed="false">
      <c r="A9" s="57" t="s">
        <v>1459</v>
      </c>
      <c r="B9" s="57" t="n">
        <v>7.39</v>
      </c>
      <c r="C9" s="58" t="n">
        <f aca="false">B9/B$22*B$24</f>
        <v>11.6102033820841</v>
      </c>
      <c r="D9" s="57" t="s">
        <v>682</v>
      </c>
      <c r="E9" s="59" t="n">
        <f aca="false">IFERROR(INDEX(Correspondance!$D$2:$D$3000,MATCH(A9,Correspondance!$A$2:$A$3000,0)),0)</f>
        <v>0</v>
      </c>
      <c r="F9" s="60" t="n">
        <f aca="false">C9*E9</f>
        <v>0</v>
      </c>
      <c r="G9" s="61"/>
      <c r="I9" s="63"/>
    </row>
    <row r="10" customFormat="false" ht="15.75" hidden="false" customHeight="false" outlineLevel="0" collapsed="false">
      <c r="A10" s="57" t="s">
        <v>1100</v>
      </c>
      <c r="B10" s="57" t="n">
        <v>0.139</v>
      </c>
      <c r="C10" s="58" t="n">
        <f aca="false">B10/B$22*B$24</f>
        <v>0.21837865630713</v>
      </c>
      <c r="D10" s="57" t="s">
        <v>434</v>
      </c>
      <c r="E10" s="59" t="n">
        <f aca="false">IFERROR(INDEX(Correspondance!$D$2:$D$3000,MATCH(A10,Correspondance!$A$2:$A$3000,0)),0)</f>
        <v>10</v>
      </c>
      <c r="F10" s="60" t="n">
        <f aca="false">C10*E10</f>
        <v>2.1837865630713</v>
      </c>
      <c r="G10" s="61"/>
      <c r="I10" s="63"/>
    </row>
    <row r="11" customFormat="false" ht="15.75" hidden="false" customHeight="false" outlineLevel="0" collapsed="false">
      <c r="A11" s="57" t="s">
        <v>1919</v>
      </c>
      <c r="B11" s="57" t="n">
        <v>0.092</v>
      </c>
      <c r="C11" s="58" t="n">
        <f aca="false">B11/B$22*B$24</f>
        <v>0.144538391224863</v>
      </c>
      <c r="D11" s="57" t="s">
        <v>434</v>
      </c>
      <c r="E11" s="59" t="n">
        <f aca="false">IFERROR(INDEX(Correspondance!$D$2:$D$3000,MATCH(A11,Correspondance!$A$2:$A$3000,0)),0)</f>
        <v>2</v>
      </c>
      <c r="F11" s="60" t="n">
        <f aca="false">C11*E11</f>
        <v>0.289076782449726</v>
      </c>
      <c r="G11" s="61"/>
      <c r="I11" s="63"/>
    </row>
    <row r="12" customFormat="false" ht="18.75" hidden="false" customHeight="true" outlineLevel="0" collapsed="false">
      <c r="A12" s="57" t="s">
        <v>1814</v>
      </c>
      <c r="B12" s="64"/>
      <c r="C12" s="58" t="n">
        <f aca="false">B12/B$22*B$24</f>
        <v>0</v>
      </c>
      <c r="D12" s="57" t="s">
        <v>434</v>
      </c>
      <c r="E12" s="59" t="n">
        <f aca="false">IFERROR(INDEX(Correspondance!$D$2:$D$3000,MATCH(A12,Correspondance!$A$2:$A$3000,0)),0)</f>
        <v>18</v>
      </c>
      <c r="F12" s="60" t="n">
        <f aca="false">C12*E12</f>
        <v>0</v>
      </c>
      <c r="G12" s="61"/>
      <c r="I12" s="63"/>
    </row>
    <row r="13" customFormat="false" ht="18.75" hidden="false" customHeight="true" outlineLevel="0" collapsed="false">
      <c r="A13" s="57" t="s">
        <v>1491</v>
      </c>
      <c r="B13" s="64" t="n">
        <v>0.185</v>
      </c>
      <c r="C13" s="58" t="n">
        <f aca="false">B13/B$22*B$24</f>
        <v>0.290647851919561</v>
      </c>
      <c r="D13" s="57" t="s">
        <v>434</v>
      </c>
      <c r="E13" s="59" t="n">
        <f aca="false">IFERROR(INDEX(Correspondance!$D$2:$D$3000,MATCH(A13,Correspondance!$A$2:$A$3000,0)),0)</f>
        <v>9</v>
      </c>
      <c r="F13" s="60" t="n">
        <f aca="false">C13*E13</f>
        <v>2.61583066727605</v>
      </c>
      <c r="G13" s="61"/>
      <c r="I13" s="63"/>
    </row>
    <row r="14" customFormat="false" ht="15.75" hidden="false" customHeight="false" outlineLevel="0" collapsed="false">
      <c r="A14" s="57" t="s">
        <v>1576</v>
      </c>
      <c r="B14" s="57" t="n">
        <v>0.923</v>
      </c>
      <c r="C14" s="58" t="n">
        <f aca="false">B14/B$22*B$24</f>
        <v>1.45009712065814</v>
      </c>
      <c r="D14" s="57" t="s">
        <v>682</v>
      </c>
      <c r="E14" s="59" t="n">
        <f aca="false">IFERROR(INDEX(Correspondance!$D$2:$D$3000,MATCH(A14,Correspondance!$A$2:$A$3000,0)),0)</f>
        <v>5.5</v>
      </c>
      <c r="F14" s="60" t="n">
        <f aca="false">C14*E14</f>
        <v>7.97553416361974</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43.6815442184643</v>
      </c>
      <c r="G19" s="61"/>
      <c r="I19" s="63"/>
    </row>
    <row r="20" customFormat="false" ht="18.75" hidden="false" customHeight="true" outlineLevel="0" collapsed="false">
      <c r="A20" s="68" t="s">
        <v>2628</v>
      </c>
      <c r="B20" s="69" t="n">
        <f aca="false">F19/B24</f>
        <v>0.397104947440585</v>
      </c>
      <c r="C20" s="70"/>
      <c r="G20" s="61"/>
      <c r="I20" s="63"/>
    </row>
    <row r="21" customFormat="false" ht="15.75" hidden="false" customHeight="false" outlineLevel="0" collapsed="false">
      <c r="A21" s="71" t="s">
        <v>2629</v>
      </c>
      <c r="B21" s="71" t="n">
        <f aca="false">SUM(B3:B18)</f>
        <v>17.504</v>
      </c>
      <c r="C21" s="66"/>
      <c r="G21" s="61"/>
      <c r="I21" s="63"/>
    </row>
    <row r="22" customFormat="false" ht="15.75" hidden="false" customHeight="false" outlineLevel="0" collapsed="false">
      <c r="A22" s="0" t="s">
        <v>2630</v>
      </c>
      <c r="B22" s="72" t="n">
        <f aca="false">B21/B23</f>
        <v>70.016</v>
      </c>
      <c r="C22" s="66"/>
      <c r="G22" s="61"/>
      <c r="I22" s="63"/>
    </row>
    <row r="23" customFormat="false" ht="15.75" hidden="false" customHeight="false" outlineLevel="0" collapsed="false">
      <c r="A23" s="0" t="s">
        <v>2631</v>
      </c>
      <c r="B23" s="0" t="n">
        <v>0.25</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15</v>
      </c>
      <c r="B1" s="50"/>
      <c r="C1" s="50"/>
      <c r="D1" s="50"/>
      <c r="E1" s="51" t="s">
        <v>2619</v>
      </c>
      <c r="F1" s="51"/>
      <c r="G1" s="52" t="s">
        <v>2638</v>
      </c>
    </row>
    <row r="2" customFormat="false" ht="24.75" hidden="false" customHeight="true" outlineLevel="0" collapsed="false">
      <c r="A2" s="50"/>
      <c r="B2" s="50"/>
      <c r="C2" s="50"/>
      <c r="D2" s="50"/>
      <c r="E2" s="53" t="s">
        <v>2636</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1157</v>
      </c>
      <c r="B4" s="57" t="n">
        <v>1.48</v>
      </c>
      <c r="C4" s="58" t="n">
        <f aca="false">B4/B$22*B$24</f>
        <v>2.32558139534884</v>
      </c>
      <c r="D4" s="57" t="s">
        <v>434</v>
      </c>
      <c r="E4" s="59" t="n">
        <f aca="false">IFERROR(INDEX(Correspondance!$D$2:$D$3000,MATCH(A4,Correspondance!$A$2:$A$3000,0)),0)</f>
        <v>2.8</v>
      </c>
      <c r="F4" s="60" t="n">
        <f aca="false">C4*E4</f>
        <v>6.51162790697674</v>
      </c>
      <c r="G4" s="61" t="s">
        <v>2639</v>
      </c>
    </row>
    <row r="5" customFormat="false" ht="15.75" hidden="false" customHeight="false" outlineLevel="0" collapsed="false">
      <c r="A5" s="57" t="s">
        <v>1832</v>
      </c>
      <c r="B5" s="57" t="n">
        <v>1.97</v>
      </c>
      <c r="C5" s="58" t="n">
        <f aca="false">B5/B$22*B$24</f>
        <v>3.09553739786298</v>
      </c>
      <c r="D5" s="57" t="s">
        <v>434</v>
      </c>
      <c r="E5" s="59" t="n">
        <f aca="false">IFERROR(INDEX(Correspondance!$D$2:$D$3000,MATCH(A5,Correspondance!$A$2:$A$3000,0)),0)</f>
        <v>2.2</v>
      </c>
      <c r="F5" s="60" t="n">
        <f aca="false">C5*E5</f>
        <v>6.81018227529855</v>
      </c>
      <c r="G5" s="61"/>
      <c r="I5" s="62"/>
    </row>
    <row r="6" customFormat="false" ht="15.75" hidden="false" customHeight="false" outlineLevel="0" collapsed="false">
      <c r="A6" s="57" t="s">
        <v>917</v>
      </c>
      <c r="B6" s="57" t="n">
        <v>0.986</v>
      </c>
      <c r="C6" s="58" t="n">
        <f aca="false">B6/B$22*B$24</f>
        <v>1.54934003771213</v>
      </c>
      <c r="D6" s="57" t="s">
        <v>434</v>
      </c>
      <c r="E6" s="59" t="n">
        <f aca="false">IFERROR(INDEX(Correspondance!$D$2:$D$3000,MATCH(A6,Correspondance!$A$2:$A$3000,0)),0)</f>
        <v>1.8</v>
      </c>
      <c r="F6" s="60" t="n">
        <f aca="false">C6*E6</f>
        <v>2.78881206788184</v>
      </c>
      <c r="G6" s="61"/>
      <c r="I6" s="63"/>
    </row>
    <row r="7" customFormat="false" ht="15.75" hidden="false" customHeight="false" outlineLevel="0" collapsed="false">
      <c r="A7" s="57" t="s">
        <v>1018</v>
      </c>
      <c r="B7" s="57" t="n">
        <v>0.986</v>
      </c>
      <c r="C7" s="58" t="n">
        <f aca="false">B7/B$22*B$24</f>
        <v>1.54934003771213</v>
      </c>
      <c r="D7" s="57" t="s">
        <v>434</v>
      </c>
      <c r="E7" s="59" t="n">
        <f aca="false">IFERROR(INDEX(Correspondance!$D$2:$D$3000,MATCH(A7,Correspondance!$A$2:$A$3000,0)),0)</f>
        <v>2.6</v>
      </c>
      <c r="F7" s="60" t="n">
        <f aca="false">C7*E7</f>
        <v>4.02828409805154</v>
      </c>
      <c r="G7" s="61"/>
      <c r="I7" s="63"/>
    </row>
    <row r="8" customFormat="false" ht="15.75" hidden="false" customHeight="false" outlineLevel="0" collapsed="false">
      <c r="A8" s="57" t="s">
        <v>1001</v>
      </c>
      <c r="B8" s="57" t="n">
        <v>0.493</v>
      </c>
      <c r="C8" s="58" t="n">
        <f aca="false">B8/B$22*B$24</f>
        <v>0.774670018856065</v>
      </c>
      <c r="D8" s="57" t="s">
        <v>434</v>
      </c>
      <c r="E8" s="59" t="n">
        <f aca="false">IFERROR(INDEX(Correspondance!$D$2:$D$3000,MATCH(A8,Correspondance!$A$2:$A$3000,0)),0)</f>
        <v>1.8</v>
      </c>
      <c r="F8" s="60" t="n">
        <f aca="false">C8*E8</f>
        <v>1.39440603394092</v>
      </c>
      <c r="G8" s="61"/>
      <c r="I8" s="63"/>
    </row>
    <row r="9" customFormat="false" ht="15.75" hidden="false" customHeight="false" outlineLevel="0" collapsed="false">
      <c r="A9" s="57" t="s">
        <v>1701</v>
      </c>
      <c r="B9" s="57" t="n">
        <v>0.493</v>
      </c>
      <c r="C9" s="58" t="n">
        <f aca="false">B9/B$22*B$24</f>
        <v>0.774670018856065</v>
      </c>
      <c r="D9" s="57" t="s">
        <v>434</v>
      </c>
      <c r="E9" s="59" t="n">
        <f aca="false">IFERROR(INDEX(Correspondance!$D$2:$D$3000,MATCH(A9,Correspondance!$A$2:$A$3000,0)),0)</f>
        <v>8</v>
      </c>
      <c r="F9" s="60" t="n">
        <f aca="false">C9*E9</f>
        <v>6.19736015084852</v>
      </c>
      <c r="G9" s="61"/>
      <c r="I9" s="63"/>
    </row>
    <row r="10" customFormat="false" ht="15.75" hidden="false" customHeight="false" outlineLevel="0" collapsed="false">
      <c r="A10" s="57" t="s">
        <v>1459</v>
      </c>
      <c r="B10" s="57" t="n">
        <v>9.86</v>
      </c>
      <c r="C10" s="58" t="n">
        <f aca="false">B10/B$22*B$24</f>
        <v>15.4934003771213</v>
      </c>
      <c r="D10" s="57" t="s">
        <v>682</v>
      </c>
      <c r="E10" s="59" t="n">
        <f aca="false">IFERROR(INDEX(Correspondance!$D$2:$D$3000,MATCH(A10,Correspondance!$A$2:$A$3000,0)),0)</f>
        <v>0</v>
      </c>
      <c r="F10" s="60" t="n">
        <f aca="false">C10*E10</f>
        <v>0</v>
      </c>
      <c r="G10" s="61"/>
      <c r="I10" s="63"/>
    </row>
    <row r="11" customFormat="false" ht="15.75" hidden="false" customHeight="false" outlineLevel="0" collapsed="false">
      <c r="A11" s="57" t="s">
        <v>1100</v>
      </c>
      <c r="B11" s="57" t="n">
        <v>0.148</v>
      </c>
      <c r="C11" s="58" t="n">
        <f aca="false">B11/B$22*B$24</f>
        <v>0.232558139534884</v>
      </c>
      <c r="D11" s="57" t="s">
        <v>434</v>
      </c>
      <c r="E11" s="59" t="n">
        <f aca="false">IFERROR(INDEX(Correspondance!$D$2:$D$3000,MATCH(A11,Correspondance!$A$2:$A$3000,0)),0)</f>
        <v>10</v>
      </c>
      <c r="F11" s="60" t="n">
        <f aca="false">C11*E11</f>
        <v>2.32558139534884</v>
      </c>
      <c r="G11" s="61"/>
      <c r="I11" s="63"/>
    </row>
    <row r="12" customFormat="false" ht="18.75" hidden="false" customHeight="true" outlineLevel="0" collapsed="false">
      <c r="A12" s="57" t="s">
        <v>1919</v>
      </c>
      <c r="B12" s="64" t="n">
        <v>0.099</v>
      </c>
      <c r="C12" s="58" t="n">
        <f aca="false">B12/B$22*B$24</f>
        <v>0.15556253928347</v>
      </c>
      <c r="D12" s="57" t="s">
        <v>434</v>
      </c>
      <c r="E12" s="59" t="n">
        <f aca="false">IFERROR(INDEX(Correspondance!$D$2:$D$3000,MATCH(A12,Correspondance!$A$2:$A$3000,0)),0)</f>
        <v>2</v>
      </c>
      <c r="F12" s="60" t="n">
        <f aca="false">C12*E12</f>
        <v>0.311125078566939</v>
      </c>
      <c r="G12" s="61"/>
      <c r="I12" s="63"/>
    </row>
    <row r="13" customFormat="false" ht="18.75" hidden="false" customHeight="true" outlineLevel="0" collapsed="false">
      <c r="A13" s="57" t="s">
        <v>1702</v>
      </c>
      <c r="B13" s="64"/>
      <c r="C13" s="58" t="n">
        <f aca="false">B13/B$22*B$24</f>
        <v>0</v>
      </c>
      <c r="D13" s="57" t="s">
        <v>434</v>
      </c>
      <c r="E13" s="59" t="n">
        <f aca="false">IFERROR(INDEX(Correspondance!$D$2:$D$3000,MATCH(A13,Correspondance!$A$2:$A$3000,0)),0)</f>
        <v>16</v>
      </c>
      <c r="F13" s="60" t="n">
        <f aca="false">C13*E13</f>
        <v>0</v>
      </c>
      <c r="G13" s="61"/>
      <c r="I13" s="63"/>
    </row>
    <row r="14" customFormat="false" ht="15.75" hidden="false" customHeight="false" outlineLevel="0" collapsed="false">
      <c r="A14" s="57" t="s">
        <v>1576</v>
      </c>
      <c r="B14" s="57" t="n">
        <v>0.986</v>
      </c>
      <c r="C14" s="58" t="n">
        <f aca="false">B14/B$22*B$24</f>
        <v>1.54934003771213</v>
      </c>
      <c r="D14" s="57" t="s">
        <v>682</v>
      </c>
      <c r="E14" s="59" t="n">
        <f aca="false">IFERROR(INDEX(Correspondance!$D$2:$D$3000,MATCH(A14,Correspondance!$A$2:$A$3000,0)),0)</f>
        <v>5.5</v>
      </c>
      <c r="F14" s="60" t="n">
        <f aca="false">C14*E14</f>
        <v>8.52137020741672</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38.8887492143306</v>
      </c>
      <c r="G19" s="61"/>
      <c r="I19" s="63"/>
    </row>
    <row r="20" customFormat="false" ht="18.75" hidden="false" customHeight="true" outlineLevel="0" collapsed="false">
      <c r="A20" s="68" t="s">
        <v>2628</v>
      </c>
      <c r="B20" s="69" t="n">
        <f aca="false">F19/B24</f>
        <v>0.353534083766642</v>
      </c>
      <c r="C20" s="70"/>
      <c r="G20" s="61"/>
      <c r="I20" s="63"/>
    </row>
    <row r="21" customFormat="false" ht="15.75" hidden="false" customHeight="false" outlineLevel="0" collapsed="false">
      <c r="A21" s="71" t="s">
        <v>2629</v>
      </c>
      <c r="B21" s="71" t="n">
        <f aca="false">SUM(B3:B18)</f>
        <v>17.501</v>
      </c>
      <c r="C21" s="66"/>
      <c r="G21" s="61"/>
      <c r="I21" s="63"/>
    </row>
    <row r="22" customFormat="false" ht="15.75" hidden="false" customHeight="false" outlineLevel="0" collapsed="false">
      <c r="A22" s="0" t="s">
        <v>2630</v>
      </c>
      <c r="B22" s="72" t="n">
        <f aca="false">B21/B23</f>
        <v>70.004</v>
      </c>
      <c r="C22" s="66"/>
      <c r="G22" s="61"/>
      <c r="I22" s="63"/>
    </row>
    <row r="23" customFormat="false" ht="15.75" hidden="false" customHeight="false" outlineLevel="0" collapsed="false">
      <c r="A23" s="0" t="s">
        <v>2631</v>
      </c>
      <c r="B23" s="0" t="n">
        <v>0.25</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16</v>
      </c>
      <c r="B1" s="50"/>
      <c r="C1" s="50"/>
      <c r="D1" s="50"/>
      <c r="E1" s="51" t="s">
        <v>2619</v>
      </c>
      <c r="F1" s="51"/>
      <c r="G1" s="52" t="s">
        <v>2640</v>
      </c>
    </row>
    <row r="2" customFormat="false" ht="24.75" hidden="false" customHeight="true" outlineLevel="0" collapsed="false">
      <c r="A2" s="50"/>
      <c r="B2" s="50"/>
      <c r="C2" s="50"/>
      <c r="D2" s="50"/>
      <c r="E2" s="53" t="s">
        <v>2621</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1175</v>
      </c>
      <c r="B4" s="57" t="n">
        <v>2.26</v>
      </c>
      <c r="C4" s="58" t="n">
        <f aca="false">B4/B$22*B$24</f>
        <v>3.55220927676412</v>
      </c>
      <c r="D4" s="57" t="s">
        <v>434</v>
      </c>
      <c r="E4" s="59" t="n">
        <f aca="false">IFERROR(INDEX(Correspondance!$D$2:$D$3000,MATCH(A4,Correspondance!$A$2:$A$3000,0)),0)</f>
        <v>1.5</v>
      </c>
      <c r="F4" s="60" t="n">
        <f aca="false">C4*E4</f>
        <v>5.32831391514619</v>
      </c>
      <c r="G4" s="61" t="s">
        <v>2641</v>
      </c>
    </row>
    <row r="5" customFormat="false" ht="15.75" hidden="false" customHeight="false" outlineLevel="0" collapsed="false">
      <c r="A5" s="57" t="s">
        <v>1606</v>
      </c>
      <c r="B5" s="57" t="n">
        <v>2.26</v>
      </c>
      <c r="C5" s="58" t="n">
        <f aca="false">B5/B$22*B$24</f>
        <v>3.55220927676412</v>
      </c>
      <c r="D5" s="57" t="s">
        <v>682</v>
      </c>
      <c r="E5" s="59" t="n">
        <f aca="false">IFERROR(INDEX(Correspondance!$D$2:$D$3000,MATCH(A5,Correspondance!$A$2:$A$3000,0)),0)</f>
        <v>0</v>
      </c>
      <c r="F5" s="60" t="n">
        <f aca="false">C5*E5</f>
        <v>0</v>
      </c>
      <c r="G5" s="61"/>
      <c r="I5" s="62"/>
    </row>
    <row r="6" customFormat="false" ht="15.75" hidden="false" customHeight="false" outlineLevel="0" collapsed="false">
      <c r="A6" s="57" t="s">
        <v>1959</v>
      </c>
      <c r="B6" s="57" t="n">
        <v>1.81</v>
      </c>
      <c r="C6" s="58" t="n">
        <f aca="false">B6/B$22*B$24</f>
        <v>2.84491096944383</v>
      </c>
      <c r="D6" s="57" t="s">
        <v>434</v>
      </c>
      <c r="E6" s="59" t="n">
        <f aca="false">IFERROR(INDEX(Correspondance!$D$2:$D$3000,MATCH(A6,Correspondance!$A$2:$A$3000,0)),0)</f>
        <v>1.5</v>
      </c>
      <c r="F6" s="60" t="n">
        <f aca="false">C6*E6</f>
        <v>4.26736645416575</v>
      </c>
      <c r="G6" s="61"/>
      <c r="I6" s="63"/>
    </row>
    <row r="7" customFormat="false" ht="15.75" hidden="false" customHeight="false" outlineLevel="0" collapsed="false">
      <c r="A7" s="57" t="s">
        <v>1559</v>
      </c>
      <c r="B7" s="57" t="n">
        <v>0.905</v>
      </c>
      <c r="C7" s="58" t="n">
        <f aca="false">B7/B$22*B$24</f>
        <v>1.42245548472192</v>
      </c>
      <c r="D7" s="57" t="s">
        <v>434</v>
      </c>
      <c r="E7" s="59" t="n">
        <f aca="false">IFERROR(INDEX(Correspondance!$D$2:$D$3000,MATCH(A7,Correspondance!$A$2:$A$3000,0)),0)</f>
        <v>2.25</v>
      </c>
      <c r="F7" s="60" t="n">
        <f aca="false">C7*E7</f>
        <v>3.20052484062431</v>
      </c>
      <c r="G7" s="61"/>
      <c r="I7" s="63"/>
    </row>
    <row r="8" customFormat="false" ht="15.75" hidden="false" customHeight="false" outlineLevel="0" collapsed="false">
      <c r="A8" s="57" t="s">
        <v>1022</v>
      </c>
      <c r="B8" s="57" t="n">
        <v>0.452</v>
      </c>
      <c r="C8" s="58" t="n">
        <f aca="false">B8/B$22*B$24</f>
        <v>0.710441855352825</v>
      </c>
      <c r="D8" s="57" t="s">
        <v>434</v>
      </c>
      <c r="E8" s="59" t="n">
        <f aca="false">IFERROR(INDEX(Correspondance!$D$2:$D$3000,MATCH(A8,Correspondance!$A$2:$A$3000,0)),0)</f>
        <v>3</v>
      </c>
      <c r="F8" s="60" t="n">
        <f aca="false">C8*E8</f>
        <v>2.13132556605847</v>
      </c>
      <c r="G8" s="61"/>
      <c r="I8" s="63"/>
    </row>
    <row r="9" customFormat="false" ht="15.75" hidden="false" customHeight="false" outlineLevel="0" collapsed="false">
      <c r="A9" s="57" t="s">
        <v>1001</v>
      </c>
      <c r="B9" s="57" t="n">
        <v>0.271</v>
      </c>
      <c r="C9" s="58" t="n">
        <f aca="false">B9/B$22*B$24</f>
        <v>0.425950758408442</v>
      </c>
      <c r="D9" s="57" t="s">
        <v>434</v>
      </c>
      <c r="E9" s="59" t="n">
        <f aca="false">IFERROR(INDEX(Correspondance!$D$2:$D$3000,MATCH(A9,Correspondance!$A$2:$A$3000,0)),0)</f>
        <v>1.8</v>
      </c>
      <c r="F9" s="60" t="n">
        <f aca="false">C9*E9</f>
        <v>0.766711365135195</v>
      </c>
      <c r="G9" s="61"/>
      <c r="I9" s="63"/>
    </row>
    <row r="10" customFormat="false" ht="15.75" hidden="false" customHeight="false" outlineLevel="0" collapsed="false">
      <c r="A10" s="57" t="s">
        <v>1169</v>
      </c>
      <c r="B10" s="57" t="n">
        <v>0.181</v>
      </c>
      <c r="C10" s="58" t="n">
        <f aca="false">B10/B$22*B$24</f>
        <v>0.284491096944383</v>
      </c>
      <c r="D10" s="57" t="s">
        <v>434</v>
      </c>
      <c r="E10" s="59" t="n">
        <f aca="false">IFERROR(INDEX(Correspondance!$D$2:$D$3000,MATCH(A10,Correspondance!$A$2:$A$3000,0)),0)</f>
        <v>5</v>
      </c>
      <c r="F10" s="60" t="n">
        <f aca="false">C10*E10</f>
        <v>1.42245548472192</v>
      </c>
      <c r="G10" s="61"/>
      <c r="I10" s="63"/>
    </row>
    <row r="11" customFormat="false" ht="15.75" hidden="false" customHeight="false" outlineLevel="0" collapsed="false">
      <c r="A11" s="57" t="s">
        <v>1120</v>
      </c>
      <c r="B11" s="57" t="n">
        <v>0.543</v>
      </c>
      <c r="C11" s="58" t="n">
        <f aca="false">B11/B$22*B$24</f>
        <v>0.85347329083315</v>
      </c>
      <c r="D11" s="57" t="s">
        <v>682</v>
      </c>
      <c r="E11" s="59" t="n">
        <f aca="false">IFERROR(INDEX(Correspondance!$D$2:$D$3000,MATCH(A11,Correspondance!$A$2:$A$3000,0)),0)</f>
        <v>7.5</v>
      </c>
      <c r="F11" s="60" t="n">
        <f aca="false">C11*E11</f>
        <v>6.40104968124863</v>
      </c>
      <c r="G11" s="61"/>
      <c r="I11" s="63"/>
    </row>
    <row r="12" customFormat="false" ht="18.75" hidden="false" customHeight="true" outlineLevel="0" collapsed="false">
      <c r="A12" s="57" t="s">
        <v>1291</v>
      </c>
      <c r="B12" s="64" t="n">
        <v>0.362</v>
      </c>
      <c r="C12" s="58" t="n">
        <f aca="false">B12/B$22*B$24</f>
        <v>0.568982193888767</v>
      </c>
      <c r="D12" s="57" t="s">
        <v>682</v>
      </c>
      <c r="E12" s="59" t="n">
        <f aca="false">IFERROR(INDEX(Correspondance!$D$2:$D$3000,MATCH(A12,Correspondance!$A$2:$A$3000,0)),0)</f>
        <v>2.5</v>
      </c>
      <c r="F12" s="60" t="n">
        <f aca="false">C12*E12</f>
        <v>1.42245548472192</v>
      </c>
      <c r="G12" s="61"/>
      <c r="I12" s="63"/>
    </row>
    <row r="13" customFormat="false" ht="18.75" hidden="false" customHeight="true" outlineLevel="0" collapsed="false">
      <c r="A13" s="57" t="s">
        <v>1919</v>
      </c>
      <c r="B13" s="64" t="n">
        <v>0.054</v>
      </c>
      <c r="C13" s="58" t="n">
        <f aca="false">B13/B$22*B$24</f>
        <v>0.0848757968784348</v>
      </c>
      <c r="D13" s="57" t="s">
        <v>434</v>
      </c>
      <c r="E13" s="59" t="n">
        <f aca="false">IFERROR(INDEX(Correspondance!$D$2:$D$3000,MATCH(A13,Correspondance!$A$2:$A$3000,0)),0)</f>
        <v>2</v>
      </c>
      <c r="F13" s="60" t="n">
        <f aca="false">C13*E13</f>
        <v>0.16975159375687</v>
      </c>
      <c r="G13" s="61"/>
      <c r="I13" s="63"/>
    </row>
    <row r="14" customFormat="false" ht="15.75" hidden="false" customHeight="false" outlineLevel="0" collapsed="false">
      <c r="A14" s="57" t="s">
        <v>1814</v>
      </c>
      <c r="B14" s="57"/>
      <c r="C14" s="58" t="n">
        <f aca="false">B14/B$22*B$24</f>
        <v>0</v>
      </c>
      <c r="D14" s="57" t="s">
        <v>434</v>
      </c>
      <c r="E14" s="59" t="n">
        <f aca="false">IFERROR(INDEX(Correspondance!$D$2:$D$3000,MATCH(A14,Correspondance!$A$2:$A$3000,0)),0)</f>
        <v>18</v>
      </c>
      <c r="F14" s="60" t="n">
        <f aca="false">C14*E14</f>
        <v>0</v>
      </c>
      <c r="G14" s="61"/>
      <c r="I14" s="63"/>
    </row>
    <row r="15" customFormat="false" ht="15.75" hidden="false" customHeight="false" outlineLevel="0" collapsed="false">
      <c r="A15" s="57" t="s">
        <v>1716</v>
      </c>
      <c r="B15" s="57"/>
      <c r="C15" s="58" t="n">
        <f aca="false">B15/B$22*B$24</f>
        <v>0</v>
      </c>
      <c r="D15" s="57" t="s">
        <v>434</v>
      </c>
      <c r="E15" s="59" t="n">
        <f aca="false">IFERROR(INDEX(Correspondance!$D$2:$D$3000,MATCH(A15,Correspondance!$A$2:$A$3000,0)),0)</f>
        <v>30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25.1099543855793</v>
      </c>
      <c r="G19" s="61"/>
      <c r="I19" s="63"/>
    </row>
    <row r="20" customFormat="false" ht="18.75" hidden="false" customHeight="true" outlineLevel="0" collapsed="false">
      <c r="A20" s="68" t="s">
        <v>2628</v>
      </c>
      <c r="B20" s="69" t="n">
        <f aca="false">F19/B24</f>
        <v>0.228272312596175</v>
      </c>
      <c r="C20" s="70"/>
      <c r="G20" s="61"/>
      <c r="I20" s="63"/>
    </row>
    <row r="21" customFormat="false" ht="15.75" hidden="false" customHeight="false" outlineLevel="0" collapsed="false">
      <c r="A21" s="71" t="s">
        <v>2629</v>
      </c>
      <c r="B21" s="71" t="n">
        <f aca="false">SUM(B3:B18)</f>
        <v>9.098</v>
      </c>
      <c r="C21" s="66"/>
      <c r="G21" s="61"/>
      <c r="I21" s="63"/>
    </row>
    <row r="22" customFormat="false" ht="15.75" hidden="false" customHeight="false" outlineLevel="0" collapsed="false">
      <c r="A22" s="0" t="s">
        <v>2630</v>
      </c>
      <c r="B22" s="72" t="n">
        <f aca="false">B21/B23</f>
        <v>69.9846153846154</v>
      </c>
      <c r="C22" s="66"/>
      <c r="G22" s="61"/>
      <c r="I22" s="63"/>
    </row>
    <row r="23" customFormat="false" ht="15.75" hidden="false" customHeight="false" outlineLevel="0" collapsed="false">
      <c r="A23" s="0" t="s">
        <v>2631</v>
      </c>
      <c r="B23" s="0" t="n">
        <v>0.13</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17</v>
      </c>
      <c r="B1" s="50"/>
      <c r="C1" s="50"/>
      <c r="D1" s="50"/>
      <c r="E1" s="51" t="s">
        <v>2619</v>
      </c>
      <c r="F1" s="51"/>
      <c r="G1" s="52" t="s">
        <v>2642</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1623</v>
      </c>
      <c r="B4" s="57" t="n">
        <v>5.73</v>
      </c>
      <c r="C4" s="58" t="n">
        <f aca="false">B4/B$22*B$24</f>
        <v>9.00428571428571</v>
      </c>
      <c r="D4" s="57" t="s">
        <v>434</v>
      </c>
      <c r="E4" s="59" t="n">
        <f aca="false">IFERROR(INDEX(Correspondance!$D$2:$D$3000,MATCH(A4,Correspondance!$A$2:$A$3000,0)),0)</f>
        <v>8.33</v>
      </c>
      <c r="F4" s="60" t="n">
        <f aca="false">C4*E4</f>
        <v>75.0057</v>
      </c>
      <c r="G4" s="61" t="s">
        <v>2644</v>
      </c>
    </row>
    <row r="5" customFormat="false" ht="15.75" hidden="false" customHeight="false" outlineLevel="0" collapsed="false">
      <c r="A5" s="57" t="s">
        <v>878</v>
      </c>
      <c r="B5" s="57" t="n">
        <v>1.37</v>
      </c>
      <c r="C5" s="58" t="n">
        <f aca="false">B5/B$22*B$24</f>
        <v>2.15285714285714</v>
      </c>
      <c r="D5" s="57" t="s">
        <v>434</v>
      </c>
      <c r="E5" s="59" t="n">
        <f aca="false">IFERROR(INDEX(Correspondance!$D$2:$D$3000,MATCH(A5,Correspondance!$A$2:$A$3000,0)),0)</f>
        <v>3.6</v>
      </c>
      <c r="F5" s="60" t="n">
        <f aca="false">C5*E5</f>
        <v>7.75028571428571</v>
      </c>
      <c r="G5" s="61"/>
      <c r="I5" s="62"/>
    </row>
    <row r="6" customFormat="false" ht="15.75" hidden="false" customHeight="false" outlineLevel="0" collapsed="false">
      <c r="A6" s="57" t="s">
        <v>1131</v>
      </c>
      <c r="B6" s="57" t="n">
        <v>0.273</v>
      </c>
      <c r="C6" s="58" t="n">
        <f aca="false">B6/B$22*B$24</f>
        <v>0.429</v>
      </c>
      <c r="D6" s="57" t="s">
        <v>682</v>
      </c>
      <c r="E6" s="59" t="n">
        <f aca="false">IFERROR(INDEX(Correspondance!$D$2:$D$3000,MATCH(A6,Correspondance!$A$2:$A$3000,0)),0)</f>
        <v>2.2</v>
      </c>
      <c r="F6" s="60" t="n">
        <f aca="false">C6*E6</f>
        <v>0.9438</v>
      </c>
      <c r="G6" s="61"/>
      <c r="I6" s="63"/>
    </row>
    <row r="7" customFormat="false" ht="15.75" hidden="false" customHeight="false" outlineLevel="0" collapsed="false">
      <c r="A7" s="57" t="s">
        <v>1982</v>
      </c>
      <c r="B7" s="57" t="n">
        <v>0.091</v>
      </c>
      <c r="C7" s="58" t="n">
        <f aca="false">B7/B$22*B$24</f>
        <v>0.143</v>
      </c>
      <c r="D7" s="57" t="s">
        <v>682</v>
      </c>
      <c r="E7" s="59" t="n">
        <f aca="false">IFERROR(INDEX(Correspondance!$D$2:$D$3000,MATCH(A7,Correspondance!$A$2:$A$3000,0)),0)</f>
        <v>1.5</v>
      </c>
      <c r="F7" s="60" t="n">
        <f aca="false">C7*E7</f>
        <v>0.2145</v>
      </c>
      <c r="G7" s="61"/>
      <c r="I7" s="63"/>
    </row>
    <row r="8" customFormat="false" ht="15.75" hidden="false" customHeight="false" outlineLevel="0" collapsed="false">
      <c r="A8" s="57" t="s">
        <v>1725</v>
      </c>
      <c r="B8" s="57" t="n">
        <v>0.036</v>
      </c>
      <c r="C8" s="58" t="n">
        <f aca="false">B8/B$22*B$24</f>
        <v>0.0565714285714286</v>
      </c>
      <c r="D8" s="57" t="s">
        <v>434</v>
      </c>
      <c r="E8" s="59" t="n">
        <f aca="false">IFERROR(INDEX(Correspondance!$D$2:$D$3000,MATCH(A8,Correspondance!$A$2:$A$3000,0)),0)</f>
        <v>9</v>
      </c>
      <c r="F8" s="60" t="n">
        <f aca="false">C8*E8</f>
        <v>0.509142857142857</v>
      </c>
      <c r="G8" s="61"/>
      <c r="I8" s="63"/>
    </row>
    <row r="9" customFormat="false" ht="15.75" hidden="false" customHeight="false" outlineLevel="0" collapsed="false">
      <c r="A9" s="57" t="s">
        <v>1919</v>
      </c>
      <c r="B9" s="57" t="n">
        <v>0.018</v>
      </c>
      <c r="C9" s="58" t="n">
        <f aca="false">B9/B$22*B$24</f>
        <v>0.0282857142857143</v>
      </c>
      <c r="D9" s="57" t="s">
        <v>434</v>
      </c>
      <c r="E9" s="59" t="n">
        <f aca="false">IFERROR(INDEX(Correspondance!$D$2:$D$3000,MATCH(A9,Correspondance!$A$2:$A$3000,0)),0)</f>
        <v>2</v>
      </c>
      <c r="F9" s="60" t="n">
        <f aca="false">C9*E9</f>
        <v>0.0565714285714286</v>
      </c>
      <c r="G9" s="61"/>
      <c r="I9" s="63"/>
    </row>
    <row r="10" customFormat="false" ht="15.75" hidden="false" customHeight="false" outlineLevel="0" collapsed="false">
      <c r="A10" s="57" t="s">
        <v>1814</v>
      </c>
      <c r="B10" s="57"/>
      <c r="C10" s="58" t="n">
        <f aca="false">B10/B$22*B$24</f>
        <v>0</v>
      </c>
      <c r="D10" s="57" t="s">
        <v>434</v>
      </c>
      <c r="E10" s="59" t="n">
        <f aca="false">IFERROR(INDEX(Correspondance!$D$2:$D$3000,MATCH(A10,Correspondance!$A$2:$A$3000,0)),0)</f>
        <v>18</v>
      </c>
      <c r="F10" s="60" t="n">
        <f aca="false">C10*E10</f>
        <v>0</v>
      </c>
      <c r="G10" s="61"/>
      <c r="I10" s="63"/>
    </row>
    <row r="11" customFormat="false" ht="15.75" hidden="false" customHeight="false" outlineLevel="0" collapsed="false">
      <c r="A11" s="57" t="s">
        <v>1687</v>
      </c>
      <c r="B11" s="57" t="n">
        <v>0.182</v>
      </c>
      <c r="C11" s="58" t="n">
        <f aca="false">B11/B$22*B$24</f>
        <v>0.286</v>
      </c>
      <c r="D11" s="57" t="s">
        <v>682</v>
      </c>
      <c r="E11" s="59" t="n">
        <f aca="false">IFERROR(INDEX(Correspondance!$D$2:$D$3000,MATCH(A11,Correspondance!$A$2:$A$3000,0)),0)</f>
        <v>6.5</v>
      </c>
      <c r="F11" s="60" t="n">
        <f aca="false">C11*E11</f>
        <v>1.859</v>
      </c>
      <c r="G11" s="61"/>
      <c r="I11" s="63"/>
    </row>
    <row r="12" customFormat="false" ht="18.75" hidden="false" customHeight="true" outlineLevel="0" collapsed="false">
      <c r="A12" s="57"/>
      <c r="B12" s="64"/>
      <c r="C12" s="58" t="n">
        <f aca="false">B12/B$22*B$24</f>
        <v>0</v>
      </c>
      <c r="D12" s="57"/>
      <c r="E12" s="65" t="n">
        <f aca="false">IFERROR(INDEX(Correspondance!$D$2:$D$3000,MATCH(A12,Correspondance!$A$2:$A$3000,0)),0)</f>
        <v>0</v>
      </c>
      <c r="F12" s="60" t="n">
        <f aca="false">C12*E12</f>
        <v>0</v>
      </c>
      <c r="G12" s="61"/>
      <c r="I12" s="63"/>
    </row>
    <row r="13" customFormat="false" ht="18.75" hidden="false" customHeight="true" outlineLevel="0" collapsed="false">
      <c r="A13" s="57"/>
      <c r="B13" s="64"/>
      <c r="C13" s="58" t="n">
        <f aca="false">B13/B$22*B$24</f>
        <v>0</v>
      </c>
      <c r="D13" s="57"/>
      <c r="E13" s="65" t="n">
        <f aca="false">IFERROR(INDEX(Correspondance!$D$2:$D$3000,MATCH(A13,Correspondance!$A$2:$A$3000,0)),0)</f>
        <v>0</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86.339</v>
      </c>
      <c r="G19" s="61"/>
      <c r="I19" s="63"/>
    </row>
    <row r="20" customFormat="false" ht="18.75" hidden="false" customHeight="true" outlineLevel="0" collapsed="false">
      <c r="A20" s="68" t="s">
        <v>2628</v>
      </c>
      <c r="B20" s="69" t="n">
        <f aca="false">F19/B24</f>
        <v>0.7849</v>
      </c>
      <c r="C20" s="70"/>
      <c r="G20" s="61"/>
      <c r="I20" s="63"/>
    </row>
    <row r="21" customFormat="false" ht="15.75" hidden="false" customHeight="false" outlineLevel="0" collapsed="false">
      <c r="A21" s="71" t="s">
        <v>2629</v>
      </c>
      <c r="B21" s="71" t="n">
        <f aca="false">SUM(B3:B18)</f>
        <v>7.7</v>
      </c>
      <c r="C21" s="66"/>
      <c r="G21" s="61"/>
      <c r="I21" s="63"/>
    </row>
    <row r="22" customFormat="false" ht="15.75" hidden="false" customHeight="false" outlineLevel="0" collapsed="false">
      <c r="A22" s="0" t="s">
        <v>2630</v>
      </c>
      <c r="B22" s="72" t="n">
        <f aca="false">B21/B23</f>
        <v>70</v>
      </c>
      <c r="C22" s="66"/>
      <c r="G22" s="61"/>
      <c r="I22" s="63"/>
    </row>
    <row r="23" customFormat="false" ht="15.75" hidden="false" customHeight="false" outlineLevel="0" collapsed="false">
      <c r="A23" s="0" t="s">
        <v>2631</v>
      </c>
      <c r="B23" s="0" t="n">
        <v>0.11</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19</v>
      </c>
      <c r="B1" s="50"/>
      <c r="C1" s="50"/>
      <c r="D1" s="50"/>
      <c r="E1" s="51" t="s">
        <v>2619</v>
      </c>
      <c r="F1" s="51"/>
      <c r="G1" s="52" t="s">
        <v>2645</v>
      </c>
    </row>
    <row r="2" customFormat="false" ht="24.75" hidden="false" customHeight="true" outlineLevel="0" collapsed="false">
      <c r="A2" s="50"/>
      <c r="B2" s="50"/>
      <c r="C2" s="50"/>
      <c r="D2" s="50"/>
      <c r="E2" s="53" t="s">
        <v>2621</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810</v>
      </c>
      <c r="B4" s="57" t="n">
        <v>5.42</v>
      </c>
      <c r="C4" s="58" t="n">
        <f aca="false">B4/B$22*B$24</f>
        <v>8.5225540025413</v>
      </c>
      <c r="D4" s="57" t="s">
        <v>434</v>
      </c>
      <c r="E4" s="59" t="n">
        <f aca="false">IFERROR(INDEX(Correspondance!$D$2:$D$3000,MATCH(A4,Correspondance!$A$2:$A$3000,0)),0)</f>
        <v>2.6</v>
      </c>
      <c r="F4" s="60" t="n">
        <f aca="false">C4*E4</f>
        <v>22.1586404066074</v>
      </c>
      <c r="G4" s="61" t="s">
        <v>2646</v>
      </c>
    </row>
    <row r="5" customFormat="false" ht="15.75" hidden="false" customHeight="false" outlineLevel="0" collapsed="false">
      <c r="A5" s="57" t="s">
        <v>1131</v>
      </c>
      <c r="B5" s="57" t="n">
        <v>0.452</v>
      </c>
      <c r="C5" s="58" t="n">
        <f aca="false">B5/B$22*B$24</f>
        <v>0.710736975857687</v>
      </c>
      <c r="D5" s="57" t="s">
        <v>682</v>
      </c>
      <c r="E5" s="59" t="n">
        <f aca="false">IFERROR(INDEX(Correspondance!$D$2:$D$3000,MATCH(A5,Correspondance!$A$2:$A$3000,0)),0)</f>
        <v>2.2</v>
      </c>
      <c r="F5" s="60" t="n">
        <f aca="false">C5*E5</f>
        <v>1.56362134688691</v>
      </c>
      <c r="G5" s="61"/>
      <c r="I5" s="62"/>
    </row>
    <row r="6" customFormat="false" ht="15.75" hidden="false" customHeight="false" outlineLevel="0" collapsed="false">
      <c r="A6" s="57" t="s">
        <v>1340</v>
      </c>
      <c r="B6" s="57" t="n">
        <v>0.136</v>
      </c>
      <c r="C6" s="58" t="n">
        <f aca="false">B6/B$22*B$24</f>
        <v>0.213850063532402</v>
      </c>
      <c r="D6" s="57" t="s">
        <v>682</v>
      </c>
      <c r="E6" s="59" t="n">
        <f aca="false">IFERROR(INDEX(Correspondance!$D$2:$D$3000,MATCH(A6,Correspondance!$A$2:$A$3000,0)),0)</f>
        <v>1.8</v>
      </c>
      <c r="F6" s="60" t="n">
        <f aca="false">C6*E6</f>
        <v>0.384930114358323</v>
      </c>
      <c r="G6" s="61"/>
      <c r="I6" s="63"/>
    </row>
    <row r="7" customFormat="false" ht="15.75" hidden="false" customHeight="false" outlineLevel="0" collapsed="false">
      <c r="A7" s="57" t="s">
        <v>1725</v>
      </c>
      <c r="B7" s="57" t="n">
        <v>0.072</v>
      </c>
      <c r="C7" s="58" t="n">
        <f aca="false">B7/B$22*B$24</f>
        <v>0.113214739517154</v>
      </c>
      <c r="D7" s="57" t="s">
        <v>434</v>
      </c>
      <c r="E7" s="59" t="n">
        <f aca="false">IFERROR(INDEX(Correspondance!$D$2:$D$3000,MATCH(A7,Correspondance!$A$2:$A$3000,0)),0)</f>
        <v>9</v>
      </c>
      <c r="F7" s="60" t="n">
        <f aca="false">C7*E7</f>
        <v>1.01893265565438</v>
      </c>
      <c r="G7" s="61"/>
      <c r="I7" s="63"/>
    </row>
    <row r="8" customFormat="false" ht="15.75" hidden="false" customHeight="false" outlineLevel="0" collapsed="false">
      <c r="A8" s="57" t="s">
        <v>1291</v>
      </c>
      <c r="B8" s="57" t="n">
        <v>0.09</v>
      </c>
      <c r="C8" s="58" t="n">
        <f aca="false">B8/B$22*B$24</f>
        <v>0.141518424396442</v>
      </c>
      <c r="D8" s="57" t="s">
        <v>682</v>
      </c>
      <c r="E8" s="59" t="n">
        <f aca="false">IFERROR(INDEX(Correspondance!$D$2:$D$3000,MATCH(A8,Correspondance!$A$2:$A$3000,0)),0)</f>
        <v>2.5</v>
      </c>
      <c r="F8" s="60" t="n">
        <f aca="false">C8*E8</f>
        <v>0.353796060991105</v>
      </c>
      <c r="G8" s="61"/>
      <c r="I8" s="63"/>
    </row>
    <row r="9" customFormat="false" ht="15.75" hidden="false" customHeight="false" outlineLevel="0" collapsed="false">
      <c r="A9" s="57" t="s">
        <v>947</v>
      </c>
      <c r="B9" s="57" t="n">
        <v>0.09</v>
      </c>
      <c r="C9" s="58" t="n">
        <f aca="false">B9/B$22*B$24</f>
        <v>0.141518424396442</v>
      </c>
      <c r="D9" s="57" t="s">
        <v>434</v>
      </c>
      <c r="E9" s="59" t="n">
        <f aca="false">IFERROR(INDEX(Correspondance!$D$2:$D$3000,MATCH(A9,Correspondance!$A$2:$A$3000,0)),0)</f>
        <v>4.5</v>
      </c>
      <c r="F9" s="60" t="n">
        <f aca="false">C9*E9</f>
        <v>0.63683290978399</v>
      </c>
      <c r="G9" s="61"/>
      <c r="I9" s="63"/>
    </row>
    <row r="10" customFormat="false" ht="15.75" hidden="false" customHeight="false" outlineLevel="0" collapsed="false">
      <c r="A10" s="57" t="s">
        <v>1919</v>
      </c>
      <c r="B10" s="57" t="n">
        <v>0.036</v>
      </c>
      <c r="C10" s="58" t="n">
        <f aca="false">B10/B$22*B$24</f>
        <v>0.0566073697585769</v>
      </c>
      <c r="D10" s="57" t="s">
        <v>434</v>
      </c>
      <c r="E10" s="59" t="n">
        <f aca="false">IFERROR(INDEX(Correspondance!$D$2:$D$3000,MATCH(A10,Correspondance!$A$2:$A$3000,0)),0)</f>
        <v>2</v>
      </c>
      <c r="F10" s="60" t="n">
        <f aca="false">C10*E10</f>
        <v>0.113214739517154</v>
      </c>
      <c r="G10" s="61"/>
      <c r="I10" s="63"/>
    </row>
    <row r="11" customFormat="false" ht="15.75" hidden="false" customHeight="false" outlineLevel="0" collapsed="false">
      <c r="A11" s="57" t="s">
        <v>1814</v>
      </c>
      <c r="B11" s="57"/>
      <c r="C11" s="58" t="n">
        <f aca="false">B11/B$22*B$24</f>
        <v>0</v>
      </c>
      <c r="D11" s="57" t="s">
        <v>434</v>
      </c>
      <c r="E11" s="59" t="n">
        <f aca="false">IFERROR(INDEX(Correspondance!$D$2:$D$3000,MATCH(A11,Correspondance!$A$2:$A$3000,0)),0)</f>
        <v>18</v>
      </c>
      <c r="F11" s="60" t="n">
        <f aca="false">C11*E11</f>
        <v>0</v>
      </c>
      <c r="G11" s="61"/>
      <c r="I11" s="63"/>
    </row>
    <row r="12" customFormat="false" ht="18.75" hidden="false" customHeight="true" outlineLevel="0" collapsed="false">
      <c r="A12" s="57" t="s">
        <v>1776</v>
      </c>
      <c r="B12" s="64"/>
      <c r="C12" s="58" t="n">
        <f aca="false">B12/B$22*B$24</f>
        <v>0</v>
      </c>
      <c r="D12" s="57" t="s">
        <v>434</v>
      </c>
      <c r="E12" s="59" t="n">
        <f aca="false">IFERROR(INDEX(Correspondance!$D$2:$D$3000,MATCH(A12,Correspondance!$A$2:$A$3000,0)),0)</f>
        <v>8</v>
      </c>
      <c r="F12" s="60" t="n">
        <f aca="false">C12*E12</f>
        <v>0</v>
      </c>
      <c r="G12" s="61"/>
      <c r="I12" s="63"/>
    </row>
    <row r="13" customFormat="false" ht="18.75" hidden="false" customHeight="true" outlineLevel="0" collapsed="false">
      <c r="A13" s="57"/>
      <c r="B13" s="64"/>
      <c r="C13" s="58" t="n">
        <f aca="false">B13/B$22*B$24</f>
        <v>0</v>
      </c>
      <c r="D13" s="57"/>
      <c r="E13" s="65" t="n">
        <f aca="false">IFERROR(INDEX(Correspondance!$D$2:$D$3000,MATCH(A13,Correspondance!$A$2:$A$3000,0)),0)</f>
        <v>0</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26.2299682337992</v>
      </c>
      <c r="G19" s="61"/>
      <c r="I19" s="63"/>
    </row>
    <row r="20" customFormat="false" ht="18.75" hidden="false" customHeight="true" outlineLevel="0" collapsed="false">
      <c r="A20" s="68" t="s">
        <v>2628</v>
      </c>
      <c r="B20" s="69" t="n">
        <f aca="false">F19/B24</f>
        <v>0.238454256670902</v>
      </c>
      <c r="C20" s="70"/>
      <c r="G20" s="61"/>
      <c r="I20" s="63"/>
    </row>
    <row r="21" customFormat="false" ht="15.75" hidden="false" customHeight="false" outlineLevel="0" collapsed="false">
      <c r="A21" s="71" t="s">
        <v>2629</v>
      </c>
      <c r="B21" s="71" t="n">
        <f aca="false">SUM(B3:B18)</f>
        <v>6.296</v>
      </c>
      <c r="C21" s="66"/>
      <c r="G21" s="61"/>
      <c r="I21" s="63"/>
    </row>
    <row r="22" customFormat="false" ht="15.75" hidden="false" customHeight="false" outlineLevel="0" collapsed="false">
      <c r="A22" s="0" t="s">
        <v>2630</v>
      </c>
      <c r="B22" s="72" t="n">
        <f aca="false">B21/B23</f>
        <v>69.9555555555556</v>
      </c>
      <c r="C22" s="66"/>
      <c r="G22" s="61"/>
      <c r="I22" s="63"/>
    </row>
    <row r="23" customFormat="false" ht="15.75" hidden="false" customHeight="false" outlineLevel="0" collapsed="false">
      <c r="A23" s="0" t="s">
        <v>2631</v>
      </c>
      <c r="B23" s="0" t="n">
        <v>0.09</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20</v>
      </c>
      <c r="B1" s="50"/>
      <c r="C1" s="50"/>
      <c r="D1" s="50"/>
      <c r="E1" s="51" t="s">
        <v>2619</v>
      </c>
      <c r="F1" s="51"/>
      <c r="G1" s="52" t="s">
        <v>2645</v>
      </c>
    </row>
    <row r="2" customFormat="false" ht="24.75" hidden="false" customHeight="true" outlineLevel="0" collapsed="false">
      <c r="A2" s="50"/>
      <c r="B2" s="50"/>
      <c r="C2" s="50"/>
      <c r="D2" s="50"/>
      <c r="E2" s="53" t="s">
        <v>2621</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810</v>
      </c>
      <c r="B4" s="57" t="n">
        <v>4.95</v>
      </c>
      <c r="C4" s="58" t="n">
        <f aca="false">B4/B$22*B$24</f>
        <v>7.78524449528167</v>
      </c>
      <c r="D4" s="57" t="s">
        <v>434</v>
      </c>
      <c r="E4" s="59" t="n">
        <f aca="false">IFERROR(INDEX(Correspondance!$D$2:$D$3000,MATCH(A4,Correspondance!$A$2:$A$3000,0)),0)</f>
        <v>2.6</v>
      </c>
      <c r="F4" s="60" t="n">
        <f aca="false">C4*E4</f>
        <v>20.2416356877323</v>
      </c>
      <c r="G4" s="61" t="s">
        <v>2647</v>
      </c>
    </row>
    <row r="5" customFormat="false" ht="15.75" hidden="false" customHeight="false" outlineLevel="0" collapsed="false">
      <c r="A5" s="57" t="s">
        <v>1068</v>
      </c>
      <c r="B5" s="57" t="n">
        <v>0.36</v>
      </c>
      <c r="C5" s="58" t="n">
        <f aca="false">B5/B$22*B$24</f>
        <v>0.566199599656849</v>
      </c>
      <c r="D5" s="57" t="s">
        <v>434</v>
      </c>
      <c r="E5" s="59" t="n">
        <f aca="false">IFERROR(INDEX(Correspondance!$D$2:$D$3000,MATCH(A5,Correspondance!$A$2:$A$3000,0)),0)</f>
        <v>14</v>
      </c>
      <c r="F5" s="60" t="n">
        <f aca="false">C5*E5</f>
        <v>7.92679439519588</v>
      </c>
      <c r="G5" s="61"/>
      <c r="I5" s="62"/>
    </row>
    <row r="6" customFormat="false" ht="15.75" hidden="false" customHeight="false" outlineLevel="0" collapsed="false">
      <c r="A6" s="57" t="s">
        <v>1824</v>
      </c>
      <c r="B6" s="57" t="n">
        <v>0.901</v>
      </c>
      <c r="C6" s="58" t="n">
        <f aca="false">B6/B$22*B$24</f>
        <v>1.41707177580784</v>
      </c>
      <c r="D6" s="57" t="s">
        <v>434</v>
      </c>
      <c r="E6" s="59" t="n">
        <f aca="false">IFERROR(INDEX(Correspondance!$D$2:$D$3000,MATCH(A6,Correspondance!$A$2:$A$3000,0)),0)</f>
        <v>1.7</v>
      </c>
      <c r="F6" s="60" t="n">
        <f aca="false">C6*E6</f>
        <v>2.40902201887332</v>
      </c>
      <c r="G6" s="61"/>
      <c r="I6" s="63"/>
    </row>
    <row r="7" customFormat="false" ht="15.75" hidden="false" customHeight="false" outlineLevel="0" collapsed="false">
      <c r="A7" s="57" t="s">
        <v>1125</v>
      </c>
      <c r="B7" s="57" t="n">
        <v>0.18</v>
      </c>
      <c r="C7" s="58" t="n">
        <f aca="false">B7/B$22*B$24</f>
        <v>0.283099799828424</v>
      </c>
      <c r="D7" s="57" t="s">
        <v>682</v>
      </c>
      <c r="E7" s="59" t="n">
        <f aca="false">IFERROR(INDEX(Correspondance!$D$2:$D$3000,MATCH(A7,Correspondance!$A$2:$A$3000,0)),0)</f>
        <v>12</v>
      </c>
      <c r="F7" s="60" t="n">
        <f aca="false">C7*E7</f>
        <v>3.39719759794109</v>
      </c>
      <c r="G7" s="61"/>
      <c r="I7" s="63"/>
    </row>
    <row r="8" customFormat="false" ht="15.75" hidden="false" customHeight="false" outlineLevel="0" collapsed="false">
      <c r="A8" s="57" t="s">
        <v>1131</v>
      </c>
      <c r="B8" s="57" t="n">
        <v>0.27</v>
      </c>
      <c r="C8" s="58" t="n">
        <f aca="false">B8/B$22*B$24</f>
        <v>0.424649699742637</v>
      </c>
      <c r="D8" s="57" t="s">
        <v>682</v>
      </c>
      <c r="E8" s="59" t="n">
        <f aca="false">IFERROR(INDEX(Correspondance!$D$2:$D$3000,MATCH(A8,Correspondance!$A$2:$A$3000,0)),0)</f>
        <v>2.2</v>
      </c>
      <c r="F8" s="60" t="n">
        <f aca="false">C8*E8</f>
        <v>0.934229339433801</v>
      </c>
      <c r="G8" s="61"/>
      <c r="I8" s="63"/>
    </row>
    <row r="9" customFormat="false" ht="15.75" hidden="false" customHeight="false" outlineLevel="0" collapsed="false">
      <c r="A9" s="57" t="s">
        <v>1340</v>
      </c>
      <c r="B9" s="57" t="n">
        <v>0.135</v>
      </c>
      <c r="C9" s="58" t="n">
        <f aca="false">B9/B$22*B$24</f>
        <v>0.212324849871318</v>
      </c>
      <c r="D9" s="57" t="s">
        <v>682</v>
      </c>
      <c r="E9" s="59" t="n">
        <f aca="false">IFERROR(INDEX(Correspondance!$D$2:$D$3000,MATCH(A9,Correspondance!$A$2:$A$3000,0)),0)</f>
        <v>1.8</v>
      </c>
      <c r="F9" s="60" t="n">
        <f aca="false">C9*E9</f>
        <v>0.382184729768373</v>
      </c>
      <c r="G9" s="61"/>
      <c r="I9" s="63"/>
    </row>
    <row r="10" customFormat="false" ht="15.75" hidden="false" customHeight="false" outlineLevel="0" collapsed="false">
      <c r="A10" s="57" t="s">
        <v>1725</v>
      </c>
      <c r="B10" s="57" t="n">
        <v>0.072</v>
      </c>
      <c r="C10" s="58" t="n">
        <f aca="false">B10/B$22*B$24</f>
        <v>0.11323991993137</v>
      </c>
      <c r="D10" s="57" t="s">
        <v>434</v>
      </c>
      <c r="E10" s="59" t="n">
        <f aca="false">IFERROR(INDEX(Correspondance!$D$2:$D$3000,MATCH(A10,Correspondance!$A$2:$A$3000,0)),0)</f>
        <v>9</v>
      </c>
      <c r="F10" s="60" t="n">
        <f aca="false">C10*E10</f>
        <v>1.01915927938233</v>
      </c>
      <c r="G10" s="61"/>
      <c r="I10" s="63"/>
    </row>
    <row r="11" customFormat="false" ht="15.75" hidden="false" customHeight="false" outlineLevel="0" collapsed="false">
      <c r="A11" s="57" t="s">
        <v>1291</v>
      </c>
      <c r="B11" s="57" t="n">
        <v>0.09</v>
      </c>
      <c r="C11" s="58" t="n">
        <f aca="false">B11/B$22*B$24</f>
        <v>0.141549899914212</v>
      </c>
      <c r="D11" s="57" t="s">
        <v>682</v>
      </c>
      <c r="E11" s="59" t="n">
        <f aca="false">IFERROR(INDEX(Correspondance!$D$2:$D$3000,MATCH(A11,Correspondance!$A$2:$A$3000,0)),0)</f>
        <v>2.5</v>
      </c>
      <c r="F11" s="60" t="n">
        <f aca="false">C11*E11</f>
        <v>0.35387474978553</v>
      </c>
      <c r="G11" s="61"/>
      <c r="I11" s="63"/>
    </row>
    <row r="12" customFormat="false" ht="18.75" hidden="false" customHeight="true" outlineLevel="0" collapsed="false">
      <c r="A12" s="57" t="s">
        <v>1919</v>
      </c>
      <c r="B12" s="64" t="n">
        <v>0.036</v>
      </c>
      <c r="C12" s="58" t="n">
        <f aca="false">B12/B$22*B$24</f>
        <v>0.0566199599656849</v>
      </c>
      <c r="D12" s="57" t="s">
        <v>434</v>
      </c>
      <c r="E12" s="59" t="n">
        <f aca="false">IFERROR(INDEX(Correspondance!$D$2:$D$3000,MATCH(A12,Correspondance!$A$2:$A$3000,0)),0)</f>
        <v>2</v>
      </c>
      <c r="F12" s="60" t="n">
        <f aca="false">C12*E12</f>
        <v>0.11323991993137</v>
      </c>
      <c r="G12" s="61"/>
      <c r="I12" s="63"/>
    </row>
    <row r="13" customFormat="false" ht="18.75" hidden="false" customHeight="true" outlineLevel="0" collapsed="false">
      <c r="A13" s="57" t="s">
        <v>1814</v>
      </c>
      <c r="B13" s="64"/>
      <c r="C13" s="58" t="n">
        <f aca="false">B13/B$22*B$24</f>
        <v>0</v>
      </c>
      <c r="D13" s="57" t="s">
        <v>434</v>
      </c>
      <c r="E13" s="59" t="n">
        <f aca="false">IFERROR(INDEX(Correspondance!$D$2:$D$3000,MATCH(A13,Correspondance!$A$2:$A$3000,0)),0)</f>
        <v>18</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36.777337718044</v>
      </c>
      <c r="G19" s="61"/>
      <c r="I19" s="63"/>
    </row>
    <row r="20" customFormat="false" ht="18.75" hidden="false" customHeight="true" outlineLevel="0" collapsed="false">
      <c r="A20" s="68" t="s">
        <v>2628</v>
      </c>
      <c r="B20" s="69" t="n">
        <f aca="false">F19/B24</f>
        <v>0.3343394338004</v>
      </c>
      <c r="C20" s="70"/>
      <c r="G20" s="61"/>
      <c r="I20" s="63"/>
    </row>
    <row r="21" customFormat="false" ht="15.75" hidden="false" customHeight="false" outlineLevel="0" collapsed="false">
      <c r="A21" s="71" t="s">
        <v>2629</v>
      </c>
      <c r="B21" s="71" t="n">
        <f aca="false">SUM(B3:B18)</f>
        <v>6.994</v>
      </c>
      <c r="C21" s="66"/>
      <c r="G21" s="61"/>
      <c r="I21" s="63"/>
    </row>
    <row r="22" customFormat="false" ht="15.75" hidden="false" customHeight="false" outlineLevel="0" collapsed="false">
      <c r="A22" s="0" t="s">
        <v>2630</v>
      </c>
      <c r="B22" s="72" t="n">
        <f aca="false">B21/B23</f>
        <v>69.94</v>
      </c>
      <c r="C22" s="66"/>
      <c r="G22" s="61"/>
      <c r="I22" s="63"/>
    </row>
    <row r="23" customFormat="false" ht="15.75" hidden="false" customHeight="false" outlineLevel="0" collapsed="false">
      <c r="A23" s="0" t="s">
        <v>2631</v>
      </c>
      <c r="B23" s="0" t="n">
        <v>0.1</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21</v>
      </c>
      <c r="B1" s="50"/>
      <c r="C1" s="50"/>
      <c r="D1" s="50"/>
      <c r="E1" s="51" t="s">
        <v>2619</v>
      </c>
      <c r="F1" s="51"/>
      <c r="G1" s="52" t="s">
        <v>2645</v>
      </c>
    </row>
    <row r="2" customFormat="false" ht="24.75" hidden="false" customHeight="true" outlineLevel="0" collapsed="false">
      <c r="A2" s="50"/>
      <c r="B2" s="50"/>
      <c r="C2" s="50"/>
      <c r="D2" s="50"/>
      <c r="E2" s="53" t="s">
        <v>2621</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810</v>
      </c>
      <c r="B4" s="57" t="n">
        <v>4.76</v>
      </c>
      <c r="C4" s="58" t="n">
        <f aca="false">B4/B$22*B$24</f>
        <v>7.47805764736432</v>
      </c>
      <c r="D4" s="57" t="s">
        <v>434</v>
      </c>
      <c r="E4" s="59" t="n">
        <f aca="false">IFERROR(INDEX(Correspondance!$D$2:$D$3000,MATCH(A4,Correspondance!$A$2:$A$3000,0)),0)</f>
        <v>2.6</v>
      </c>
      <c r="F4" s="60" t="n">
        <f aca="false">C4*E4</f>
        <v>19.4429498831472</v>
      </c>
      <c r="G4" s="61" t="s">
        <v>2648</v>
      </c>
    </row>
    <row r="5" customFormat="false" ht="15.75" hidden="false" customHeight="false" outlineLevel="0" collapsed="false">
      <c r="A5" s="57" t="s">
        <v>685</v>
      </c>
      <c r="B5" s="57" t="n">
        <v>0.952</v>
      </c>
      <c r="C5" s="58" t="n">
        <f aca="false">B5/B$22*B$24</f>
        <v>1.49561152947286</v>
      </c>
      <c r="D5" s="57" t="s">
        <v>434</v>
      </c>
      <c r="E5" s="59" t="n">
        <f aca="false">IFERROR(INDEX(Correspondance!$D$2:$D$3000,MATCH(A5,Correspondance!$A$2:$A$3000,0)),0)</f>
        <v>10.5</v>
      </c>
      <c r="F5" s="60" t="n">
        <f aca="false">C5*E5</f>
        <v>15.7039210594651</v>
      </c>
      <c r="G5" s="61"/>
      <c r="I5" s="62"/>
    </row>
    <row r="6" customFormat="false" ht="15.75" hidden="false" customHeight="false" outlineLevel="0" collapsed="false">
      <c r="A6" s="57" t="s">
        <v>1068</v>
      </c>
      <c r="B6" s="57" t="n">
        <v>0.381</v>
      </c>
      <c r="C6" s="58" t="n">
        <f aca="false">B6/B$22*B$24</f>
        <v>0.598558815891976</v>
      </c>
      <c r="D6" s="57" t="s">
        <v>434</v>
      </c>
      <c r="E6" s="59" t="n">
        <f aca="false">IFERROR(INDEX(Correspondance!$D$2:$D$3000,MATCH(A6,Correspondance!$A$2:$A$3000,0)),0)</f>
        <v>14</v>
      </c>
      <c r="F6" s="60" t="n">
        <f aca="false">C6*E6</f>
        <v>8.37982342248767</v>
      </c>
      <c r="G6" s="61"/>
      <c r="I6" s="63"/>
    </row>
    <row r="7" customFormat="false" ht="15.75" hidden="false" customHeight="false" outlineLevel="0" collapsed="false">
      <c r="A7" s="57" t="s">
        <v>1824</v>
      </c>
      <c r="B7" s="57" t="n">
        <v>0.761</v>
      </c>
      <c r="C7" s="58" t="n">
        <f aca="false">B7/B$22*B$24</f>
        <v>1.1955466112698</v>
      </c>
      <c r="D7" s="57" t="s">
        <v>434</v>
      </c>
      <c r="E7" s="59" t="n">
        <f aca="false">IFERROR(INDEX(Correspondance!$D$2:$D$3000,MATCH(A7,Correspondance!$A$2:$A$3000,0)),0)</f>
        <v>1.7</v>
      </c>
      <c r="F7" s="60" t="n">
        <f aca="false">C7*E7</f>
        <v>2.03242923915866</v>
      </c>
      <c r="G7" s="61"/>
      <c r="I7" s="63"/>
    </row>
    <row r="8" customFormat="false" ht="15.75" hidden="false" customHeight="false" outlineLevel="0" collapsed="false">
      <c r="A8" s="57" t="s">
        <v>1576</v>
      </c>
      <c r="B8" s="57" t="n">
        <v>0.286</v>
      </c>
      <c r="C8" s="58" t="n">
        <f aca="false">B8/B$22*B$24</f>
        <v>0.44931186704752</v>
      </c>
      <c r="D8" s="57" t="s">
        <v>682</v>
      </c>
      <c r="E8" s="59" t="n">
        <f aca="false">IFERROR(INDEX(Correspondance!$D$2:$D$3000,MATCH(A8,Correspondance!$A$2:$A$3000,0)),0)</f>
        <v>5.5</v>
      </c>
      <c r="F8" s="60" t="n">
        <f aca="false">C8*E8</f>
        <v>2.47121526876136</v>
      </c>
      <c r="G8" s="61"/>
      <c r="I8" s="63"/>
    </row>
    <row r="9" customFormat="false" ht="15.75" hidden="false" customHeight="false" outlineLevel="0" collapsed="false">
      <c r="A9" s="57" t="s">
        <v>1131</v>
      </c>
      <c r="B9" s="57" t="n">
        <v>0.286</v>
      </c>
      <c r="C9" s="58" t="n">
        <f aca="false">B9/B$22*B$24</f>
        <v>0.44931186704752</v>
      </c>
      <c r="D9" s="57" t="s">
        <v>682</v>
      </c>
      <c r="E9" s="59" t="n">
        <f aca="false">IFERROR(INDEX(Correspondance!$D$2:$D$3000,MATCH(A9,Correspondance!$A$2:$A$3000,0)),0)</f>
        <v>2.2</v>
      </c>
      <c r="F9" s="60" t="n">
        <f aca="false">C9*E9</f>
        <v>0.988486107504544</v>
      </c>
      <c r="G9" s="61"/>
      <c r="I9" s="63"/>
    </row>
    <row r="10" customFormat="false" ht="15.75" hidden="false" customHeight="false" outlineLevel="0" collapsed="false">
      <c r="A10" s="57" t="s">
        <v>1340</v>
      </c>
      <c r="B10" s="57" t="n">
        <v>0.114</v>
      </c>
      <c r="C10" s="58" t="n">
        <f aca="false">B10/B$22*B$24</f>
        <v>0.179096338613347</v>
      </c>
      <c r="D10" s="57" t="s">
        <v>682</v>
      </c>
      <c r="E10" s="59" t="n">
        <f aca="false">IFERROR(INDEX(Correspondance!$D$2:$D$3000,MATCH(A10,Correspondance!$A$2:$A$3000,0)),0)</f>
        <v>1.8</v>
      </c>
      <c r="F10" s="60" t="n">
        <f aca="false">C10*E10</f>
        <v>0.322373409504025</v>
      </c>
      <c r="G10" s="61"/>
      <c r="I10" s="63"/>
    </row>
    <row r="11" customFormat="false" ht="15.75" hidden="false" customHeight="false" outlineLevel="0" collapsed="false">
      <c r="A11" s="57" t="s">
        <v>1725</v>
      </c>
      <c r="B11" s="57" t="n">
        <v>0.048</v>
      </c>
      <c r="C11" s="58" t="n">
        <f aca="false">B11/B$22*B$24</f>
        <v>0.0754089846793041</v>
      </c>
      <c r="D11" s="57" t="s">
        <v>434</v>
      </c>
      <c r="E11" s="59" t="n">
        <f aca="false">IFERROR(INDEX(Correspondance!$D$2:$D$3000,MATCH(A11,Correspondance!$A$2:$A$3000,0)),0)</f>
        <v>9</v>
      </c>
      <c r="F11" s="60" t="n">
        <f aca="false">C11*E11</f>
        <v>0.678680862113737</v>
      </c>
      <c r="G11" s="61"/>
      <c r="I11" s="63"/>
    </row>
    <row r="12" customFormat="false" ht="18.75" hidden="false" customHeight="true" outlineLevel="0" collapsed="false">
      <c r="A12" s="57" t="s">
        <v>1291</v>
      </c>
      <c r="B12" s="64" t="n">
        <v>0.095</v>
      </c>
      <c r="C12" s="58" t="n">
        <f aca="false">B12/B$22*B$24</f>
        <v>0.149246948844456</v>
      </c>
      <c r="D12" s="57" t="s">
        <v>682</v>
      </c>
      <c r="E12" s="59" t="n">
        <f aca="false">IFERROR(INDEX(Correspondance!$D$2:$D$3000,MATCH(A12,Correspondance!$A$2:$A$3000,0)),0)</f>
        <v>2.5</v>
      </c>
      <c r="F12" s="60" t="n">
        <f aca="false">C12*E12</f>
        <v>0.37311737211114</v>
      </c>
      <c r="G12" s="61"/>
      <c r="I12" s="63"/>
    </row>
    <row r="13" customFormat="false" ht="18.75" hidden="false" customHeight="true" outlineLevel="0" collapsed="false">
      <c r="A13" s="57" t="s">
        <v>1919</v>
      </c>
      <c r="B13" s="64" t="n">
        <v>0.019</v>
      </c>
      <c r="C13" s="58" t="n">
        <f aca="false">B13/B$22*B$24</f>
        <v>0.0298493897688912</v>
      </c>
      <c r="D13" s="57" t="s">
        <v>434</v>
      </c>
      <c r="E13" s="59" t="n">
        <f aca="false">IFERROR(INDEX(Correspondance!$D$2:$D$3000,MATCH(A13,Correspondance!$A$2:$A$3000,0)),0)</f>
        <v>2</v>
      </c>
      <c r="F13" s="60" t="n">
        <f aca="false">C13*E13</f>
        <v>0.0596987795377824</v>
      </c>
      <c r="G13" s="61"/>
      <c r="I13" s="63"/>
    </row>
    <row r="14" customFormat="false" ht="15.75" hidden="false" customHeight="false" outlineLevel="0" collapsed="false">
      <c r="A14" s="57" t="s">
        <v>1814</v>
      </c>
      <c r="B14" s="57"/>
      <c r="C14" s="58" t="n">
        <f aca="false">B14/B$22*B$24</f>
        <v>0</v>
      </c>
      <c r="D14" s="57" t="s">
        <v>434</v>
      </c>
      <c r="E14" s="59" t="n">
        <f aca="false">IFERROR(INDEX(Correspondance!$D$2:$D$3000,MATCH(A14,Correspondance!$A$2:$A$3000,0)),0)</f>
        <v>18</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50.4526954037912</v>
      </c>
      <c r="G19" s="61"/>
      <c r="I19" s="63"/>
    </row>
    <row r="20" customFormat="false" ht="18.75" hidden="false" customHeight="true" outlineLevel="0" collapsed="false">
      <c r="A20" s="68" t="s">
        <v>2628</v>
      </c>
      <c r="B20" s="69" t="n">
        <f aca="false">F19/B24</f>
        <v>0.458660867307193</v>
      </c>
      <c r="C20" s="70"/>
      <c r="G20" s="61"/>
      <c r="I20" s="63"/>
    </row>
    <row r="21" customFormat="false" ht="15.75" hidden="false" customHeight="false" outlineLevel="0" collapsed="false">
      <c r="A21" s="71" t="s">
        <v>2629</v>
      </c>
      <c r="B21" s="71" t="n">
        <f aca="false">SUM(B3:B18)</f>
        <v>7.702</v>
      </c>
      <c r="C21" s="66"/>
      <c r="G21" s="61"/>
      <c r="I21" s="63"/>
    </row>
    <row r="22" customFormat="false" ht="15.75" hidden="false" customHeight="false" outlineLevel="0" collapsed="false">
      <c r="A22" s="0" t="s">
        <v>2630</v>
      </c>
      <c r="B22" s="72" t="n">
        <f aca="false">B21/B23</f>
        <v>70.0181818181818</v>
      </c>
      <c r="C22" s="66"/>
      <c r="G22" s="61"/>
      <c r="I22" s="63"/>
    </row>
    <row r="23" customFormat="false" ht="15.75" hidden="false" customHeight="false" outlineLevel="0" collapsed="false">
      <c r="A23" s="0" t="s">
        <v>2631</v>
      </c>
      <c r="B23" s="0" t="n">
        <v>0.11</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22</v>
      </c>
      <c r="B1" s="50"/>
      <c r="C1" s="50"/>
      <c r="D1" s="50"/>
      <c r="E1" s="51" t="s">
        <v>2619</v>
      </c>
      <c r="F1" s="51"/>
      <c r="G1" s="52" t="s">
        <v>2649</v>
      </c>
    </row>
    <row r="2" customFormat="false" ht="24.75" hidden="false" customHeight="true" outlineLevel="0" collapsed="false">
      <c r="A2" s="50"/>
      <c r="B2" s="50"/>
      <c r="C2" s="50"/>
      <c r="D2" s="50"/>
      <c r="E2" s="53" t="s">
        <v>2621</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1173</v>
      </c>
      <c r="B4" s="57" t="n">
        <v>2.17</v>
      </c>
      <c r="C4" s="58" t="n">
        <f aca="false">B4/B$22*B$24</f>
        <v>3.4055403638093</v>
      </c>
      <c r="D4" s="57" t="s">
        <v>434</v>
      </c>
      <c r="E4" s="59" t="n">
        <f aca="false">IFERROR(INDEX(Correspondance!$D$2:$D$3000,MATCH(A4,Correspondance!$A$2:$A$3000,0)),0)</f>
        <v>1.9</v>
      </c>
      <c r="F4" s="60" t="n">
        <f aca="false">C4*E4</f>
        <v>6.47052669123766</v>
      </c>
      <c r="G4" s="61" t="s">
        <v>2650</v>
      </c>
    </row>
    <row r="5" customFormat="false" ht="15.75" hidden="false" customHeight="false" outlineLevel="0" collapsed="false">
      <c r="A5" s="57" t="s">
        <v>1959</v>
      </c>
      <c r="B5" s="57" t="n">
        <v>1.63</v>
      </c>
      <c r="C5" s="58" t="n">
        <f aca="false">B5/B$22*B$24</f>
        <v>2.55807870645583</v>
      </c>
      <c r="D5" s="57" t="s">
        <v>434</v>
      </c>
      <c r="E5" s="59" t="n">
        <f aca="false">IFERROR(INDEX(Correspondance!$D$2:$D$3000,MATCH(A5,Correspondance!$A$2:$A$3000,0)),0)</f>
        <v>1.5</v>
      </c>
      <c r="F5" s="60" t="n">
        <f aca="false">C5*E5</f>
        <v>3.83711805968375</v>
      </c>
      <c r="G5" s="61"/>
      <c r="I5" s="62"/>
    </row>
    <row r="6" customFormat="false" ht="15.75" hidden="false" customHeight="false" outlineLevel="0" collapsed="false">
      <c r="A6" s="57" t="s">
        <v>1713</v>
      </c>
      <c r="B6" s="57" t="n">
        <v>1.09</v>
      </c>
      <c r="C6" s="58" t="n">
        <f aca="false">B6/B$22*B$24</f>
        <v>1.71061704910237</v>
      </c>
      <c r="D6" s="57" t="s">
        <v>434</v>
      </c>
      <c r="E6" s="59" t="n">
        <f aca="false">IFERROR(INDEX(Correspondance!$D$2:$D$3000,MATCH(A6,Correspondance!$A$2:$A$3000,0)),0)</f>
        <v>2.2</v>
      </c>
      <c r="F6" s="60" t="n">
        <f aca="false">C6*E6</f>
        <v>3.76335750802521</v>
      </c>
      <c r="G6" s="61"/>
      <c r="I6" s="63"/>
    </row>
    <row r="7" customFormat="false" ht="15.75" hidden="false" customHeight="false" outlineLevel="0" collapsed="false">
      <c r="A7" s="57" t="s">
        <v>1944</v>
      </c>
      <c r="B7" s="57" t="n">
        <v>1.09</v>
      </c>
      <c r="C7" s="58" t="n">
        <f aca="false">B7/B$22*B$24</f>
        <v>1.71061704910237</v>
      </c>
      <c r="D7" s="57" t="s">
        <v>434</v>
      </c>
      <c r="E7" s="59" t="n">
        <f aca="false">IFERROR(INDEX(Correspondance!$D$2:$D$3000,MATCH(A7,Correspondance!$A$2:$A$3000,0)),0)</f>
        <v>9.5</v>
      </c>
      <c r="F7" s="60" t="n">
        <f aca="false">C7*E7</f>
        <v>16.2508619664725</v>
      </c>
      <c r="G7" s="61"/>
      <c r="I7" s="63"/>
    </row>
    <row r="8" customFormat="false" ht="15.75" hidden="false" customHeight="false" outlineLevel="0" collapsed="false">
      <c r="A8" s="57" t="s">
        <v>741</v>
      </c>
      <c r="B8" s="57" t="n">
        <v>0.868</v>
      </c>
      <c r="C8" s="58" t="n">
        <f aca="false">B8/B$22*B$24</f>
        <v>1.36221614552372</v>
      </c>
      <c r="D8" s="57" t="s">
        <v>434</v>
      </c>
      <c r="E8" s="59" t="n">
        <f aca="false">IFERROR(INDEX(Correspondance!$D$2:$D$3000,MATCH(A8,Correspondance!$A$2:$A$3000,0)),0)</f>
        <v>5.6</v>
      </c>
      <c r="F8" s="60" t="n">
        <f aca="false">C8*E8</f>
        <v>7.62841041493283</v>
      </c>
      <c r="G8" s="61"/>
      <c r="I8" s="63"/>
    </row>
    <row r="9" customFormat="false" ht="15.75" hidden="false" customHeight="false" outlineLevel="0" collapsed="false">
      <c r="A9" s="57" t="s">
        <v>1022</v>
      </c>
      <c r="B9" s="57" t="n">
        <v>0.543</v>
      </c>
      <c r="C9" s="58" t="n">
        <f aca="false">B9/B$22*B$24</f>
        <v>0.852169777672096</v>
      </c>
      <c r="D9" s="57" t="s">
        <v>434</v>
      </c>
      <c r="E9" s="59" t="n">
        <f aca="false">IFERROR(INDEX(Correspondance!$D$2:$D$3000,MATCH(A9,Correspondance!$A$2:$A$3000,0)),0)</f>
        <v>3</v>
      </c>
      <c r="F9" s="60" t="n">
        <f aca="false">C9*E9</f>
        <v>2.55650933301629</v>
      </c>
      <c r="G9" s="61"/>
      <c r="I9" s="63"/>
    </row>
    <row r="10" customFormat="false" ht="15.75" hidden="false" customHeight="false" outlineLevel="0" collapsed="false">
      <c r="A10" s="57" t="s">
        <v>1227</v>
      </c>
      <c r="B10" s="57" t="n">
        <v>0.217</v>
      </c>
      <c r="C10" s="58" t="n">
        <f aca="false">B10/B$22*B$24</f>
        <v>0.34055403638093</v>
      </c>
      <c r="D10" s="57" t="s">
        <v>434</v>
      </c>
      <c r="E10" s="59" t="n">
        <f aca="false">IFERROR(INDEX(Correspondance!$D$2:$D$3000,MATCH(A10,Correspondance!$A$2:$A$3000,0)),0)</f>
        <v>5.5</v>
      </c>
      <c r="F10" s="60" t="n">
        <f aca="false">C10*E10</f>
        <v>1.87304720009511</v>
      </c>
      <c r="G10" s="61"/>
      <c r="I10" s="63"/>
    </row>
    <row r="11" customFormat="false" ht="15.75" hidden="false" customHeight="false" outlineLevel="0" collapsed="false">
      <c r="A11" s="57" t="s">
        <v>1131</v>
      </c>
      <c r="B11" s="57" t="n">
        <v>0.543</v>
      </c>
      <c r="C11" s="58" t="n">
        <f aca="false">B11/B$22*B$24</f>
        <v>0.852169777672096</v>
      </c>
      <c r="D11" s="57" t="s">
        <v>682</v>
      </c>
      <c r="E11" s="59" t="n">
        <f aca="false">IFERROR(INDEX(Correspondance!$D$2:$D$3000,MATCH(A11,Correspondance!$A$2:$A$3000,0)),0)</f>
        <v>2.2</v>
      </c>
      <c r="F11" s="60" t="n">
        <f aca="false">C11*E11</f>
        <v>1.87477351087861</v>
      </c>
      <c r="G11" s="61"/>
      <c r="I11" s="63"/>
    </row>
    <row r="12" customFormat="false" ht="18.75" hidden="false" customHeight="true" outlineLevel="0" collapsed="false">
      <c r="A12" s="57" t="s">
        <v>1982</v>
      </c>
      <c r="B12" s="64" t="n">
        <v>0.163</v>
      </c>
      <c r="C12" s="58" t="n">
        <f aca="false">B12/B$22*B$24</f>
        <v>0.255807870645583</v>
      </c>
      <c r="D12" s="57" t="s">
        <v>682</v>
      </c>
      <c r="E12" s="59" t="n">
        <f aca="false">IFERROR(INDEX(Correspondance!$D$2:$D$3000,MATCH(A12,Correspondance!$A$2:$A$3000,0)),0)</f>
        <v>1.5</v>
      </c>
      <c r="F12" s="60" t="n">
        <f aca="false">C12*E12</f>
        <v>0.383711805968375</v>
      </c>
      <c r="G12" s="61"/>
      <c r="I12" s="63"/>
    </row>
    <row r="13" customFormat="false" ht="18.75" hidden="false" customHeight="true" outlineLevel="0" collapsed="false">
      <c r="A13" s="57" t="s">
        <v>1725</v>
      </c>
      <c r="B13" s="64" t="n">
        <v>0.054</v>
      </c>
      <c r="C13" s="58" t="n">
        <f aca="false">B13/B$22*B$24</f>
        <v>0.0847461657353466</v>
      </c>
      <c r="D13" s="57" t="s">
        <v>434</v>
      </c>
      <c r="E13" s="59" t="n">
        <f aca="false">IFERROR(INDEX(Correspondance!$D$2:$D$3000,MATCH(A13,Correspondance!$A$2:$A$3000,0)),0)</f>
        <v>9</v>
      </c>
      <c r="F13" s="60" t="n">
        <f aca="false">C13*E13</f>
        <v>0.762715491618119</v>
      </c>
      <c r="G13" s="61"/>
      <c r="I13" s="63"/>
    </row>
    <row r="14" customFormat="false" ht="15.75" hidden="false" customHeight="false" outlineLevel="0" collapsed="false">
      <c r="A14" s="57" t="s">
        <v>1919</v>
      </c>
      <c r="B14" s="57" t="n">
        <v>0.043</v>
      </c>
      <c r="C14" s="58" t="n">
        <f aca="false">B14/B$22*B$24</f>
        <v>0.0674830579003686</v>
      </c>
      <c r="D14" s="57" t="s">
        <v>434</v>
      </c>
      <c r="E14" s="59" t="n">
        <f aca="false">IFERROR(INDEX(Correspondance!$D$2:$D$3000,MATCH(A14,Correspondance!$A$2:$A$3000,0)),0)</f>
        <v>2</v>
      </c>
      <c r="F14" s="60" t="n">
        <f aca="false">C14*E14</f>
        <v>0.134966115800737</v>
      </c>
      <c r="G14" s="61"/>
      <c r="I14" s="63"/>
    </row>
    <row r="15" customFormat="false" ht="15.75" hidden="false" customHeight="false" outlineLevel="0" collapsed="false">
      <c r="A15" s="57" t="s">
        <v>1814</v>
      </c>
      <c r="B15" s="57"/>
      <c r="C15" s="58" t="n">
        <f aca="false">B15/B$22*B$24</f>
        <v>0</v>
      </c>
      <c r="D15" s="57" t="s">
        <v>434</v>
      </c>
      <c r="E15" s="59" t="n">
        <f aca="false">IFERROR(INDEX(Correspondance!$D$2:$D$3000,MATCH(A15,Correspondance!$A$2:$A$3000,0)),0)</f>
        <v>18</v>
      </c>
      <c r="F15" s="60" t="n">
        <f aca="false">C15*E15</f>
        <v>0</v>
      </c>
      <c r="G15" s="61"/>
      <c r="I15" s="63"/>
    </row>
    <row r="16" customFormat="false" ht="15.75" hidden="false" customHeight="false" outlineLevel="0" collapsed="false">
      <c r="A16" s="57" t="s">
        <v>1539</v>
      </c>
      <c r="B16" s="57"/>
      <c r="C16" s="58" t="n">
        <f aca="false">B16/B$22*B$24</f>
        <v>0</v>
      </c>
      <c r="D16" s="57" t="s">
        <v>434</v>
      </c>
      <c r="E16" s="59" t="n">
        <f aca="false">IFERROR(INDEX(Correspondance!$D$2:$D$3000,MATCH(A16,Correspondance!$A$2:$A$3000,0)),0)</f>
        <v>13</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45.5359980977292</v>
      </c>
      <c r="G19" s="61"/>
      <c r="I19" s="63"/>
    </row>
    <row r="20" customFormat="false" ht="18.75" hidden="false" customHeight="true" outlineLevel="0" collapsed="false">
      <c r="A20" s="68" t="s">
        <v>2628</v>
      </c>
      <c r="B20" s="69" t="n">
        <f aca="false">F19/B24</f>
        <v>0.413963619070265</v>
      </c>
      <c r="C20" s="70"/>
      <c r="G20" s="61"/>
      <c r="I20" s="63"/>
    </row>
    <row r="21" customFormat="false" ht="15.75" hidden="false" customHeight="false" outlineLevel="0" collapsed="false">
      <c r="A21" s="71" t="s">
        <v>2629</v>
      </c>
      <c r="B21" s="71" t="n">
        <f aca="false">SUM(B3:B18)</f>
        <v>8.411</v>
      </c>
      <c r="C21" s="66"/>
      <c r="G21" s="61"/>
      <c r="I21" s="63"/>
    </row>
    <row r="22" customFormat="false" ht="15.75" hidden="false" customHeight="false" outlineLevel="0" collapsed="false">
      <c r="A22" s="0" t="s">
        <v>2630</v>
      </c>
      <c r="B22" s="72" t="n">
        <f aca="false">B21/B23</f>
        <v>70.0916666666667</v>
      </c>
      <c r="C22" s="66"/>
      <c r="G22" s="61"/>
      <c r="I22" s="63"/>
    </row>
    <row r="23" customFormat="false" ht="15.75" hidden="false" customHeight="false" outlineLevel="0" collapsed="false">
      <c r="A23" s="0" t="s">
        <v>2631</v>
      </c>
      <c r="B23" s="0" t="n">
        <v>0.12</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25</v>
      </c>
      <c r="B1" s="50"/>
      <c r="C1" s="50"/>
      <c r="D1" s="50"/>
      <c r="E1" s="51" t="s">
        <v>2619</v>
      </c>
      <c r="F1" s="51"/>
      <c r="G1" s="52" t="s">
        <v>2651</v>
      </c>
    </row>
    <row r="2" customFormat="false" ht="24.75" hidden="false" customHeight="true" outlineLevel="0" collapsed="false">
      <c r="A2" s="50"/>
      <c r="B2" s="50"/>
      <c r="C2" s="50"/>
      <c r="D2" s="50"/>
      <c r="E2" s="53" t="s">
        <v>2636</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773</v>
      </c>
      <c r="B4" s="57" t="n">
        <v>6.02</v>
      </c>
      <c r="C4" s="58" t="n">
        <f aca="false">B4/B$22*B$24</f>
        <v>9.45729791488146</v>
      </c>
      <c r="D4" s="57" t="s">
        <v>434</v>
      </c>
      <c r="E4" s="59" t="n">
        <f aca="false">IFERROR(INDEX(Correspondance!$D$2:$D$3000,MATCH(A4,Correspondance!$A$2:$A$3000,0)),0)</f>
        <v>1.4</v>
      </c>
      <c r="F4" s="60" t="n">
        <f aca="false">C4*E4</f>
        <v>13.240217080834</v>
      </c>
      <c r="G4" s="61" t="s">
        <v>2652</v>
      </c>
    </row>
    <row r="5" customFormat="false" ht="15.75" hidden="false" customHeight="false" outlineLevel="0" collapsed="false">
      <c r="A5" s="57" t="s">
        <v>1131</v>
      </c>
      <c r="B5" s="57" t="n">
        <v>0.501</v>
      </c>
      <c r="C5" s="58" t="n">
        <f aca="false">B5/B$22*B$24</f>
        <v>0.787060839760069</v>
      </c>
      <c r="D5" s="57" t="s">
        <v>682</v>
      </c>
      <c r="E5" s="59" t="n">
        <f aca="false">IFERROR(INDEX(Correspondance!$D$2:$D$3000,MATCH(A5,Correspondance!$A$2:$A$3000,0)),0)</f>
        <v>2.2</v>
      </c>
      <c r="F5" s="60" t="n">
        <f aca="false">C5*E5</f>
        <v>1.73153384747215</v>
      </c>
      <c r="G5" s="61"/>
      <c r="I5" s="62"/>
    </row>
    <row r="6" customFormat="false" ht="15.75" hidden="false" customHeight="false" outlineLevel="0" collapsed="false">
      <c r="A6" s="57" t="s">
        <v>1982</v>
      </c>
      <c r="B6" s="57" t="n">
        <v>0.201</v>
      </c>
      <c r="C6" s="58" t="n">
        <f aca="false">B6/B$22*B$24</f>
        <v>0.315766923736075</v>
      </c>
      <c r="D6" s="57" t="s">
        <v>682</v>
      </c>
      <c r="E6" s="59" t="n">
        <f aca="false">IFERROR(INDEX(Correspondance!$D$2:$D$3000,MATCH(A6,Correspondance!$A$2:$A$3000,0)),0)</f>
        <v>1.5</v>
      </c>
      <c r="F6" s="60" t="n">
        <f aca="false">C6*E6</f>
        <v>0.473650385604113</v>
      </c>
      <c r="G6" s="61"/>
      <c r="I6" s="63"/>
    </row>
    <row r="7" customFormat="false" ht="15.75" hidden="false" customHeight="false" outlineLevel="0" collapsed="false">
      <c r="A7" s="57" t="s">
        <v>1725</v>
      </c>
      <c r="B7" s="57" t="n">
        <v>0.08</v>
      </c>
      <c r="C7" s="58" t="n">
        <f aca="false">B7/B$22*B$24</f>
        <v>0.125678377606398</v>
      </c>
      <c r="D7" s="57" t="s">
        <v>434</v>
      </c>
      <c r="E7" s="59" t="n">
        <f aca="false">IFERROR(INDEX(Correspondance!$D$2:$D$3000,MATCH(A7,Correspondance!$A$2:$A$3000,0)),0)</f>
        <v>9</v>
      </c>
      <c r="F7" s="60" t="n">
        <f aca="false">C7*E7</f>
        <v>1.13110539845758</v>
      </c>
      <c r="G7" s="61"/>
      <c r="I7" s="63"/>
    </row>
    <row r="8" customFormat="false" ht="15.75" hidden="false" customHeight="false" outlineLevel="0" collapsed="false">
      <c r="A8" s="57" t="s">
        <v>947</v>
      </c>
      <c r="B8" s="57" t="n">
        <v>0.15</v>
      </c>
      <c r="C8" s="58" t="n">
        <f aca="false">B8/B$22*B$24</f>
        <v>0.235646958011997</v>
      </c>
      <c r="D8" s="57" t="s">
        <v>434</v>
      </c>
      <c r="E8" s="59" t="n">
        <f aca="false">IFERROR(INDEX(Correspondance!$D$2:$D$3000,MATCH(A8,Correspondance!$A$2:$A$3000,0)),0)</f>
        <v>4.5</v>
      </c>
      <c r="F8" s="60" t="n">
        <f aca="false">C8*E8</f>
        <v>1.06041131105398</v>
      </c>
      <c r="G8" s="61"/>
      <c r="I8" s="63"/>
    </row>
    <row r="9" customFormat="false" ht="15.75" hidden="false" customHeight="false" outlineLevel="0" collapsed="false">
      <c r="A9" s="57" t="s">
        <v>1919</v>
      </c>
      <c r="B9" s="57" t="n">
        <v>0.05</v>
      </c>
      <c r="C9" s="58" t="n">
        <f aca="false">B9/B$22*B$24</f>
        <v>0.0785489860039989</v>
      </c>
      <c r="D9" s="57" t="s">
        <v>434</v>
      </c>
      <c r="E9" s="59" t="n">
        <f aca="false">IFERROR(INDEX(Correspondance!$D$2:$D$3000,MATCH(A9,Correspondance!$A$2:$A$3000,0)),0)</f>
        <v>2</v>
      </c>
      <c r="F9" s="60" t="n">
        <f aca="false">C9*E9</f>
        <v>0.157097972007998</v>
      </c>
      <c r="G9" s="61"/>
      <c r="I9" s="63"/>
    </row>
    <row r="10" customFormat="false" ht="15.75" hidden="false" customHeight="false" outlineLevel="0" collapsed="false">
      <c r="A10" s="57" t="s">
        <v>1814</v>
      </c>
      <c r="B10" s="57"/>
      <c r="C10" s="58" t="n">
        <f aca="false">B10/B$22*B$24</f>
        <v>0</v>
      </c>
      <c r="D10" s="57" t="s">
        <v>434</v>
      </c>
      <c r="E10" s="59" t="n">
        <f aca="false">IFERROR(INDEX(Correspondance!$D$2:$D$3000,MATCH(A10,Correspondance!$A$2:$A$3000,0)),0)</f>
        <v>18</v>
      </c>
      <c r="F10" s="60" t="n">
        <f aca="false">C10*E10</f>
        <v>0</v>
      </c>
      <c r="G10" s="61"/>
      <c r="I10" s="63"/>
    </row>
    <row r="11" customFormat="false" ht="15.75" hidden="false" customHeight="false" outlineLevel="0" collapsed="false">
      <c r="A11" s="57" t="s">
        <v>1776</v>
      </c>
      <c r="B11" s="57"/>
      <c r="C11" s="58" t="n">
        <f aca="false">B11/B$22*B$24</f>
        <v>0</v>
      </c>
      <c r="D11" s="57" t="s">
        <v>434</v>
      </c>
      <c r="E11" s="59" t="n">
        <f aca="false">IFERROR(INDEX(Correspondance!$D$2:$D$3000,MATCH(A11,Correspondance!$A$2:$A$3000,0)),0)</f>
        <v>8</v>
      </c>
      <c r="F11" s="60" t="n">
        <f aca="false">C11*E11</f>
        <v>0</v>
      </c>
      <c r="G11" s="61"/>
      <c r="I11" s="63"/>
    </row>
    <row r="12" customFormat="false" ht="18.75" hidden="false" customHeight="true" outlineLevel="0" collapsed="false">
      <c r="A12" s="57"/>
      <c r="B12" s="64"/>
      <c r="C12" s="58" t="n">
        <f aca="false">B12/B$22*B$24</f>
        <v>0</v>
      </c>
      <c r="D12" s="57"/>
      <c r="E12" s="65" t="n">
        <f aca="false">IFERROR(INDEX(Correspondance!$D$2:$D$3000,MATCH(A12,Correspondance!$A$2:$A$3000,0)),0)</f>
        <v>0</v>
      </c>
      <c r="F12" s="60" t="n">
        <f aca="false">C12*E12</f>
        <v>0</v>
      </c>
      <c r="G12" s="61"/>
      <c r="I12" s="63"/>
    </row>
    <row r="13" customFormat="false" ht="18.75" hidden="false" customHeight="true" outlineLevel="0" collapsed="false">
      <c r="A13" s="57"/>
      <c r="B13" s="64"/>
      <c r="C13" s="58" t="n">
        <f aca="false">B13/B$22*B$24</f>
        <v>0</v>
      </c>
      <c r="D13" s="57"/>
      <c r="E13" s="65" t="n">
        <f aca="false">IFERROR(INDEX(Correspondance!$D$2:$D$3000,MATCH(A13,Correspondance!$A$2:$A$3000,0)),0)</f>
        <v>0</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17.7940159954299</v>
      </c>
      <c r="G19" s="61"/>
      <c r="I19" s="63"/>
    </row>
    <row r="20" customFormat="false" ht="18.75" hidden="false" customHeight="true" outlineLevel="0" collapsed="false">
      <c r="A20" s="68" t="s">
        <v>2628</v>
      </c>
      <c r="B20" s="69" t="n">
        <f aca="false">F19/B24</f>
        <v>0.161763781776635</v>
      </c>
      <c r="C20" s="70"/>
      <c r="G20" s="61"/>
      <c r="I20" s="63"/>
    </row>
    <row r="21" customFormat="false" ht="15.75" hidden="false" customHeight="false" outlineLevel="0" collapsed="false">
      <c r="A21" s="71" t="s">
        <v>2629</v>
      </c>
      <c r="B21" s="71" t="n">
        <f aca="false">SUM(B3:B18)</f>
        <v>7.002</v>
      </c>
      <c r="C21" s="66"/>
      <c r="G21" s="61"/>
      <c r="I21" s="63"/>
    </row>
    <row r="22" customFormat="false" ht="15.75" hidden="false" customHeight="false" outlineLevel="0" collapsed="false">
      <c r="A22" s="0" t="s">
        <v>2630</v>
      </c>
      <c r="B22" s="72" t="n">
        <f aca="false">B21/B23</f>
        <v>70.02</v>
      </c>
      <c r="C22" s="66"/>
      <c r="G22" s="61"/>
      <c r="I22" s="63"/>
    </row>
    <row r="23" customFormat="false" ht="15.75" hidden="false" customHeight="false" outlineLevel="0" collapsed="false">
      <c r="A23" s="0" t="s">
        <v>2631</v>
      </c>
      <c r="B23" s="0" t="n">
        <v>0.1</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27</v>
      </c>
      <c r="B1" s="50"/>
      <c r="C1" s="50"/>
      <c r="D1" s="50"/>
      <c r="E1" s="51" t="s">
        <v>2619</v>
      </c>
      <c r="F1" s="51"/>
      <c r="G1" s="52" t="s">
        <v>2653</v>
      </c>
    </row>
    <row r="2" customFormat="false" ht="24.75" hidden="false" customHeight="true" outlineLevel="0" collapsed="false">
      <c r="A2" s="50"/>
      <c r="B2" s="50"/>
      <c r="C2" s="50"/>
      <c r="D2" s="50"/>
      <c r="E2" s="53" t="s">
        <v>2636</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773</v>
      </c>
      <c r="B4" s="57" t="n">
        <v>4.13</v>
      </c>
      <c r="C4" s="58" t="n">
        <f aca="false">B4/B$22*B$24</f>
        <v>6.4937106918239</v>
      </c>
      <c r="D4" s="57" t="s">
        <v>434</v>
      </c>
      <c r="E4" s="59" t="n">
        <f aca="false">IFERROR(INDEX(Correspondance!$D$2:$D$3000,MATCH(A4,Correspondance!$A$2:$A$3000,0)),0)</f>
        <v>1.4</v>
      </c>
      <c r="F4" s="60" t="n">
        <f aca="false">C4*E4</f>
        <v>9.09119496855346</v>
      </c>
      <c r="G4" s="61" t="s">
        <v>2654</v>
      </c>
    </row>
    <row r="5" customFormat="false" ht="15.75" hidden="false" customHeight="false" outlineLevel="0" collapsed="false">
      <c r="A5" s="57" t="s">
        <v>1713</v>
      </c>
      <c r="B5" s="57" t="n">
        <v>1.83</v>
      </c>
      <c r="C5" s="58" t="n">
        <f aca="false">B5/B$22*B$24</f>
        <v>2.87735849056604</v>
      </c>
      <c r="D5" s="57" t="s">
        <v>434</v>
      </c>
      <c r="E5" s="59" t="n">
        <f aca="false">IFERROR(INDEX(Correspondance!$D$2:$D$3000,MATCH(A5,Correspondance!$A$2:$A$3000,0)),0)</f>
        <v>2.2</v>
      </c>
      <c r="F5" s="60" t="n">
        <f aca="false">C5*E5</f>
        <v>6.33018867924529</v>
      </c>
      <c r="G5" s="61"/>
      <c r="I5" s="62"/>
    </row>
    <row r="6" customFormat="false" ht="15.75" hidden="false" customHeight="false" outlineLevel="0" collapsed="false">
      <c r="A6" s="57" t="s">
        <v>1747</v>
      </c>
      <c r="B6" s="57" t="n">
        <v>0.275</v>
      </c>
      <c r="C6" s="58" t="n">
        <f aca="false">B6/B$22*B$24</f>
        <v>0.432389937106918</v>
      </c>
      <c r="D6" s="57" t="s">
        <v>434</v>
      </c>
      <c r="E6" s="59" t="n">
        <f aca="false">IFERROR(INDEX(Correspondance!$D$2:$D$3000,MATCH(A6,Correspondance!$A$2:$A$3000,0)),0)</f>
        <v>1.8</v>
      </c>
      <c r="F6" s="60" t="n">
        <f aca="false">C6*E6</f>
        <v>0.778301886792453</v>
      </c>
      <c r="G6" s="61"/>
      <c r="I6" s="63"/>
    </row>
    <row r="7" customFormat="false" ht="15.75" hidden="false" customHeight="false" outlineLevel="0" collapsed="false">
      <c r="A7" s="57" t="s">
        <v>1131</v>
      </c>
      <c r="B7" s="57" t="n">
        <v>0.459</v>
      </c>
      <c r="C7" s="58" t="n">
        <f aca="false">B7/B$22*B$24</f>
        <v>0.721698113207547</v>
      </c>
      <c r="D7" s="57" t="s">
        <v>682</v>
      </c>
      <c r="E7" s="59" t="n">
        <f aca="false">IFERROR(INDEX(Correspondance!$D$2:$D$3000,MATCH(A7,Correspondance!$A$2:$A$3000,0)),0)</f>
        <v>2.2</v>
      </c>
      <c r="F7" s="60" t="n">
        <f aca="false">C7*E7</f>
        <v>1.5877358490566</v>
      </c>
      <c r="G7" s="61"/>
      <c r="I7" s="63"/>
    </row>
    <row r="8" customFormat="false" ht="15.75" hidden="false" customHeight="false" outlineLevel="0" collapsed="false">
      <c r="A8" s="57" t="s">
        <v>1340</v>
      </c>
      <c r="B8" s="57" t="n">
        <v>0.183</v>
      </c>
      <c r="C8" s="58" t="n">
        <f aca="false">B8/B$22*B$24</f>
        <v>0.287735849056604</v>
      </c>
      <c r="D8" s="57" t="s">
        <v>682</v>
      </c>
      <c r="E8" s="59" t="n">
        <f aca="false">IFERROR(INDEX(Correspondance!$D$2:$D$3000,MATCH(A8,Correspondance!$A$2:$A$3000,0)),0)</f>
        <v>1.8</v>
      </c>
      <c r="F8" s="60" t="n">
        <f aca="false">C8*E8</f>
        <v>0.517924528301887</v>
      </c>
      <c r="G8" s="61"/>
      <c r="I8" s="63"/>
    </row>
    <row r="9" customFormat="false" ht="15.75" hidden="false" customHeight="false" outlineLevel="0" collapsed="false">
      <c r="A9" s="57" t="s">
        <v>1725</v>
      </c>
      <c r="B9" s="57" t="n">
        <v>0.073</v>
      </c>
      <c r="C9" s="58" t="n">
        <f aca="false">B9/B$22*B$24</f>
        <v>0.114779874213837</v>
      </c>
      <c r="D9" s="57" t="s">
        <v>434</v>
      </c>
      <c r="E9" s="59" t="n">
        <f aca="false">IFERROR(INDEX(Correspondance!$D$2:$D$3000,MATCH(A9,Correspondance!$A$2:$A$3000,0)),0)</f>
        <v>9</v>
      </c>
      <c r="F9" s="60" t="n">
        <f aca="false">C9*E9</f>
        <v>1.03301886792453</v>
      </c>
      <c r="G9" s="61"/>
      <c r="I9" s="63"/>
    </row>
    <row r="10" customFormat="false" ht="15.75" hidden="false" customHeight="false" outlineLevel="0" collapsed="false">
      <c r="A10" s="57" t="s">
        <v>1919</v>
      </c>
      <c r="B10" s="57" t="n">
        <v>0.046</v>
      </c>
      <c r="C10" s="58" t="n">
        <f aca="false">B10/B$22*B$24</f>
        <v>0.0723270440251572</v>
      </c>
      <c r="D10" s="57" t="s">
        <v>434</v>
      </c>
      <c r="E10" s="59" t="n">
        <f aca="false">IFERROR(INDEX(Correspondance!$D$2:$D$3000,MATCH(A10,Correspondance!$A$2:$A$3000,0)),0)</f>
        <v>2</v>
      </c>
      <c r="F10" s="60" t="n">
        <f aca="false">C10*E10</f>
        <v>0.144654088050314</v>
      </c>
      <c r="G10" s="61"/>
      <c r="I10" s="63"/>
    </row>
    <row r="11" customFormat="false" ht="15.75" hidden="false" customHeight="false" outlineLevel="0" collapsed="false">
      <c r="A11" s="57" t="s">
        <v>1814</v>
      </c>
      <c r="B11" s="57"/>
      <c r="C11" s="58" t="n">
        <f aca="false">B11/B$22*B$24</f>
        <v>0</v>
      </c>
      <c r="D11" s="57" t="s">
        <v>434</v>
      </c>
      <c r="E11" s="59" t="n">
        <f aca="false">IFERROR(INDEX(Correspondance!$D$2:$D$3000,MATCH(A11,Correspondance!$A$2:$A$3000,0)),0)</f>
        <v>18</v>
      </c>
      <c r="F11" s="60" t="n">
        <f aca="false">C11*E11</f>
        <v>0</v>
      </c>
      <c r="G11" s="61"/>
      <c r="I11" s="63"/>
    </row>
    <row r="12" customFormat="false" ht="18.75" hidden="false" customHeight="true" outlineLevel="0" collapsed="false">
      <c r="A12" s="57" t="s">
        <v>1539</v>
      </c>
      <c r="B12" s="64"/>
      <c r="C12" s="58" t="n">
        <f aca="false">B12/B$22*B$24</f>
        <v>0</v>
      </c>
      <c r="D12" s="57" t="s">
        <v>434</v>
      </c>
      <c r="E12" s="59" t="n">
        <f aca="false">IFERROR(INDEX(Correspondance!$D$2:$D$3000,MATCH(A12,Correspondance!$A$2:$A$3000,0)),0)</f>
        <v>13</v>
      </c>
      <c r="F12" s="60" t="n">
        <f aca="false">C12*E12</f>
        <v>0</v>
      </c>
      <c r="G12" s="61"/>
      <c r="I12" s="63"/>
    </row>
    <row r="13" customFormat="false" ht="18.75" hidden="false" customHeight="true" outlineLevel="0" collapsed="false">
      <c r="A13" s="57"/>
      <c r="B13" s="64"/>
      <c r="C13" s="58" t="n">
        <f aca="false">B13/B$22*B$24</f>
        <v>0</v>
      </c>
      <c r="D13" s="57"/>
      <c r="E13" s="65" t="n">
        <f aca="false">IFERROR(INDEX(Correspondance!$D$2:$D$3000,MATCH(A13,Correspondance!$A$2:$A$3000,0)),0)</f>
        <v>0</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19.4830188679245</v>
      </c>
      <c r="G19" s="61"/>
      <c r="I19" s="63"/>
    </row>
    <row r="20" customFormat="false" ht="18.75" hidden="false" customHeight="true" outlineLevel="0" collapsed="false">
      <c r="A20" s="68" t="s">
        <v>2628</v>
      </c>
      <c r="B20" s="69" t="n">
        <f aca="false">F19/B24</f>
        <v>0.177118353344768</v>
      </c>
      <c r="C20" s="70"/>
      <c r="G20" s="61"/>
      <c r="I20" s="63"/>
    </row>
    <row r="21" customFormat="false" ht="15.75" hidden="false" customHeight="false" outlineLevel="0" collapsed="false">
      <c r="A21" s="71" t="s">
        <v>2629</v>
      </c>
      <c r="B21" s="71" t="n">
        <f aca="false">SUM(B3:B18)</f>
        <v>6.996</v>
      </c>
      <c r="C21" s="66"/>
      <c r="G21" s="61"/>
      <c r="I21" s="63"/>
    </row>
    <row r="22" customFormat="false" ht="15.75" hidden="false" customHeight="false" outlineLevel="0" collapsed="false">
      <c r="A22" s="0" t="s">
        <v>2630</v>
      </c>
      <c r="B22" s="72" t="n">
        <f aca="false">B21/B23</f>
        <v>69.96</v>
      </c>
      <c r="C22" s="66"/>
      <c r="G22" s="61"/>
      <c r="I22" s="63"/>
    </row>
    <row r="23" customFormat="false" ht="15.75" hidden="false" customHeight="false" outlineLevel="0" collapsed="false">
      <c r="A23" s="0" t="s">
        <v>2631</v>
      </c>
      <c r="B23" s="0" t="n">
        <v>0.1</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28</v>
      </c>
      <c r="B1" s="50"/>
      <c r="C1" s="50"/>
      <c r="D1" s="50"/>
      <c r="E1" s="51" t="s">
        <v>2619</v>
      </c>
      <c r="F1" s="51"/>
      <c r="G1" s="52" t="s">
        <v>2645</v>
      </c>
    </row>
    <row r="2" customFormat="false" ht="24.75" hidden="false" customHeight="true" outlineLevel="0" collapsed="false">
      <c r="A2" s="50"/>
      <c r="B2" s="50"/>
      <c r="C2" s="50"/>
      <c r="D2" s="50"/>
      <c r="E2" s="53" t="s">
        <v>2621</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1659</v>
      </c>
      <c r="B4" s="57" t="n">
        <v>2.31</v>
      </c>
      <c r="C4" s="58" t="n">
        <f aca="false">B4/B$22*B$24</f>
        <v>3.62844495216336</v>
      </c>
      <c r="D4" s="57" t="s">
        <v>434</v>
      </c>
      <c r="E4" s="59" t="n">
        <f aca="false">IFERROR(INDEX(Correspondance!$D$2:$D$3000,MATCH(A4,Correspondance!$A$2:$A$3000,0)),0)</f>
        <v>2</v>
      </c>
      <c r="F4" s="60" t="n">
        <f aca="false">C4*E4</f>
        <v>7.25688990432672</v>
      </c>
      <c r="G4" s="61" t="s">
        <v>2655</v>
      </c>
    </row>
    <row r="5" customFormat="false" ht="15.75" hidden="false" customHeight="false" outlineLevel="0" collapsed="false">
      <c r="A5" s="57" t="s">
        <v>1713</v>
      </c>
      <c r="B5" s="57" t="n">
        <v>1.85</v>
      </c>
      <c r="C5" s="58" t="n">
        <f aca="false">B5/B$22*B$24</f>
        <v>2.90589747251178</v>
      </c>
      <c r="D5" s="57" t="s">
        <v>434</v>
      </c>
      <c r="E5" s="59" t="n">
        <f aca="false">IFERROR(INDEX(Correspondance!$D$2:$D$3000,MATCH(A5,Correspondance!$A$2:$A$3000,0)),0)</f>
        <v>2.2</v>
      </c>
      <c r="F5" s="60" t="n">
        <f aca="false">C5*E5</f>
        <v>6.39297443952592</v>
      </c>
      <c r="G5" s="61"/>
      <c r="I5" s="62"/>
    </row>
    <row r="6" customFormat="false" ht="15.75" hidden="false" customHeight="false" outlineLevel="0" collapsed="false">
      <c r="A6" s="57" t="s">
        <v>1022</v>
      </c>
      <c r="B6" s="57" t="n">
        <v>0.923</v>
      </c>
      <c r="C6" s="58" t="n">
        <f aca="false">B6/B$22*B$24</f>
        <v>1.4498072254748</v>
      </c>
      <c r="D6" s="57" t="s">
        <v>434</v>
      </c>
      <c r="E6" s="59" t="n">
        <f aca="false">IFERROR(INDEX(Correspondance!$D$2:$D$3000,MATCH(A6,Correspondance!$A$2:$A$3000,0)),0)</f>
        <v>3</v>
      </c>
      <c r="F6" s="60" t="n">
        <f aca="false">C6*E6</f>
        <v>4.34942167642439</v>
      </c>
      <c r="G6" s="61"/>
      <c r="I6" s="63"/>
    </row>
    <row r="7" customFormat="false" ht="15.75" hidden="false" customHeight="false" outlineLevel="0" collapsed="false">
      <c r="A7" s="57" t="s">
        <v>1959</v>
      </c>
      <c r="B7" s="57" t="n">
        <v>0.923</v>
      </c>
      <c r="C7" s="58" t="n">
        <f aca="false">B7/B$22*B$24</f>
        <v>1.4498072254748</v>
      </c>
      <c r="D7" s="57" t="s">
        <v>434</v>
      </c>
      <c r="E7" s="59" t="n">
        <f aca="false">IFERROR(INDEX(Correspondance!$D$2:$D$3000,MATCH(A7,Correspondance!$A$2:$A$3000,0)),0)</f>
        <v>1.5</v>
      </c>
      <c r="F7" s="60" t="n">
        <f aca="false">C7*E7</f>
        <v>2.1747108382122</v>
      </c>
      <c r="G7" s="61"/>
      <c r="I7" s="63"/>
    </row>
    <row r="8" customFormat="false" ht="15.75" hidden="false" customHeight="false" outlineLevel="0" collapsed="false">
      <c r="A8" s="57" t="s">
        <v>1747</v>
      </c>
      <c r="B8" s="57" t="n">
        <v>0.277</v>
      </c>
      <c r="C8" s="58" t="n">
        <f aca="false">B8/B$22*B$24</f>
        <v>0.435099243181494</v>
      </c>
      <c r="D8" s="57" t="s">
        <v>434</v>
      </c>
      <c r="E8" s="59" t="n">
        <f aca="false">IFERROR(INDEX(Correspondance!$D$2:$D$3000,MATCH(A8,Correspondance!$A$2:$A$3000,0)),0)</f>
        <v>1.8</v>
      </c>
      <c r="F8" s="60" t="n">
        <f aca="false">C8*E8</f>
        <v>0.783178637726689</v>
      </c>
      <c r="G8" s="61"/>
      <c r="I8" s="63"/>
    </row>
    <row r="9" customFormat="false" ht="15.75" hidden="false" customHeight="false" outlineLevel="0" collapsed="false">
      <c r="A9" s="57" t="s">
        <v>1131</v>
      </c>
      <c r="B9" s="57" t="n">
        <v>0.462</v>
      </c>
      <c r="C9" s="58" t="n">
        <f aca="false">B9/B$22*B$24</f>
        <v>0.725688990432672</v>
      </c>
      <c r="D9" s="57" t="s">
        <v>682</v>
      </c>
      <c r="E9" s="59" t="n">
        <f aca="false">IFERROR(INDEX(Correspondance!$D$2:$D$3000,MATCH(A9,Correspondance!$A$2:$A$3000,0)),0)</f>
        <v>2.2</v>
      </c>
      <c r="F9" s="60" t="n">
        <f aca="false">C9*E9</f>
        <v>1.59651577895188</v>
      </c>
      <c r="G9" s="61"/>
      <c r="I9" s="63"/>
    </row>
    <row r="10" customFormat="false" ht="15.75" hidden="false" customHeight="false" outlineLevel="0" collapsed="false">
      <c r="A10" s="57" t="s">
        <v>1294</v>
      </c>
      <c r="B10" s="57" t="n">
        <v>0.185</v>
      </c>
      <c r="C10" s="58" t="n">
        <f aca="false">B10/B$22*B$24</f>
        <v>0.290589747251178</v>
      </c>
      <c r="D10" s="57" t="s">
        <v>682</v>
      </c>
      <c r="E10" s="59" t="n">
        <f aca="false">IFERROR(INDEX(Correspondance!$D$2:$D$3000,MATCH(A10,Correspondance!$A$2:$A$3000,0)),0)</f>
        <v>4.5</v>
      </c>
      <c r="F10" s="60" t="n">
        <f aca="false">C10*E10</f>
        <v>1.3076538626303</v>
      </c>
      <c r="G10" s="61"/>
      <c r="I10" s="63"/>
    </row>
    <row r="11" customFormat="false" ht="15.75" hidden="false" customHeight="false" outlineLevel="0" collapsed="false">
      <c r="A11" s="57" t="s">
        <v>1265</v>
      </c>
      <c r="B11" s="57" t="n">
        <v>0.018</v>
      </c>
      <c r="C11" s="58" t="n">
        <f aca="false">B11/B$22*B$24</f>
        <v>0.0282735970298444</v>
      </c>
      <c r="D11" s="57" t="s">
        <v>434</v>
      </c>
      <c r="E11" s="59" t="n">
        <f aca="false">IFERROR(INDEX(Correspondance!$D$2:$D$3000,MATCH(A11,Correspondance!$A$2:$A$3000,0)),0)</f>
        <v>12</v>
      </c>
      <c r="F11" s="60" t="n">
        <f aca="false">C11*E11</f>
        <v>0.339283164358132</v>
      </c>
      <c r="G11" s="61"/>
      <c r="I11" s="63"/>
    </row>
    <row r="12" customFormat="false" ht="18.75" hidden="false" customHeight="true" outlineLevel="0" collapsed="false">
      <c r="A12" s="57" t="s">
        <v>1762</v>
      </c>
      <c r="B12" s="64" t="n">
        <v>0.018</v>
      </c>
      <c r="C12" s="58" t="n">
        <f aca="false">B12/B$22*B$24</f>
        <v>0.0282735970298444</v>
      </c>
      <c r="D12" s="57" t="s">
        <v>434</v>
      </c>
      <c r="E12" s="59" t="n">
        <f aca="false">IFERROR(INDEX(Correspondance!$D$2:$D$3000,MATCH(A12,Correspondance!$A$2:$A$3000,0)),0)</f>
        <v>11</v>
      </c>
      <c r="F12" s="60" t="n">
        <f aca="false">C12*E12</f>
        <v>0.311009567328288</v>
      </c>
      <c r="G12" s="61"/>
      <c r="I12" s="63"/>
    </row>
    <row r="13" customFormat="false" ht="18.75" hidden="false" customHeight="true" outlineLevel="0" collapsed="false">
      <c r="A13" s="57" t="s">
        <v>1919</v>
      </c>
      <c r="B13" s="64" t="n">
        <v>0.037</v>
      </c>
      <c r="C13" s="58" t="n">
        <f aca="false">B13/B$22*B$24</f>
        <v>0.0581179494502356</v>
      </c>
      <c r="D13" s="57" t="s">
        <v>434</v>
      </c>
      <c r="E13" s="59" t="n">
        <f aca="false">IFERROR(INDEX(Correspondance!$D$2:$D$3000,MATCH(A13,Correspondance!$A$2:$A$3000,0)),0)</f>
        <v>2</v>
      </c>
      <c r="F13" s="60" t="n">
        <f aca="false">C13*E13</f>
        <v>0.116235898900471</v>
      </c>
      <c r="G13" s="61"/>
      <c r="I13" s="63"/>
    </row>
    <row r="14" customFormat="false" ht="15.75" hidden="false" customHeight="false" outlineLevel="0" collapsed="false">
      <c r="A14" s="57" t="s">
        <v>1787</v>
      </c>
      <c r="B14" s="57"/>
      <c r="C14" s="58" t="n">
        <f aca="false">B14/B$22*B$24</f>
        <v>0</v>
      </c>
      <c r="D14" s="57" t="s">
        <v>434</v>
      </c>
      <c r="E14" s="59" t="n">
        <f aca="false">IFERROR(INDEX(Correspondance!$D$2:$D$3000,MATCH(A14,Correspondance!$A$2:$A$3000,0)),0)</f>
        <v>12</v>
      </c>
      <c r="F14" s="60" t="n">
        <f aca="false">C14*E14</f>
        <v>0</v>
      </c>
      <c r="G14" s="61"/>
      <c r="I14" s="63"/>
    </row>
    <row r="15" customFormat="false" ht="15.75" hidden="false" customHeight="false" outlineLevel="0" collapsed="false">
      <c r="A15" s="57" t="s">
        <v>1563</v>
      </c>
      <c r="B15" s="57"/>
      <c r="C15" s="58" t="n">
        <f aca="false">B15/B$22*B$24</f>
        <v>0</v>
      </c>
      <c r="D15" s="57" t="s">
        <v>434</v>
      </c>
      <c r="E15" s="59" t="n">
        <f aca="false">IFERROR(INDEX(Correspondance!$D$2:$D$3000,MATCH(A15,Correspondance!$A$2:$A$3000,0)),0)</f>
        <v>30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24.627873768385</v>
      </c>
      <c r="G19" s="61"/>
      <c r="I19" s="63"/>
    </row>
    <row r="20" customFormat="false" ht="18.75" hidden="false" customHeight="true" outlineLevel="0" collapsed="false">
      <c r="A20" s="68" t="s">
        <v>2628</v>
      </c>
      <c r="B20" s="69" t="n">
        <f aca="false">F19/B24</f>
        <v>0.223889761530773</v>
      </c>
      <c r="C20" s="70"/>
      <c r="G20" s="61"/>
      <c r="I20" s="63"/>
    </row>
    <row r="21" customFormat="false" ht="15.75" hidden="false" customHeight="false" outlineLevel="0" collapsed="false">
      <c r="A21" s="71" t="s">
        <v>2629</v>
      </c>
      <c r="B21" s="71" t="n">
        <f aca="false">SUM(B3:B18)</f>
        <v>7.003</v>
      </c>
      <c r="C21" s="66"/>
      <c r="G21" s="61"/>
      <c r="I21" s="63"/>
    </row>
    <row r="22" customFormat="false" ht="15.75" hidden="false" customHeight="false" outlineLevel="0" collapsed="false">
      <c r="A22" s="0" t="s">
        <v>2630</v>
      </c>
      <c r="B22" s="72" t="n">
        <f aca="false">B21/B23</f>
        <v>70.03</v>
      </c>
      <c r="C22" s="66"/>
      <c r="G22" s="61"/>
      <c r="I22" s="63"/>
    </row>
    <row r="23" customFormat="false" ht="15.75" hidden="false" customHeight="false" outlineLevel="0" collapsed="false">
      <c r="A23" s="0" t="s">
        <v>2631</v>
      </c>
      <c r="B23" s="0" t="n">
        <v>0.1</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29</v>
      </c>
      <c r="B1" s="50"/>
      <c r="C1" s="50"/>
      <c r="D1" s="50"/>
      <c r="E1" s="51" t="s">
        <v>2619</v>
      </c>
      <c r="F1" s="51"/>
      <c r="G1" s="52" t="s">
        <v>2656</v>
      </c>
    </row>
    <row r="2" customFormat="false" ht="24.75" hidden="false" customHeight="true" outlineLevel="0" collapsed="false">
      <c r="A2" s="50"/>
      <c r="B2" s="50"/>
      <c r="C2" s="50"/>
      <c r="D2" s="50"/>
      <c r="E2" s="53" t="s">
        <v>2621</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1715</v>
      </c>
      <c r="B4" s="57" t="n">
        <v>9.29</v>
      </c>
      <c r="C4" s="58" t="n">
        <f aca="false">B4/B$22*B$24</f>
        <v>14.6013526385978</v>
      </c>
      <c r="D4" s="57" t="s">
        <v>434</v>
      </c>
      <c r="E4" s="59" t="n">
        <f aca="false">IFERROR(INDEX(Correspondance!$D$2:$D$3000,MATCH(A4,Correspondance!$A$2:$A$3000,0)),0)</f>
        <v>1.8</v>
      </c>
      <c r="F4" s="60" t="n">
        <f aca="false">C4*E4</f>
        <v>26.2824347494761</v>
      </c>
      <c r="G4" s="61" t="s">
        <v>2657</v>
      </c>
    </row>
    <row r="5" customFormat="false" ht="15.75" hidden="false" customHeight="false" outlineLevel="0" collapsed="false">
      <c r="A5" s="57" t="s">
        <v>1682</v>
      </c>
      <c r="B5" s="57" t="n">
        <v>0.65</v>
      </c>
      <c r="C5" s="58" t="n">
        <f aca="false">B5/B$22*B$24</f>
        <v>1.02162316631739</v>
      </c>
      <c r="D5" s="57" t="s">
        <v>434</v>
      </c>
      <c r="E5" s="59" t="n">
        <f aca="false">IFERROR(INDEX(Correspondance!$D$2:$D$3000,MATCH(A5,Correspondance!$A$2:$A$3000,0)),0)</f>
        <v>22</v>
      </c>
      <c r="F5" s="60" t="n">
        <f aca="false">C5*E5</f>
        <v>22.4757096589827</v>
      </c>
      <c r="G5" s="61"/>
      <c r="I5" s="62"/>
    </row>
    <row r="6" customFormat="false" ht="15.75" hidden="false" customHeight="false" outlineLevel="0" collapsed="false">
      <c r="A6" s="57" t="s">
        <v>1849</v>
      </c>
      <c r="B6" s="57" t="n">
        <v>0.279</v>
      </c>
      <c r="C6" s="58" t="n">
        <f aca="false">B6/B$22*B$24</f>
        <v>0.438512097542389</v>
      </c>
      <c r="D6" s="57" t="s">
        <v>682</v>
      </c>
      <c r="E6" s="59" t="n">
        <f aca="false">IFERROR(INDEX(Correspondance!$D$2:$D$3000,MATCH(A6,Correspondance!$A$2:$A$3000,0)),0)</f>
        <v>9</v>
      </c>
      <c r="F6" s="60" t="n">
        <f aca="false">C6*E6</f>
        <v>3.9466088778815</v>
      </c>
      <c r="G6" s="61"/>
      <c r="I6" s="63"/>
    </row>
    <row r="7" customFormat="false" ht="15.75" hidden="false" customHeight="false" outlineLevel="0" collapsed="false">
      <c r="A7" s="57" t="s">
        <v>1546</v>
      </c>
      <c r="B7" s="57" t="n">
        <v>0.279</v>
      </c>
      <c r="C7" s="58" t="n">
        <f aca="false">B7/B$22*B$24</f>
        <v>0.438512097542389</v>
      </c>
      <c r="D7" s="57" t="s">
        <v>434</v>
      </c>
      <c r="E7" s="59" t="n">
        <f aca="false">IFERROR(INDEX(Correspondance!$D$2:$D$3000,MATCH(A7,Correspondance!$A$2:$A$3000,0)),0)</f>
        <v>2.2</v>
      </c>
      <c r="F7" s="60" t="n">
        <f aca="false">C7*E7</f>
        <v>0.964726614593256</v>
      </c>
      <c r="G7" s="61"/>
      <c r="I7" s="63"/>
    </row>
    <row r="8" customFormat="false" ht="15.75" hidden="false" customHeight="false" outlineLevel="0" collapsed="false">
      <c r="A8" s="57" t="s">
        <v>1717</v>
      </c>
      <c r="B8" s="57"/>
      <c r="C8" s="58" t="n">
        <f aca="false">B8/B$22*B$24</f>
        <v>0</v>
      </c>
      <c r="D8" s="57" t="s">
        <v>434</v>
      </c>
      <c r="E8" s="59" t="n">
        <f aca="false">IFERROR(INDEX(Correspondance!$D$2:$D$3000,MATCH(A8,Correspondance!$A$2:$A$3000,0)),0)</f>
        <v>30</v>
      </c>
      <c r="F8" s="60" t="n">
        <f aca="false">C8*E8</f>
        <v>0</v>
      </c>
      <c r="G8" s="61"/>
      <c r="I8" s="63"/>
    </row>
    <row r="9" customFormat="false" ht="15.75" hidden="false" customHeight="false" outlineLevel="0" collapsed="false">
      <c r="A9" s="57" t="s">
        <v>1927</v>
      </c>
      <c r="B9" s="57"/>
      <c r="C9" s="58" t="n">
        <f aca="false">B9/B$22*B$24</f>
        <v>0</v>
      </c>
      <c r="D9" s="57" t="s">
        <v>434</v>
      </c>
      <c r="E9" s="59" t="n">
        <f aca="false">IFERROR(INDEX(Correspondance!$D$2:$D$3000,MATCH(A9,Correspondance!$A$2:$A$3000,0)),0)</f>
        <v>2</v>
      </c>
      <c r="F9" s="60" t="n">
        <f aca="false">C9*E9</f>
        <v>0</v>
      </c>
      <c r="G9" s="61"/>
      <c r="I9" s="63"/>
    </row>
    <row r="10" customFormat="false" ht="15.75" hidden="false" customHeight="false" outlineLevel="0" collapsed="false">
      <c r="A10" s="57"/>
      <c r="B10" s="57"/>
      <c r="C10" s="58" t="n">
        <f aca="false">B10/B$22*B$24</f>
        <v>0</v>
      </c>
      <c r="D10" s="57"/>
      <c r="E10" s="65" t="n">
        <f aca="false">IFERROR(INDEX(Correspondance!$D$2:$D$3000,MATCH(A10,Correspondance!$A$2:$A$3000,0)),0)</f>
        <v>0</v>
      </c>
      <c r="F10" s="60" t="n">
        <f aca="false">C10*E10</f>
        <v>0</v>
      </c>
      <c r="G10" s="61"/>
      <c r="I10" s="63"/>
    </row>
    <row r="11" customFormat="false" ht="15.75" hidden="false" customHeight="false" outlineLevel="0" collapsed="false">
      <c r="A11" s="57"/>
      <c r="B11" s="57"/>
      <c r="C11" s="58" t="n">
        <f aca="false">B11/B$22*B$24</f>
        <v>0</v>
      </c>
      <c r="D11" s="57"/>
      <c r="E11" s="65" t="n">
        <f aca="false">IFERROR(INDEX(Correspondance!$D$2:$D$3000,MATCH(A11,Correspondance!$A$2:$A$3000,0)),0)</f>
        <v>0</v>
      </c>
      <c r="F11" s="60" t="n">
        <f aca="false">C11*E11</f>
        <v>0</v>
      </c>
      <c r="G11" s="61"/>
      <c r="I11" s="63"/>
    </row>
    <row r="12" customFormat="false" ht="18.75" hidden="false" customHeight="true" outlineLevel="0" collapsed="false">
      <c r="A12" s="57"/>
      <c r="B12" s="64"/>
      <c r="C12" s="58" t="n">
        <f aca="false">B12/B$22*B$24</f>
        <v>0</v>
      </c>
      <c r="D12" s="57"/>
      <c r="E12" s="65" t="n">
        <f aca="false">IFERROR(INDEX(Correspondance!$D$2:$D$3000,MATCH(A12,Correspondance!$A$2:$A$3000,0)),0)</f>
        <v>0</v>
      </c>
      <c r="F12" s="60" t="n">
        <f aca="false">C12*E12</f>
        <v>0</v>
      </c>
      <c r="G12" s="61"/>
      <c r="I12" s="63"/>
    </row>
    <row r="13" customFormat="false" ht="18.75" hidden="false" customHeight="true" outlineLevel="0" collapsed="false">
      <c r="A13" s="57"/>
      <c r="B13" s="64"/>
      <c r="C13" s="58" t="n">
        <f aca="false">B13/B$22*B$24</f>
        <v>0</v>
      </c>
      <c r="D13" s="57"/>
      <c r="E13" s="65" t="n">
        <f aca="false">IFERROR(INDEX(Correspondance!$D$2:$D$3000,MATCH(A13,Correspondance!$A$2:$A$3000,0)),0)</f>
        <v>0</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53.6694799009335</v>
      </c>
      <c r="G19" s="61"/>
      <c r="I19" s="63"/>
    </row>
    <row r="20" customFormat="false" ht="18.75" hidden="false" customHeight="true" outlineLevel="0" collapsed="false">
      <c r="A20" s="68" t="s">
        <v>2628</v>
      </c>
      <c r="B20" s="69" t="n">
        <f aca="false">F19/B24</f>
        <v>0.487904362735759</v>
      </c>
      <c r="C20" s="70"/>
      <c r="G20" s="61"/>
      <c r="I20" s="63"/>
    </row>
    <row r="21" customFormat="false" ht="15.75" hidden="false" customHeight="false" outlineLevel="0" collapsed="false">
      <c r="A21" s="71" t="s">
        <v>2629</v>
      </c>
      <c r="B21" s="71" t="n">
        <f aca="false">SUM(B3:B18)</f>
        <v>10.498</v>
      </c>
      <c r="C21" s="66"/>
      <c r="G21" s="61"/>
      <c r="I21" s="63"/>
    </row>
    <row r="22" customFormat="false" ht="15.75" hidden="false" customHeight="false" outlineLevel="0" collapsed="false">
      <c r="A22" s="0" t="s">
        <v>2630</v>
      </c>
      <c r="B22" s="72" t="n">
        <f aca="false">B21/B23</f>
        <v>69.9866666666667</v>
      </c>
      <c r="C22" s="66"/>
      <c r="G22" s="61"/>
      <c r="I22" s="63"/>
    </row>
    <row r="23" customFormat="false" ht="15.75" hidden="false" customHeight="false" outlineLevel="0" collapsed="false">
      <c r="A23" s="0" t="s">
        <v>2631</v>
      </c>
      <c r="B23" s="0" t="n">
        <v>0.15</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30</v>
      </c>
      <c r="B1" s="50"/>
      <c r="C1" s="50"/>
      <c r="D1" s="50"/>
      <c r="E1" s="51" t="s">
        <v>2619</v>
      </c>
      <c r="F1" s="51"/>
      <c r="G1" s="52" t="s">
        <v>2656</v>
      </c>
    </row>
    <row r="2" customFormat="false" ht="24.75" hidden="false" customHeight="true" outlineLevel="0" collapsed="false">
      <c r="A2" s="50"/>
      <c r="B2" s="50"/>
      <c r="C2" s="50"/>
      <c r="D2" s="50"/>
      <c r="E2" s="53" t="s">
        <v>2621</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30</v>
      </c>
      <c r="B4" s="57" t="n">
        <v>11.37</v>
      </c>
      <c r="C4" s="58" t="n">
        <f aca="false">B4/B$22*B$24</f>
        <v>17.864307252817</v>
      </c>
      <c r="D4" s="57" t="s">
        <v>434</v>
      </c>
      <c r="E4" s="59" t="n">
        <f aca="false">IFERROR(INDEX(Correspondance!$D$2:$D$3000,MATCH(A4,Correspondance!$A$2:$A$3000,0)),0)</f>
        <v>1.1</v>
      </c>
      <c r="F4" s="60" t="n">
        <f aca="false">C4*E4</f>
        <v>19.6507379780987</v>
      </c>
      <c r="G4" s="61" t="s">
        <v>2658</v>
      </c>
    </row>
    <row r="5" customFormat="false" ht="15.75" hidden="false" customHeight="false" outlineLevel="0" collapsed="false">
      <c r="A5" s="57" t="s">
        <v>1622</v>
      </c>
      <c r="B5" s="57" t="n">
        <v>0.758</v>
      </c>
      <c r="C5" s="58" t="n">
        <f aca="false">B5/B$22*B$24</f>
        <v>1.19095381685447</v>
      </c>
      <c r="D5" s="57" t="s">
        <v>434</v>
      </c>
      <c r="E5" s="59" t="n">
        <f aca="false">IFERROR(INDEX(Correspondance!$D$2:$D$3000,MATCH(A5,Correspondance!$A$2:$A$3000,0)),0)</f>
        <v>9</v>
      </c>
      <c r="F5" s="60" t="n">
        <f aca="false">C5*E5</f>
        <v>10.7185843516902</v>
      </c>
      <c r="G5" s="61"/>
      <c r="I5" s="62"/>
    </row>
    <row r="6" customFormat="false" ht="15.75" hidden="false" customHeight="false" outlineLevel="0" collapsed="false">
      <c r="A6" s="57" t="s">
        <v>1548</v>
      </c>
      <c r="B6" s="57" t="n">
        <v>0.284</v>
      </c>
      <c r="C6" s="58" t="n">
        <f aca="false">B6/B$22*B$24</f>
        <v>0.446214886525948</v>
      </c>
      <c r="D6" s="57" t="s">
        <v>434</v>
      </c>
      <c r="E6" s="59" t="n">
        <f aca="false">IFERROR(INDEX(Correspondance!$D$2:$D$3000,MATCH(A6,Correspondance!$A$2:$A$3000,0)),0)</f>
        <v>3.5</v>
      </c>
      <c r="F6" s="60" t="n">
        <f aca="false">C6*E6</f>
        <v>1.56175210284082</v>
      </c>
      <c r="G6" s="61"/>
      <c r="I6" s="63"/>
    </row>
    <row r="7" customFormat="false" ht="15.75" hidden="false" customHeight="false" outlineLevel="0" collapsed="false">
      <c r="A7" s="57" t="s">
        <v>1120</v>
      </c>
      <c r="B7" s="57" t="n">
        <v>0.095</v>
      </c>
      <c r="C7" s="58" t="n">
        <f aca="false">B7/B$22*B$24</f>
        <v>0.149262021901286</v>
      </c>
      <c r="D7" s="57" t="s">
        <v>682</v>
      </c>
      <c r="E7" s="59" t="n">
        <f aca="false">IFERROR(INDEX(Correspondance!$D$2:$D$3000,MATCH(A7,Correspondance!$A$2:$A$3000,0)),0)</f>
        <v>7.5</v>
      </c>
      <c r="F7" s="60" t="n">
        <f aca="false">C7*E7</f>
        <v>1.11946516425964</v>
      </c>
      <c r="G7" s="61"/>
      <c r="I7" s="63"/>
    </row>
    <row r="8" customFormat="false" ht="15.75" hidden="false" customHeight="false" outlineLevel="0" collapsed="false">
      <c r="A8" s="57" t="s">
        <v>1182</v>
      </c>
      <c r="B8" s="57" t="n">
        <v>0.095</v>
      </c>
      <c r="C8" s="58" t="n">
        <f aca="false">B8/B$22*B$24</f>
        <v>0.149262021901286</v>
      </c>
      <c r="D8" s="57" t="s">
        <v>434</v>
      </c>
      <c r="E8" s="59" t="n">
        <f aca="false">IFERROR(INDEX(Correspondance!$D$2:$D$3000,MATCH(A8,Correspondance!$A$2:$A$3000,0)),0)</f>
        <v>1.3</v>
      </c>
      <c r="F8" s="60" t="n">
        <f aca="false">C8*E8</f>
        <v>0.194040628471671</v>
      </c>
      <c r="G8" s="61"/>
      <c r="I8" s="63"/>
    </row>
    <row r="9" customFormat="false" ht="15.75" hidden="false" customHeight="false" outlineLevel="0" collapsed="false">
      <c r="A9" s="57" t="s">
        <v>1717</v>
      </c>
      <c r="B9" s="57"/>
      <c r="C9" s="58" t="n">
        <f aca="false">B9/B$22*B$24</f>
        <v>0</v>
      </c>
      <c r="D9" s="57" t="s">
        <v>434</v>
      </c>
      <c r="E9" s="59" t="n">
        <f aca="false">IFERROR(INDEX(Correspondance!$D$2:$D$3000,MATCH(A9,Correspondance!$A$2:$A$3000,0)),0)</f>
        <v>30</v>
      </c>
      <c r="F9" s="60" t="n">
        <f aca="false">C9*E9</f>
        <v>0</v>
      </c>
      <c r="G9" s="61"/>
      <c r="I9" s="63"/>
    </row>
    <row r="10" customFormat="false" ht="15.75" hidden="false" customHeight="false" outlineLevel="0" collapsed="false">
      <c r="A10" s="57" t="s">
        <v>1814</v>
      </c>
      <c r="B10" s="57"/>
      <c r="C10" s="58" t="n">
        <f aca="false">B10/B$22*B$24</f>
        <v>0</v>
      </c>
      <c r="D10" s="57" t="s">
        <v>434</v>
      </c>
      <c r="E10" s="59" t="n">
        <f aca="false">IFERROR(INDEX(Correspondance!$D$2:$D$3000,MATCH(A10,Correspondance!$A$2:$A$3000,0)),0)</f>
        <v>18</v>
      </c>
      <c r="F10" s="60" t="n">
        <f aca="false">C10*E10</f>
        <v>0</v>
      </c>
      <c r="G10" s="61"/>
      <c r="I10" s="63"/>
    </row>
    <row r="11" customFormat="false" ht="15.75" hidden="false" customHeight="false" outlineLevel="0" collapsed="false">
      <c r="A11" s="57"/>
      <c r="B11" s="57"/>
      <c r="C11" s="58" t="n">
        <f aca="false">B11/B$22*B$24</f>
        <v>0</v>
      </c>
      <c r="D11" s="57"/>
      <c r="E11" s="65" t="n">
        <f aca="false">IFERROR(INDEX(Correspondance!$D$2:$D$3000,MATCH(A11,Correspondance!$A$2:$A$3000,0)),0)</f>
        <v>0</v>
      </c>
      <c r="F11" s="60" t="n">
        <f aca="false">C11*E11</f>
        <v>0</v>
      </c>
      <c r="G11" s="61"/>
      <c r="I11" s="63"/>
    </row>
    <row r="12" customFormat="false" ht="18.75" hidden="false" customHeight="true" outlineLevel="0" collapsed="false">
      <c r="A12" s="57"/>
      <c r="B12" s="64"/>
      <c r="C12" s="58" t="n">
        <f aca="false">B12/B$22*B$24</f>
        <v>0</v>
      </c>
      <c r="D12" s="57"/>
      <c r="E12" s="65" t="n">
        <f aca="false">IFERROR(INDEX(Correspondance!$D$2:$D$3000,MATCH(A12,Correspondance!$A$2:$A$3000,0)),0)</f>
        <v>0</v>
      </c>
      <c r="F12" s="60" t="n">
        <f aca="false">C12*E12</f>
        <v>0</v>
      </c>
      <c r="G12" s="61"/>
      <c r="I12" s="63"/>
    </row>
    <row r="13" customFormat="false" ht="18.75" hidden="false" customHeight="true" outlineLevel="0" collapsed="false">
      <c r="A13" s="57"/>
      <c r="B13" s="64"/>
      <c r="C13" s="58" t="n">
        <f aca="false">B13/B$22*B$24</f>
        <v>0</v>
      </c>
      <c r="D13" s="57"/>
      <c r="E13" s="65" t="n">
        <f aca="false">IFERROR(INDEX(Correspondance!$D$2:$D$3000,MATCH(A13,Correspondance!$A$2:$A$3000,0)),0)</f>
        <v>0</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33.2445802253611</v>
      </c>
      <c r="G19" s="61"/>
      <c r="I19" s="63"/>
    </row>
    <row r="20" customFormat="false" ht="18.75" hidden="false" customHeight="true" outlineLevel="0" collapsed="false">
      <c r="A20" s="68" t="s">
        <v>2628</v>
      </c>
      <c r="B20" s="69" t="n">
        <f aca="false">F19/B24</f>
        <v>0.302223456594191</v>
      </c>
      <c r="C20" s="70"/>
      <c r="G20" s="61"/>
      <c r="I20" s="63"/>
    </row>
    <row r="21" customFormat="false" ht="15.75" hidden="false" customHeight="false" outlineLevel="0" collapsed="false">
      <c r="A21" s="71" t="s">
        <v>2629</v>
      </c>
      <c r="B21" s="71" t="n">
        <f aca="false">SUM(B3:B18)</f>
        <v>12.602</v>
      </c>
      <c r="C21" s="66"/>
      <c r="G21" s="61"/>
      <c r="I21" s="63"/>
    </row>
    <row r="22" customFormat="false" ht="15.75" hidden="false" customHeight="false" outlineLevel="0" collapsed="false">
      <c r="A22" s="0" t="s">
        <v>2630</v>
      </c>
      <c r="B22" s="72" t="n">
        <f aca="false">B21/B23</f>
        <v>70.0111111111111</v>
      </c>
      <c r="C22" s="66"/>
      <c r="G22" s="61"/>
      <c r="I22" s="63"/>
    </row>
    <row r="23" customFormat="false" ht="15.75" hidden="false" customHeight="false" outlineLevel="0" collapsed="false">
      <c r="A23" s="0" t="s">
        <v>2631</v>
      </c>
      <c r="B23" s="0" t="n">
        <v>0.18</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31</v>
      </c>
      <c r="B1" s="50"/>
      <c r="C1" s="50"/>
      <c r="D1" s="50"/>
      <c r="E1" s="51" t="s">
        <v>2619</v>
      </c>
      <c r="F1" s="51"/>
      <c r="G1" s="52" t="s">
        <v>2645</v>
      </c>
    </row>
    <row r="2" customFormat="false" ht="24.75" hidden="false" customHeight="true" outlineLevel="0" collapsed="false">
      <c r="A2" s="50"/>
      <c r="B2" s="50"/>
      <c r="C2" s="50"/>
      <c r="D2" s="50"/>
      <c r="E2" s="53" t="s">
        <v>2621</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1760</v>
      </c>
      <c r="B4" s="57" t="n">
        <v>13.42</v>
      </c>
      <c r="C4" s="58" t="n">
        <f aca="false">B4/B$22*B$24</f>
        <v>21.0945984567019</v>
      </c>
      <c r="D4" s="57" t="s">
        <v>434</v>
      </c>
      <c r="E4" s="59" t="n">
        <f aca="false">IFERROR(INDEX(Correspondance!$D$2:$D$3000,MATCH(A4,Correspondance!$A$2:$A$3000,0)),0)</f>
        <v>2.25</v>
      </c>
      <c r="F4" s="60" t="n">
        <f aca="false">C4*E4</f>
        <v>47.4628465275793</v>
      </c>
      <c r="G4" s="61" t="s">
        <v>2659</v>
      </c>
    </row>
    <row r="5" customFormat="false" ht="15.75" hidden="false" customHeight="false" outlineLevel="0" collapsed="false">
      <c r="A5" s="57" t="s">
        <v>1182</v>
      </c>
      <c r="B5" s="57" t="n">
        <v>0.288</v>
      </c>
      <c r="C5" s="58" t="n">
        <f aca="false">B5/B$22*B$24</f>
        <v>0.452700771649043</v>
      </c>
      <c r="D5" s="57" t="s">
        <v>434</v>
      </c>
      <c r="E5" s="59" t="n">
        <f aca="false">IFERROR(INDEX(Correspondance!$D$2:$D$3000,MATCH(A5,Correspondance!$A$2:$A$3000,0)),0)</f>
        <v>1.3</v>
      </c>
      <c r="F5" s="60" t="n">
        <f aca="false">C5*E5</f>
        <v>0.588511003143755</v>
      </c>
      <c r="G5" s="61"/>
      <c r="I5" s="62"/>
    </row>
    <row r="6" customFormat="false" ht="15.75" hidden="false" customHeight="false" outlineLevel="0" collapsed="false">
      <c r="A6" s="57" t="s">
        <v>1371</v>
      </c>
      <c r="B6" s="57" t="n">
        <v>0.192</v>
      </c>
      <c r="C6" s="58" t="n">
        <f aca="false">B6/B$22*B$24</f>
        <v>0.301800514432695</v>
      </c>
      <c r="D6" s="57" t="s">
        <v>682</v>
      </c>
      <c r="E6" s="59" t="n">
        <f aca="false">IFERROR(INDEX(Correspondance!$D$2:$D$3000,MATCH(A6,Correspondance!$A$2:$A$3000,0)),0)</f>
        <v>3.5</v>
      </c>
      <c r="F6" s="60" t="n">
        <f aca="false">C6*E6</f>
        <v>1.05630180051443</v>
      </c>
      <c r="G6" s="61"/>
      <c r="I6" s="63"/>
    </row>
    <row r="7" customFormat="false" ht="15.75" hidden="false" customHeight="false" outlineLevel="0" collapsed="false">
      <c r="A7" s="57" t="s">
        <v>1066</v>
      </c>
      <c r="B7" s="57" t="n">
        <v>0.096</v>
      </c>
      <c r="C7" s="58" t="n">
        <f aca="false">B7/B$22*B$24</f>
        <v>0.150900257216348</v>
      </c>
      <c r="D7" s="57" t="s">
        <v>434</v>
      </c>
      <c r="E7" s="59" t="n">
        <f aca="false">IFERROR(INDEX(Correspondance!$D$2:$D$3000,MATCH(A7,Correspondance!$A$2:$A$3000,0)),0)</f>
        <v>9</v>
      </c>
      <c r="F7" s="60" t="n">
        <f aca="false">C7*E7</f>
        <v>1.35810231494713</v>
      </c>
      <c r="G7" s="61"/>
      <c r="I7" s="63"/>
    </row>
    <row r="8" customFormat="false" ht="15.75" hidden="false" customHeight="false" outlineLevel="0" collapsed="false">
      <c r="A8" s="57" t="s">
        <v>1717</v>
      </c>
      <c r="B8" s="57"/>
      <c r="C8" s="58" t="n">
        <f aca="false">B8/B$22*B$24</f>
        <v>0</v>
      </c>
      <c r="D8" s="57" t="s">
        <v>434</v>
      </c>
      <c r="E8" s="59" t="n">
        <f aca="false">IFERROR(INDEX(Correspondance!$D$2:$D$3000,MATCH(A8,Correspondance!$A$2:$A$3000,0)),0)</f>
        <v>30</v>
      </c>
      <c r="F8" s="60" t="n">
        <f aca="false">C8*E8</f>
        <v>0</v>
      </c>
      <c r="G8" s="61"/>
      <c r="I8" s="63"/>
    </row>
    <row r="9" customFormat="false" ht="15.75" hidden="false" customHeight="false" outlineLevel="0" collapsed="false">
      <c r="A9" s="57" t="s">
        <v>1547</v>
      </c>
      <c r="B9" s="57"/>
      <c r="C9" s="58" t="n">
        <f aca="false">B9/B$22*B$24</f>
        <v>0</v>
      </c>
      <c r="D9" s="57" t="s">
        <v>434</v>
      </c>
      <c r="E9" s="59" t="n">
        <f aca="false">IFERROR(INDEX(Correspondance!$D$2:$D$3000,MATCH(A9,Correspondance!$A$2:$A$3000,0)),0)</f>
        <v>2.2</v>
      </c>
      <c r="F9" s="60" t="n">
        <f aca="false">C9*E9</f>
        <v>0</v>
      </c>
      <c r="G9" s="61"/>
      <c r="I9" s="63"/>
    </row>
    <row r="10" customFormat="false" ht="15.75" hidden="false" customHeight="false" outlineLevel="0" collapsed="false">
      <c r="A10" s="57"/>
      <c r="B10" s="57"/>
      <c r="C10" s="58" t="n">
        <f aca="false">B10/B$22*B$24</f>
        <v>0</v>
      </c>
      <c r="D10" s="57"/>
      <c r="E10" s="65" t="n">
        <f aca="false">IFERROR(INDEX(Correspondance!$D$2:$D$3000,MATCH(A10,Correspondance!$A$2:$A$3000,0)),0)</f>
        <v>0</v>
      </c>
      <c r="F10" s="60" t="n">
        <f aca="false">C10*E10</f>
        <v>0</v>
      </c>
      <c r="G10" s="61"/>
      <c r="I10" s="63"/>
    </row>
    <row r="11" customFormat="false" ht="15.75" hidden="false" customHeight="false" outlineLevel="0" collapsed="false">
      <c r="A11" s="57"/>
      <c r="B11" s="57"/>
      <c r="C11" s="58" t="n">
        <f aca="false">B11/B$22*B$24</f>
        <v>0</v>
      </c>
      <c r="D11" s="57"/>
      <c r="E11" s="65" t="n">
        <f aca="false">IFERROR(INDEX(Correspondance!$D$2:$D$3000,MATCH(A11,Correspondance!$A$2:$A$3000,0)),0)</f>
        <v>0</v>
      </c>
      <c r="F11" s="60" t="n">
        <f aca="false">C11*E11</f>
        <v>0</v>
      </c>
      <c r="G11" s="61"/>
      <c r="I11" s="63"/>
    </row>
    <row r="12" customFormat="false" ht="18.75" hidden="false" customHeight="true" outlineLevel="0" collapsed="false">
      <c r="A12" s="57"/>
      <c r="B12" s="64"/>
      <c r="C12" s="58" t="n">
        <f aca="false">B12/B$22*B$24</f>
        <v>0</v>
      </c>
      <c r="D12" s="57"/>
      <c r="E12" s="65" t="n">
        <f aca="false">IFERROR(INDEX(Correspondance!$D$2:$D$3000,MATCH(A12,Correspondance!$A$2:$A$3000,0)),0)</f>
        <v>0</v>
      </c>
      <c r="F12" s="60" t="n">
        <f aca="false">C12*E12</f>
        <v>0</v>
      </c>
      <c r="G12" s="61"/>
      <c r="I12" s="63"/>
    </row>
    <row r="13" customFormat="false" ht="18.75" hidden="false" customHeight="true" outlineLevel="0" collapsed="false">
      <c r="A13" s="57"/>
      <c r="B13" s="64"/>
      <c r="C13" s="58" t="n">
        <f aca="false">B13/B$22*B$24</f>
        <v>0</v>
      </c>
      <c r="D13" s="57"/>
      <c r="E13" s="65" t="n">
        <f aca="false">IFERROR(INDEX(Correspondance!$D$2:$D$3000,MATCH(A13,Correspondance!$A$2:$A$3000,0)),0)</f>
        <v>0</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50.4657616461846</v>
      </c>
      <c r="G19" s="61"/>
      <c r="I19" s="63"/>
    </row>
    <row r="20" customFormat="false" ht="18.75" hidden="false" customHeight="true" outlineLevel="0" collapsed="false">
      <c r="A20" s="68" t="s">
        <v>2628</v>
      </c>
      <c r="B20" s="69" t="n">
        <f aca="false">F19/B24</f>
        <v>0.458779651328951</v>
      </c>
      <c r="C20" s="70"/>
      <c r="G20" s="61"/>
      <c r="I20" s="63"/>
    </row>
    <row r="21" customFormat="false" ht="15.75" hidden="false" customHeight="false" outlineLevel="0" collapsed="false">
      <c r="A21" s="71" t="s">
        <v>2629</v>
      </c>
      <c r="B21" s="71" t="n">
        <f aca="false">SUM(B3:B18)</f>
        <v>13.996</v>
      </c>
      <c r="C21" s="66"/>
      <c r="G21" s="61"/>
      <c r="I21" s="63"/>
    </row>
    <row r="22" customFormat="false" ht="15.75" hidden="false" customHeight="false" outlineLevel="0" collapsed="false">
      <c r="A22" s="0" t="s">
        <v>2630</v>
      </c>
      <c r="B22" s="72" t="n">
        <f aca="false">B21/B23</f>
        <v>69.98</v>
      </c>
      <c r="C22" s="66"/>
      <c r="G22" s="61"/>
      <c r="I22" s="63"/>
    </row>
    <row r="23" customFormat="false" ht="15.75" hidden="false" customHeight="false" outlineLevel="0" collapsed="false">
      <c r="A23" s="0" t="s">
        <v>2631</v>
      </c>
      <c r="B23" s="0" t="n">
        <v>0.2</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33</v>
      </c>
      <c r="B1" s="50"/>
      <c r="C1" s="50"/>
      <c r="D1" s="50"/>
      <c r="E1" s="51" t="s">
        <v>2619</v>
      </c>
      <c r="F1" s="51"/>
      <c r="G1" s="52" t="s">
        <v>2660</v>
      </c>
    </row>
    <row r="2" customFormat="false" ht="24.75" hidden="false" customHeight="true" outlineLevel="0" collapsed="false">
      <c r="A2" s="50"/>
      <c r="B2" s="50"/>
      <c r="C2" s="50"/>
      <c r="D2" s="50"/>
      <c r="E2" s="53" t="s">
        <v>2636</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1499</v>
      </c>
      <c r="B4" s="57" t="n">
        <v>6.34</v>
      </c>
      <c r="C4" s="58" t="n">
        <f aca="false">B4/B$22*B$24</f>
        <v>9.96415118846604</v>
      </c>
      <c r="D4" s="57" t="s">
        <v>434</v>
      </c>
      <c r="E4" s="59" t="n">
        <f aca="false">IFERROR(INDEX(Correspondance!$D$2:$D$3000,MATCH(A4,Correspondance!$A$2:$A$3000,0)),0)</f>
        <v>2</v>
      </c>
      <c r="F4" s="60" t="n">
        <f aca="false">C4*E4</f>
        <v>19.9283023769321</v>
      </c>
      <c r="G4" s="61" t="s">
        <v>2661</v>
      </c>
    </row>
    <row r="5" customFormat="false" ht="15.75" hidden="false" customHeight="false" outlineLevel="0" collapsed="false">
      <c r="A5" s="57" t="s">
        <v>1131</v>
      </c>
      <c r="B5" s="57" t="n">
        <v>0.453</v>
      </c>
      <c r="C5" s="58" t="n">
        <f aca="false">B5/B$22*B$24</f>
        <v>0.711949603844655</v>
      </c>
      <c r="D5" s="57" t="s">
        <v>682</v>
      </c>
      <c r="E5" s="59" t="n">
        <f aca="false">IFERROR(INDEX(Correspondance!$D$2:$D$3000,MATCH(A5,Correspondance!$A$2:$A$3000,0)),0)</f>
        <v>2.2</v>
      </c>
      <c r="F5" s="60" t="n">
        <f aca="false">C5*E5</f>
        <v>1.56628912845824</v>
      </c>
      <c r="G5" s="61"/>
      <c r="I5" s="62"/>
    </row>
    <row r="6" customFormat="false" ht="15.75" hidden="false" customHeight="false" outlineLevel="0" collapsed="false">
      <c r="A6" s="57" t="s">
        <v>1982</v>
      </c>
      <c r="B6" s="57" t="n">
        <v>0.181</v>
      </c>
      <c r="C6" s="58" t="n">
        <f aca="false">B6/B$22*B$24</f>
        <v>0.284465515001948</v>
      </c>
      <c r="D6" s="57" t="s">
        <v>682</v>
      </c>
      <c r="E6" s="59" t="n">
        <f aca="false">IFERROR(INDEX(Correspondance!$D$2:$D$3000,MATCH(A6,Correspondance!$A$2:$A$3000,0)),0)</f>
        <v>1.5</v>
      </c>
      <c r="F6" s="60" t="n">
        <f aca="false">C6*E6</f>
        <v>0.426698272502922</v>
      </c>
      <c r="G6" s="61"/>
      <c r="I6" s="63"/>
    </row>
    <row r="7" customFormat="false" ht="15.75" hidden="false" customHeight="false" outlineLevel="0" collapsed="false">
      <c r="A7" s="57" t="s">
        <v>1725</v>
      </c>
      <c r="B7" s="57" t="n">
        <v>0.091</v>
      </c>
      <c r="C7" s="58" t="n">
        <f aca="false">B7/B$22*B$24</f>
        <v>0.143018573840759</v>
      </c>
      <c r="D7" s="57" t="s">
        <v>434</v>
      </c>
      <c r="E7" s="59" t="n">
        <f aca="false">IFERROR(INDEX(Correspondance!$D$2:$D$3000,MATCH(A7,Correspondance!$A$2:$A$3000,0)),0)</f>
        <v>9</v>
      </c>
      <c r="F7" s="60" t="n">
        <f aca="false">C7*E7</f>
        <v>1.28716716456683</v>
      </c>
      <c r="G7" s="61"/>
      <c r="I7" s="63"/>
    </row>
    <row r="8" customFormat="false" ht="15.75" hidden="false" customHeight="false" outlineLevel="0" collapsed="false">
      <c r="A8" s="57" t="s">
        <v>947</v>
      </c>
      <c r="B8" s="57" t="n">
        <v>0.136</v>
      </c>
      <c r="C8" s="58" t="n">
        <f aca="false">B8/B$22*B$24</f>
        <v>0.213742044421353</v>
      </c>
      <c r="D8" s="57" t="s">
        <v>434</v>
      </c>
      <c r="E8" s="59" t="n">
        <f aca="false">IFERROR(INDEX(Correspondance!$D$2:$D$3000,MATCH(A8,Correspondance!$A$2:$A$3000,0)),0)</f>
        <v>4.5</v>
      </c>
      <c r="F8" s="60" t="n">
        <f aca="false">C8*E8</f>
        <v>0.961839199896091</v>
      </c>
      <c r="G8" s="61"/>
      <c r="I8" s="63"/>
    </row>
    <row r="9" customFormat="false" ht="15.75" hidden="false" customHeight="false" outlineLevel="0" collapsed="false">
      <c r="A9" s="57" t="s">
        <v>741</v>
      </c>
      <c r="B9" s="57" t="n">
        <v>0.453</v>
      </c>
      <c r="C9" s="58" t="n">
        <f aca="false">B9/B$22*B$24</f>
        <v>0.711949603844655</v>
      </c>
      <c r="D9" s="57" t="s">
        <v>434</v>
      </c>
      <c r="E9" s="59" t="n">
        <f aca="false">IFERROR(INDEX(Correspondance!$D$2:$D$3000,MATCH(A9,Correspondance!$A$2:$A$3000,0)),0)</f>
        <v>5.6</v>
      </c>
      <c r="F9" s="60" t="n">
        <f aca="false">C9*E9</f>
        <v>3.98691778153007</v>
      </c>
      <c r="G9" s="61"/>
      <c r="I9" s="63"/>
    </row>
    <row r="10" customFormat="false" ht="15.75" hidden="false" customHeight="false" outlineLevel="0" collapsed="false">
      <c r="A10" s="57" t="s">
        <v>1919</v>
      </c>
      <c r="B10" s="57" t="n">
        <v>0.045</v>
      </c>
      <c r="C10" s="58" t="n">
        <f aca="false">B10/B$22*B$24</f>
        <v>0.0707234705805949</v>
      </c>
      <c r="D10" s="57" t="s">
        <v>434</v>
      </c>
      <c r="E10" s="59" t="n">
        <f aca="false">IFERROR(INDEX(Correspondance!$D$2:$D$3000,MATCH(A10,Correspondance!$A$2:$A$3000,0)),0)</f>
        <v>2</v>
      </c>
      <c r="F10" s="60" t="n">
        <f aca="false">C10*E10</f>
        <v>0.14144694116119</v>
      </c>
      <c r="G10" s="61"/>
      <c r="I10" s="63"/>
    </row>
    <row r="11" customFormat="false" ht="15.75" hidden="false" customHeight="false" outlineLevel="0" collapsed="false">
      <c r="A11" s="57" t="s">
        <v>1814</v>
      </c>
      <c r="B11" s="57"/>
      <c r="C11" s="58" t="n">
        <f aca="false">B11/B$22*B$24</f>
        <v>0</v>
      </c>
      <c r="D11" s="57" t="s">
        <v>434</v>
      </c>
      <c r="E11" s="59" t="n">
        <f aca="false">IFERROR(INDEX(Correspondance!$D$2:$D$3000,MATCH(A11,Correspondance!$A$2:$A$3000,0)),0)</f>
        <v>18</v>
      </c>
      <c r="F11" s="60" t="n">
        <f aca="false">C11*E11</f>
        <v>0</v>
      </c>
      <c r="G11" s="61"/>
      <c r="I11" s="63"/>
    </row>
    <row r="12" customFormat="false" ht="18.75" hidden="false" customHeight="true" outlineLevel="0" collapsed="false">
      <c r="A12" s="57" t="s">
        <v>1776</v>
      </c>
      <c r="B12" s="64"/>
      <c r="C12" s="58" t="n">
        <f aca="false">B12/B$22*B$24</f>
        <v>0</v>
      </c>
      <c r="D12" s="57" t="s">
        <v>434</v>
      </c>
      <c r="E12" s="59" t="n">
        <f aca="false">IFERROR(INDEX(Correspondance!$D$2:$D$3000,MATCH(A12,Correspondance!$A$2:$A$3000,0)),0)</f>
        <v>8</v>
      </c>
      <c r="F12" s="60" t="n">
        <f aca="false">C12*E12</f>
        <v>0</v>
      </c>
      <c r="G12" s="61"/>
      <c r="I12" s="63"/>
    </row>
    <row r="13" customFormat="false" ht="18.75" hidden="false" customHeight="true" outlineLevel="0" collapsed="false">
      <c r="A13" s="57"/>
      <c r="B13" s="64"/>
      <c r="C13" s="58" t="n">
        <f aca="false">B13/B$22*B$24</f>
        <v>0</v>
      </c>
      <c r="D13" s="57"/>
      <c r="E13" s="65" t="n">
        <f aca="false">IFERROR(INDEX(Correspondance!$D$2:$D$3000,MATCH(A13,Correspondance!$A$2:$A$3000,0)),0)</f>
        <v>0</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28.2986608650474</v>
      </c>
      <c r="G19" s="61"/>
      <c r="I19" s="63"/>
    </row>
    <row r="20" customFormat="false" ht="18.75" hidden="false" customHeight="true" outlineLevel="0" collapsed="false">
      <c r="A20" s="68" t="s">
        <v>2628</v>
      </c>
      <c r="B20" s="69" t="n">
        <f aca="false">F19/B24</f>
        <v>0.257260553318613</v>
      </c>
      <c r="C20" s="70"/>
      <c r="G20" s="61"/>
      <c r="I20" s="63"/>
    </row>
    <row r="21" customFormat="false" ht="15.75" hidden="false" customHeight="false" outlineLevel="0" collapsed="false">
      <c r="A21" s="71" t="s">
        <v>2629</v>
      </c>
      <c r="B21" s="71" t="n">
        <f aca="false">SUM(B3:B18)</f>
        <v>7.699</v>
      </c>
      <c r="C21" s="66"/>
      <c r="G21" s="61"/>
      <c r="I21" s="63"/>
    </row>
    <row r="22" customFormat="false" ht="15.75" hidden="false" customHeight="false" outlineLevel="0" collapsed="false">
      <c r="A22" s="0" t="s">
        <v>2630</v>
      </c>
      <c r="B22" s="72" t="n">
        <f aca="false">B21/B23</f>
        <v>69.9909090909091</v>
      </c>
      <c r="C22" s="66"/>
      <c r="G22" s="61"/>
      <c r="I22" s="63"/>
    </row>
    <row r="23" customFormat="false" ht="15.75" hidden="false" customHeight="false" outlineLevel="0" collapsed="false">
      <c r="A23" s="0" t="s">
        <v>2631</v>
      </c>
      <c r="B23" s="0" t="n">
        <v>0.11</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34</v>
      </c>
      <c r="B1" s="50"/>
      <c r="C1" s="50"/>
      <c r="D1" s="50"/>
      <c r="E1" s="51" t="s">
        <v>2619</v>
      </c>
      <c r="F1" s="51"/>
      <c r="G1" s="52" t="s">
        <v>2662</v>
      </c>
    </row>
    <row r="2" customFormat="false" ht="24.75" hidden="false" customHeight="true" outlineLevel="0" collapsed="false">
      <c r="A2" s="50"/>
      <c r="B2" s="50"/>
      <c r="C2" s="50"/>
      <c r="D2" s="50"/>
      <c r="E2" s="53" t="s">
        <v>2621</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1483</v>
      </c>
      <c r="B4" s="57" t="n">
        <v>6.7</v>
      </c>
      <c r="C4" s="58" t="n">
        <f aca="false">B4/B$22*B$24</f>
        <v>10.5235602094241</v>
      </c>
      <c r="D4" s="57" t="s">
        <v>434</v>
      </c>
      <c r="E4" s="59" t="n">
        <f aca="false">IFERROR(INDEX(Correspondance!$D$2:$D$3000,MATCH(A4,Correspondance!$A$2:$A$3000,0)),0)</f>
        <v>5.5</v>
      </c>
      <c r="F4" s="60" t="n">
        <f aca="false">C4*E4</f>
        <v>57.8795811518325</v>
      </c>
      <c r="G4" s="61" t="s">
        <v>2663</v>
      </c>
    </row>
    <row r="5" customFormat="false" ht="15.75" hidden="false" customHeight="false" outlineLevel="0" collapsed="false">
      <c r="A5" s="57" t="s">
        <v>1709</v>
      </c>
      <c r="B5" s="57" t="n">
        <v>0.957</v>
      </c>
      <c r="C5" s="58" t="n">
        <f aca="false">B5/B$22*B$24</f>
        <v>1.50314136125654</v>
      </c>
      <c r="D5" s="57" t="s">
        <v>434</v>
      </c>
      <c r="E5" s="59" t="n">
        <f aca="false">IFERROR(INDEX(Correspondance!$D$2:$D$3000,MATCH(A5,Correspondance!$A$2:$A$3000,0)),0)</f>
        <v>4.5</v>
      </c>
      <c r="F5" s="60" t="n">
        <f aca="false">C5*E5</f>
        <v>6.76413612565445</v>
      </c>
      <c r="G5" s="61"/>
      <c r="I5" s="62"/>
    </row>
    <row r="6" customFormat="false" ht="15.75" hidden="false" customHeight="false" outlineLevel="0" collapsed="false">
      <c r="A6" s="57" t="s">
        <v>1131</v>
      </c>
      <c r="B6" s="57" t="n">
        <v>0.287</v>
      </c>
      <c r="C6" s="58" t="n">
        <f aca="false">B6/B$22*B$24</f>
        <v>0.450785340314136</v>
      </c>
      <c r="D6" s="57" t="s">
        <v>682</v>
      </c>
      <c r="E6" s="59" t="n">
        <f aca="false">IFERROR(INDEX(Correspondance!$D$2:$D$3000,MATCH(A6,Correspondance!$A$2:$A$3000,0)),0)</f>
        <v>2.2</v>
      </c>
      <c r="F6" s="60" t="n">
        <f aca="false">C6*E6</f>
        <v>0.9917277486911</v>
      </c>
      <c r="G6" s="61"/>
      <c r="I6" s="63"/>
    </row>
    <row r="7" customFormat="false" ht="15.75" hidden="false" customHeight="false" outlineLevel="0" collapsed="false">
      <c r="A7" s="57" t="s">
        <v>1982</v>
      </c>
      <c r="B7" s="57" t="n">
        <v>0.096</v>
      </c>
      <c r="C7" s="58" t="n">
        <f aca="false">B7/B$22*B$24</f>
        <v>0.150785340314136</v>
      </c>
      <c r="D7" s="57" t="s">
        <v>682</v>
      </c>
      <c r="E7" s="59" t="n">
        <f aca="false">IFERROR(INDEX(Correspondance!$D$2:$D$3000,MATCH(A7,Correspondance!$A$2:$A$3000,0)),0)</f>
        <v>1.5</v>
      </c>
      <c r="F7" s="60" t="n">
        <f aca="false">C7*E7</f>
        <v>0.226178010471204</v>
      </c>
      <c r="G7" s="61"/>
      <c r="I7" s="63"/>
    </row>
    <row r="8" customFormat="false" ht="15.75" hidden="false" customHeight="false" outlineLevel="0" collapsed="false">
      <c r="A8" s="57" t="s">
        <v>1725</v>
      </c>
      <c r="B8" s="57" t="n">
        <v>0.048</v>
      </c>
      <c r="C8" s="58" t="n">
        <f aca="false">B8/B$22*B$24</f>
        <v>0.0753926701570681</v>
      </c>
      <c r="D8" s="57" t="s">
        <v>434</v>
      </c>
      <c r="E8" s="59" t="n">
        <f aca="false">IFERROR(INDEX(Correspondance!$D$2:$D$3000,MATCH(A8,Correspondance!$A$2:$A$3000,0)),0)</f>
        <v>9</v>
      </c>
      <c r="F8" s="60" t="n">
        <f aca="false">C8*E8</f>
        <v>0.678534031413613</v>
      </c>
      <c r="G8" s="61"/>
      <c r="I8" s="63"/>
    </row>
    <row r="9" customFormat="false" ht="15.75" hidden="false" customHeight="false" outlineLevel="0" collapsed="false">
      <c r="A9" s="57" t="s">
        <v>1291</v>
      </c>
      <c r="B9" s="57" t="n">
        <v>0.287</v>
      </c>
      <c r="C9" s="58" t="n">
        <f aca="false">B9/B$22*B$24</f>
        <v>0.450785340314136</v>
      </c>
      <c r="D9" s="57" t="s">
        <v>682</v>
      </c>
      <c r="E9" s="59" t="n">
        <f aca="false">IFERROR(INDEX(Correspondance!$D$2:$D$3000,MATCH(A9,Correspondance!$A$2:$A$3000,0)),0)</f>
        <v>2.5</v>
      </c>
      <c r="F9" s="60" t="n">
        <f aca="false">C9*E9</f>
        <v>1.12696335078534</v>
      </c>
      <c r="G9" s="61"/>
      <c r="I9" s="63"/>
    </row>
    <row r="10" customFormat="false" ht="15.75" hidden="false" customHeight="false" outlineLevel="0" collapsed="false">
      <c r="A10" s="57" t="s">
        <v>1919</v>
      </c>
      <c r="B10" s="57" t="n">
        <v>0.029</v>
      </c>
      <c r="C10" s="58" t="n">
        <f aca="false">B10/B$22*B$24</f>
        <v>0.0455497382198953</v>
      </c>
      <c r="D10" s="57" t="s">
        <v>434</v>
      </c>
      <c r="E10" s="59" t="n">
        <f aca="false">IFERROR(INDEX(Correspondance!$D$2:$D$3000,MATCH(A10,Correspondance!$A$2:$A$3000,0)),0)</f>
        <v>2</v>
      </c>
      <c r="F10" s="60" t="n">
        <f aca="false">C10*E10</f>
        <v>0.0910994764397906</v>
      </c>
      <c r="G10" s="61"/>
      <c r="I10" s="63"/>
    </row>
    <row r="11" customFormat="false" ht="15.75" hidden="false" customHeight="false" outlineLevel="0" collapsed="false">
      <c r="A11" s="57" t="s">
        <v>1814</v>
      </c>
      <c r="B11" s="57"/>
      <c r="C11" s="58" t="n">
        <f aca="false">B11/B$22*B$24</f>
        <v>0</v>
      </c>
      <c r="D11" s="57" t="s">
        <v>434</v>
      </c>
      <c r="E11" s="59" t="n">
        <f aca="false">IFERROR(INDEX(Correspondance!$D$2:$D$3000,MATCH(A11,Correspondance!$A$2:$A$3000,0)),0)</f>
        <v>18</v>
      </c>
      <c r="F11" s="60" t="n">
        <f aca="false">C11*E11</f>
        <v>0</v>
      </c>
      <c r="G11" s="61"/>
      <c r="I11" s="63"/>
    </row>
    <row r="12" customFormat="false" ht="18.75" hidden="false" customHeight="true" outlineLevel="0" collapsed="false">
      <c r="A12" s="57" t="s">
        <v>1539</v>
      </c>
      <c r="B12" s="64"/>
      <c r="C12" s="58" t="n">
        <f aca="false">B12/B$22*B$24</f>
        <v>0</v>
      </c>
      <c r="D12" s="57" t="s">
        <v>434</v>
      </c>
      <c r="E12" s="59" t="n">
        <f aca="false">IFERROR(INDEX(Correspondance!$D$2:$D$3000,MATCH(A12,Correspondance!$A$2:$A$3000,0)),0)</f>
        <v>13</v>
      </c>
      <c r="F12" s="60" t="n">
        <f aca="false">C12*E12</f>
        <v>0</v>
      </c>
      <c r="G12" s="61"/>
      <c r="I12" s="63"/>
    </row>
    <row r="13" customFormat="false" ht="18.75" hidden="false" customHeight="true" outlineLevel="0" collapsed="false">
      <c r="A13" s="57"/>
      <c r="B13" s="64"/>
      <c r="C13" s="58" t="n">
        <f aca="false">B13/B$22*B$24</f>
        <v>0</v>
      </c>
      <c r="D13" s="57"/>
      <c r="E13" s="65" t="n">
        <f aca="false">IFERROR(INDEX(Correspondance!$D$2:$D$3000,MATCH(A13,Correspondance!$A$2:$A$3000,0)),0)</f>
        <v>0</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67.758219895288</v>
      </c>
      <c r="G19" s="61"/>
      <c r="I19" s="63"/>
    </row>
    <row r="20" customFormat="false" ht="18.75" hidden="false" customHeight="true" outlineLevel="0" collapsed="false">
      <c r="A20" s="68" t="s">
        <v>2628</v>
      </c>
      <c r="B20" s="69" t="n">
        <f aca="false">F19/B24</f>
        <v>0.615983817229891</v>
      </c>
      <c r="C20" s="70"/>
      <c r="G20" s="61"/>
      <c r="I20" s="63"/>
    </row>
    <row r="21" customFormat="false" ht="15.75" hidden="false" customHeight="false" outlineLevel="0" collapsed="false">
      <c r="A21" s="71" t="s">
        <v>2629</v>
      </c>
      <c r="B21" s="71" t="n">
        <f aca="false">SUM(B3:B18)</f>
        <v>8.404</v>
      </c>
      <c r="C21" s="66"/>
      <c r="G21" s="61"/>
      <c r="I21" s="63"/>
    </row>
    <row r="22" customFormat="false" ht="15.75" hidden="false" customHeight="false" outlineLevel="0" collapsed="false">
      <c r="A22" s="0" t="s">
        <v>2630</v>
      </c>
      <c r="B22" s="72" t="n">
        <f aca="false">B21/B23</f>
        <v>70.0333333333333</v>
      </c>
      <c r="C22" s="66"/>
      <c r="G22" s="61"/>
      <c r="I22" s="63"/>
    </row>
    <row r="23" customFormat="false" ht="15.75" hidden="false" customHeight="false" outlineLevel="0" collapsed="false">
      <c r="A23" s="0" t="s">
        <v>2631</v>
      </c>
      <c r="B23" s="0" t="n">
        <v>0.12</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2664</v>
      </c>
      <c r="B1" s="50"/>
      <c r="C1" s="50"/>
      <c r="D1" s="50"/>
      <c r="E1" s="51" t="s">
        <v>2619</v>
      </c>
      <c r="F1" s="51"/>
      <c r="G1" s="75" t="s">
        <v>2665</v>
      </c>
    </row>
    <row r="2" customFormat="false" ht="21.75" hidden="false" customHeight="true" outlineLevel="0" collapsed="false">
      <c r="A2" s="50"/>
      <c r="B2" s="50"/>
      <c r="C2" s="50"/>
      <c r="D2" s="50"/>
      <c r="E2" s="53" t="s">
        <v>2636</v>
      </c>
      <c r="F2" s="53"/>
      <c r="G2" s="75"/>
    </row>
    <row r="3" customFormat="false" ht="51.75" hidden="false" customHeight="true" outlineLevel="0" collapsed="false">
      <c r="A3" s="54" t="s">
        <v>2588</v>
      </c>
      <c r="B3" s="55" t="s">
        <v>2622</v>
      </c>
      <c r="C3" s="55" t="s">
        <v>2623</v>
      </c>
      <c r="D3" s="56" t="s">
        <v>2624</v>
      </c>
      <c r="E3" s="56" t="s">
        <v>2625</v>
      </c>
      <c r="F3" s="56" t="s">
        <v>2626</v>
      </c>
      <c r="G3" s="75"/>
    </row>
    <row r="4" customFormat="false" ht="18" hidden="false" customHeight="true" outlineLevel="0" collapsed="false">
      <c r="A4" s="76" t="s">
        <v>330</v>
      </c>
      <c r="B4" s="57" t="n">
        <v>1.76</v>
      </c>
      <c r="C4" s="58" t="n">
        <f aca="false">B4/B$23*B$25</f>
        <v>2.76571428571429</v>
      </c>
      <c r="D4" s="57" t="s">
        <v>434</v>
      </c>
      <c r="E4" s="59" t="n">
        <f aca="false">IFERROR(INDEX(Correspondance!$D$2:$D$3000,MATCH(A4,Correspondance!$A$2:$A$3000,0)),0)</f>
        <v>3.2</v>
      </c>
      <c r="F4" s="77" t="n">
        <f aca="false">C4*E4</f>
        <v>8.85028571428572</v>
      </c>
      <c r="G4" s="78" t="s">
        <v>2666</v>
      </c>
    </row>
    <row r="5" customFormat="false" ht="15.75" hidden="false" customHeight="false" outlineLevel="0" collapsed="false">
      <c r="A5" s="57" t="s">
        <v>1459</v>
      </c>
      <c r="B5" s="57" t="n">
        <v>3.52</v>
      </c>
      <c r="C5" s="58" t="n">
        <f aca="false">B5/B$23*B$25</f>
        <v>5.53142857142857</v>
      </c>
      <c r="D5" s="57" t="s">
        <v>434</v>
      </c>
      <c r="E5" s="59" t="n">
        <f aca="false">IFERROR(INDEX(Correspondance!$D$2:$D$3000,MATCH(A5,Correspondance!$A$2:$A$3000,0)),0)</f>
        <v>0</v>
      </c>
      <c r="F5" s="77" t="n">
        <f aca="false">C5*E5</f>
        <v>0</v>
      </c>
      <c r="G5" s="78"/>
      <c r="I5" s="62"/>
    </row>
    <row r="6" customFormat="false" ht="15.75" hidden="false" customHeight="false" outlineLevel="0" collapsed="false">
      <c r="A6" s="57" t="s">
        <v>1512</v>
      </c>
      <c r="B6" s="57" t="n">
        <v>0.616</v>
      </c>
      <c r="C6" s="58" t="n">
        <f aca="false">B6/B$23*B$25</f>
        <v>0.968</v>
      </c>
      <c r="D6" s="57" t="s">
        <v>434</v>
      </c>
      <c r="E6" s="59" t="n">
        <f aca="false">IFERROR(INDEX(Correspondance!$D$2:$D$3000,MATCH(A6,Correspondance!$A$2:$A$3000,0)),0)</f>
        <v>4</v>
      </c>
      <c r="F6" s="77" t="n">
        <f aca="false">C6*E6</f>
        <v>3.872</v>
      </c>
      <c r="G6" s="78"/>
      <c r="I6" s="63"/>
    </row>
    <row r="7" customFormat="false" ht="15.75" hidden="false" customHeight="false" outlineLevel="0" collapsed="false">
      <c r="A7" s="57" t="s">
        <v>1984</v>
      </c>
      <c r="B7" s="57" t="n">
        <v>0.792</v>
      </c>
      <c r="C7" s="58" t="n">
        <f aca="false">B7/B$23*B$25</f>
        <v>1.24457142857143</v>
      </c>
      <c r="D7" s="57" t="s">
        <v>434</v>
      </c>
      <c r="E7" s="59" t="n">
        <f aca="false">IFERROR(INDEX(Correspondance!$D$2:$D$3000,MATCH(A7,Correspondance!$A$2:$A$3000,0)),0)</f>
        <v>3</v>
      </c>
      <c r="F7" s="77" t="n">
        <f aca="false">C7*E7</f>
        <v>3.73371428571429</v>
      </c>
      <c r="G7" s="78"/>
      <c r="I7" s="63"/>
    </row>
    <row r="8" customFormat="false" ht="15.75" hidden="false" customHeight="false" outlineLevel="0" collapsed="false">
      <c r="A8" s="57" t="s">
        <v>1919</v>
      </c>
      <c r="B8" s="57" t="n">
        <v>0.044</v>
      </c>
      <c r="C8" s="58" t="n">
        <f aca="false">B8/B$23*B$25</f>
        <v>0.0691428571428571</v>
      </c>
      <c r="D8" s="57" t="s">
        <v>434</v>
      </c>
      <c r="E8" s="59" t="n">
        <f aca="false">IFERROR(INDEX(Correspondance!$D$2:$D$3000,MATCH(A8,Correspondance!$A$2:$A$3000,0)),0)</f>
        <v>2</v>
      </c>
      <c r="F8" s="77" t="n">
        <f aca="false">C8*E8</f>
        <v>0.138285714285714</v>
      </c>
      <c r="G8" s="78"/>
      <c r="I8" s="63"/>
    </row>
    <row r="9" customFormat="false" ht="15.75" hidden="false" customHeight="false" outlineLevel="0" collapsed="false">
      <c r="A9" s="57" t="s">
        <v>1796</v>
      </c>
      <c r="B9" s="57" t="n">
        <v>0.004</v>
      </c>
      <c r="C9" s="58" t="n">
        <f aca="false">B9/B$23*B$25</f>
        <v>0.00628571428571429</v>
      </c>
      <c r="D9" s="57" t="s">
        <v>434</v>
      </c>
      <c r="E9" s="59" t="n">
        <f aca="false">IFERROR(INDEX(Correspondance!$D$2:$D$3000,MATCH(A9,Correspondance!$A$2:$A$3000,0)),0)</f>
        <v>18</v>
      </c>
      <c r="F9" s="77" t="n">
        <f aca="false">C9*E9</f>
        <v>0.113142857142857</v>
      </c>
      <c r="G9" s="78"/>
      <c r="I9" s="63"/>
    </row>
    <row r="10" customFormat="false" ht="15.75" hidden="false" customHeight="false" outlineLevel="0" collapsed="false">
      <c r="A10" s="57"/>
      <c r="B10" s="57"/>
      <c r="C10" s="58" t="n">
        <f aca="false">B10/B$23*B$25</f>
        <v>0</v>
      </c>
      <c r="D10" s="57" t="s">
        <v>434</v>
      </c>
      <c r="E10" s="65"/>
      <c r="F10" s="77" t="n">
        <f aca="false">C10*E10</f>
        <v>0</v>
      </c>
      <c r="G10" s="78"/>
      <c r="I10" s="63"/>
    </row>
    <row r="11" customFormat="false" ht="15.75" hidden="false" customHeight="false" outlineLevel="0" collapsed="false">
      <c r="A11" s="57" t="s">
        <v>1627</v>
      </c>
      <c r="B11" s="57"/>
      <c r="C11" s="58" t="n">
        <f aca="false">B11/B$23*B$25</f>
        <v>0</v>
      </c>
      <c r="D11" s="57" t="s">
        <v>434</v>
      </c>
      <c r="E11" s="59" t="n">
        <f aca="false">IFERROR(INDEX(Correspondance!$D$2:$D$3000,MATCH(A11,Correspondance!$A$2:$A$3000,0)),0)</f>
        <v>0</v>
      </c>
      <c r="F11" s="77" t="n">
        <f aca="false">C11*E11</f>
        <v>0</v>
      </c>
      <c r="G11" s="78"/>
      <c r="I11" s="63"/>
    </row>
    <row r="12" customFormat="false" ht="15.75" hidden="false" customHeight="false" outlineLevel="0" collapsed="false">
      <c r="A12" s="57" t="s">
        <v>1543</v>
      </c>
      <c r="B12" s="57" t="n">
        <v>0.264</v>
      </c>
      <c r="C12" s="58" t="n">
        <f aca="false">B12/B$23*B$25</f>
        <v>0.414857142857143</v>
      </c>
      <c r="D12" s="57" t="s">
        <v>434</v>
      </c>
      <c r="E12" s="59" t="n">
        <f aca="false">IFERROR(INDEX(Correspondance!$D$2:$D$3000,MATCH(A12,Correspondance!$A$2:$A$3000,0)),0)</f>
        <v>13</v>
      </c>
      <c r="F12" s="77" t="n">
        <f aca="false">C12*E12</f>
        <v>5.39314285714286</v>
      </c>
      <c r="G12" s="78"/>
      <c r="I12" s="63"/>
    </row>
    <row r="13" customFormat="false" ht="18.75" hidden="false" customHeight="true" outlineLevel="0" collapsed="false">
      <c r="A13" s="57"/>
      <c r="B13" s="64"/>
      <c r="C13" s="58" t="n">
        <f aca="false">B13/B$23*B$25</f>
        <v>0</v>
      </c>
      <c r="D13" s="57"/>
      <c r="E13" s="65"/>
      <c r="F13" s="77" t="n">
        <f aca="false">C13*E13</f>
        <v>0</v>
      </c>
      <c r="G13" s="78"/>
      <c r="I13" s="63"/>
    </row>
    <row r="14" customFormat="false" ht="18.75" hidden="false" customHeight="true" outlineLevel="0" collapsed="false">
      <c r="A14" s="57"/>
      <c r="B14" s="64"/>
      <c r="C14" s="58" t="n">
        <f aca="false">B14/B$23*B$25</f>
        <v>0</v>
      </c>
      <c r="D14" s="57"/>
      <c r="E14" s="65"/>
      <c r="F14" s="77" t="n">
        <f aca="false">C14*E14</f>
        <v>0</v>
      </c>
      <c r="G14" s="78"/>
      <c r="I14" s="63"/>
    </row>
    <row r="15" customFormat="false" ht="15.75" hidden="false" customHeight="false" outlineLevel="0" collapsed="false">
      <c r="A15" s="57"/>
      <c r="B15" s="57"/>
      <c r="C15" s="58" t="n">
        <f aca="false">B15/B$23*B$25</f>
        <v>0</v>
      </c>
      <c r="D15" s="57"/>
      <c r="E15" s="65"/>
      <c r="F15" s="77" t="n">
        <f aca="false">C15*E15</f>
        <v>0</v>
      </c>
      <c r="G15" s="78"/>
      <c r="I15" s="63"/>
    </row>
    <row r="16" customFormat="false" ht="15.75" hidden="false" customHeight="false" outlineLevel="0" collapsed="false">
      <c r="A16" s="57"/>
      <c r="B16" s="57"/>
      <c r="C16" s="58" t="n">
        <f aca="false">B16/B$23*B$25</f>
        <v>0</v>
      </c>
      <c r="D16" s="57"/>
      <c r="E16" s="65"/>
      <c r="F16" s="77" t="n">
        <f aca="false">C16*E16</f>
        <v>0</v>
      </c>
      <c r="G16" s="78"/>
      <c r="I16" s="63"/>
    </row>
    <row r="17" customFormat="false" ht="15.75" hidden="false" customHeight="false" outlineLevel="0" collapsed="false">
      <c r="A17" s="57"/>
      <c r="B17" s="57"/>
      <c r="C17" s="58" t="n">
        <f aca="false">B17/B$23*B$25</f>
        <v>0</v>
      </c>
      <c r="D17" s="57"/>
      <c r="E17" s="65"/>
      <c r="F17" s="77" t="n">
        <f aca="false">C17*E17</f>
        <v>0</v>
      </c>
      <c r="G17" s="78"/>
      <c r="I17" s="63"/>
    </row>
    <row r="18" customFormat="false" ht="15.75" hidden="false" customHeight="false" outlineLevel="0" collapsed="false">
      <c r="A18" s="57"/>
      <c r="B18" s="57"/>
      <c r="C18" s="58" t="n">
        <f aca="false">B18/B$23*B$25</f>
        <v>0</v>
      </c>
      <c r="D18" s="57"/>
      <c r="E18" s="65"/>
      <c r="F18" s="77" t="n">
        <f aca="false">C18*E18</f>
        <v>0</v>
      </c>
      <c r="G18" s="78"/>
      <c r="I18" s="63"/>
    </row>
    <row r="19" customFormat="false" ht="15.75" hidden="false" customHeight="false" outlineLevel="0" collapsed="false">
      <c r="A19" s="57"/>
      <c r="B19" s="57"/>
      <c r="C19" s="58" t="n">
        <f aca="false">B19/B$23*B$25</f>
        <v>0</v>
      </c>
      <c r="D19" s="57"/>
      <c r="E19" s="65"/>
      <c r="F19" s="77" t="n">
        <f aca="false">C19*E19</f>
        <v>0</v>
      </c>
      <c r="G19" s="78"/>
      <c r="I19" s="63"/>
    </row>
    <row r="20" customFormat="false" ht="15.75" hidden="false" customHeight="false" outlineLevel="0" collapsed="false">
      <c r="C20" s="66"/>
      <c r="F20" s="67" t="n">
        <f aca="false">SUM(F4:F19)</f>
        <v>22.1005714285714</v>
      </c>
      <c r="G20" s="78"/>
      <c r="I20" s="63"/>
    </row>
    <row r="21" customFormat="false" ht="18.75" hidden="false" customHeight="true" outlineLevel="0" collapsed="false">
      <c r="A21" s="68" t="s">
        <v>2628</v>
      </c>
      <c r="B21" s="69" t="n">
        <f aca="false">F20/B25</f>
        <v>0.200914285714286</v>
      </c>
      <c r="C21" s="70"/>
      <c r="G21" s="78"/>
      <c r="I21" s="63"/>
    </row>
    <row r="22" customFormat="false" ht="15.75" hidden="false" customHeight="false" outlineLevel="0" collapsed="false">
      <c r="A22" s="71" t="s">
        <v>2629</v>
      </c>
      <c r="B22" s="71" t="n">
        <f aca="false">SUM(B4:B19)</f>
        <v>7</v>
      </c>
      <c r="C22" s="66"/>
      <c r="G22" s="78"/>
      <c r="I22" s="63"/>
    </row>
    <row r="23" customFormat="false" ht="15.75" hidden="false" customHeight="false" outlineLevel="0" collapsed="false">
      <c r="A23" s="0" t="s">
        <v>2630</v>
      </c>
      <c r="B23" s="72" t="n">
        <f aca="false">B22/B24</f>
        <v>70</v>
      </c>
      <c r="C23" s="66"/>
      <c r="G23" s="78"/>
      <c r="I23" s="63"/>
    </row>
    <row r="24" customFormat="false" ht="15.75" hidden="false" customHeight="false" outlineLevel="0" collapsed="false">
      <c r="A24" s="0" t="s">
        <v>2631</v>
      </c>
      <c r="B24" s="0" t="n">
        <v>0.1</v>
      </c>
      <c r="C24" s="79" t="s">
        <v>2632</v>
      </c>
      <c r="G24" s="78"/>
      <c r="I24" s="63"/>
    </row>
    <row r="25" customFormat="false" ht="18.75" hidden="false" customHeight="true" outlineLevel="0" collapsed="false">
      <c r="A25" s="74" t="s">
        <v>2633</v>
      </c>
      <c r="B25" s="74" t="n">
        <f aca="false">Paramètres!$B$5</f>
        <v>110</v>
      </c>
      <c r="C25" s="79" t="s">
        <v>2634</v>
      </c>
      <c r="G25" s="78"/>
      <c r="I25" s="63"/>
    </row>
    <row r="26" customFormat="false" ht="15.75" hidden="false" customHeight="false" outlineLevel="0" collapsed="false">
      <c r="I26" s="63"/>
    </row>
  </sheetData>
  <mergeCells count="5">
    <mergeCell ref="A1:D2"/>
    <mergeCell ref="E1:F1"/>
    <mergeCell ref="G1:G3"/>
    <mergeCell ref="E2:F2"/>
    <mergeCell ref="G4:G2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39</v>
      </c>
      <c r="B1" s="50"/>
      <c r="C1" s="50"/>
      <c r="D1" s="50"/>
      <c r="E1" s="51" t="s">
        <v>2619</v>
      </c>
      <c r="F1" s="51"/>
      <c r="G1" s="52" t="s">
        <v>2667</v>
      </c>
    </row>
    <row r="2" customFormat="false" ht="24.75" hidden="false" customHeight="true" outlineLevel="0" collapsed="false">
      <c r="A2" s="50"/>
      <c r="B2" s="50"/>
      <c r="C2" s="50"/>
      <c r="D2" s="50"/>
      <c r="E2" s="53" t="s">
        <v>2636</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917</v>
      </c>
      <c r="B4" s="57" t="n">
        <v>2.35</v>
      </c>
      <c r="C4" s="58" t="n">
        <f aca="false">B4/B$22*B$24</f>
        <v>3.6969196919692</v>
      </c>
      <c r="D4" s="57" t="s">
        <v>434</v>
      </c>
      <c r="E4" s="59" t="n">
        <f aca="false">IFERROR(INDEX(Correspondance!$D$2:$D$3000,MATCH(A4,Correspondance!$A$2:$A$3000,0)),0)</f>
        <v>1.8</v>
      </c>
      <c r="F4" s="60" t="n">
        <f aca="false">C4*E4</f>
        <v>6.65445544554456</v>
      </c>
      <c r="G4" s="61" t="s">
        <v>2668</v>
      </c>
    </row>
    <row r="5" customFormat="false" ht="15.75" hidden="false" customHeight="false" outlineLevel="0" collapsed="false">
      <c r="A5" s="57" t="s">
        <v>907</v>
      </c>
      <c r="B5" s="57" t="n">
        <v>1.88</v>
      </c>
      <c r="C5" s="58" t="n">
        <f aca="false">B5/B$22*B$24</f>
        <v>2.95753575357536</v>
      </c>
      <c r="D5" s="57" t="s">
        <v>434</v>
      </c>
      <c r="E5" s="59" t="n">
        <f aca="false">IFERROR(INDEX(Correspondance!$D$2:$D$3000,MATCH(A5,Correspondance!$A$2:$A$3000,0)),0)</f>
        <v>2.3</v>
      </c>
      <c r="F5" s="60" t="n">
        <f aca="false">C5*E5</f>
        <v>6.80233223322332</v>
      </c>
      <c r="G5" s="61"/>
      <c r="I5" s="62"/>
    </row>
    <row r="6" customFormat="false" ht="15.75" hidden="false" customHeight="false" outlineLevel="0" collapsed="false">
      <c r="A6" s="57" t="s">
        <v>977</v>
      </c>
      <c r="B6" s="57" t="n">
        <v>1.41</v>
      </c>
      <c r="C6" s="58" t="n">
        <f aca="false">B6/B$22*B$24</f>
        <v>2.21815181518152</v>
      </c>
      <c r="D6" s="57" t="s">
        <v>434</v>
      </c>
      <c r="E6" s="59" t="n">
        <f aca="false">IFERROR(INDEX(Correspondance!$D$2:$D$3000,MATCH(A6,Correspondance!$A$2:$A$3000,0)),0)</f>
        <v>2.2</v>
      </c>
      <c r="F6" s="60" t="n">
        <f aca="false">C6*E6</f>
        <v>4.87993399339934</v>
      </c>
      <c r="G6" s="61"/>
      <c r="I6" s="63"/>
    </row>
    <row r="7" customFormat="false" ht="15.75" hidden="false" customHeight="false" outlineLevel="0" collapsed="false">
      <c r="A7" s="57" t="s">
        <v>745</v>
      </c>
      <c r="B7" s="57" t="n">
        <v>1.88</v>
      </c>
      <c r="C7" s="58" t="n">
        <f aca="false">B7/B$22*B$24</f>
        <v>2.95753575357536</v>
      </c>
      <c r="D7" s="57" t="s">
        <v>682</v>
      </c>
      <c r="E7" s="59" t="n">
        <f aca="false">IFERROR(INDEX(Correspondance!$D$2:$D$3000,MATCH(A7,Correspondance!$A$2:$A$3000,0)),0)</f>
        <v>3.8</v>
      </c>
      <c r="F7" s="60" t="n">
        <f aca="false">C7*E7</f>
        <v>11.2386358635864</v>
      </c>
      <c r="G7" s="61"/>
      <c r="I7" s="63"/>
    </row>
    <row r="8" customFormat="false" ht="15.75" hidden="false" customHeight="false" outlineLevel="0" collapsed="false">
      <c r="A8" s="57" t="s">
        <v>1576</v>
      </c>
      <c r="B8" s="57" t="n">
        <v>1.41</v>
      </c>
      <c r="C8" s="58" t="n">
        <f aca="false">B8/B$22*B$24</f>
        <v>2.21815181518152</v>
      </c>
      <c r="D8" s="57" t="s">
        <v>682</v>
      </c>
      <c r="E8" s="59" t="n">
        <f aca="false">IFERROR(INDEX(Correspondance!$D$2:$D$3000,MATCH(A8,Correspondance!$A$2:$A$3000,0)),0)</f>
        <v>5.5</v>
      </c>
      <c r="F8" s="60" t="n">
        <f aca="false">C8*E8</f>
        <v>12.1998349834983</v>
      </c>
      <c r="G8" s="61"/>
      <c r="I8" s="63"/>
    </row>
    <row r="9" customFormat="false" ht="15.75" hidden="false" customHeight="false" outlineLevel="0" collapsed="false">
      <c r="A9" s="57" t="s">
        <v>1084</v>
      </c>
      <c r="B9" s="57" t="n">
        <v>0.094</v>
      </c>
      <c r="C9" s="58" t="n">
        <f aca="false">B9/B$22*B$24</f>
        <v>0.147876787678768</v>
      </c>
      <c r="D9" s="57" t="s">
        <v>434</v>
      </c>
      <c r="E9" s="59" t="n">
        <f aca="false">IFERROR(INDEX(Correspondance!$D$2:$D$3000,MATCH(A9,Correspondance!$A$2:$A$3000,0)),0)</f>
        <v>2.2</v>
      </c>
      <c r="F9" s="60" t="n">
        <f aca="false">C9*E9</f>
        <v>0.325328932893289</v>
      </c>
      <c r="G9" s="61"/>
      <c r="I9" s="63"/>
    </row>
    <row r="10" customFormat="false" ht="15.75" hidden="false" customHeight="false" outlineLevel="0" collapsed="false">
      <c r="A10" s="57" t="s">
        <v>1919</v>
      </c>
      <c r="B10" s="57" t="n">
        <v>0.066</v>
      </c>
      <c r="C10" s="58" t="n">
        <f aca="false">B10/B$22*B$24</f>
        <v>0.103828382838284</v>
      </c>
      <c r="D10" s="57" t="s">
        <v>434</v>
      </c>
      <c r="E10" s="59" t="n">
        <f aca="false">IFERROR(INDEX(Correspondance!$D$2:$D$3000,MATCH(A10,Correspondance!$A$2:$A$3000,0)),0)</f>
        <v>2</v>
      </c>
      <c r="F10" s="60" t="n">
        <f aca="false">C10*E10</f>
        <v>0.207656765676568</v>
      </c>
      <c r="G10" s="61"/>
      <c r="I10" s="63"/>
    </row>
    <row r="11" customFormat="false" ht="15.75" hidden="false" customHeight="false" outlineLevel="0" collapsed="false">
      <c r="A11" s="57" t="s">
        <v>1814</v>
      </c>
      <c r="B11" s="57"/>
      <c r="C11" s="58" t="n">
        <f aca="false">B11/B$22*B$24</f>
        <v>0</v>
      </c>
      <c r="D11" s="57" t="s">
        <v>434</v>
      </c>
      <c r="E11" s="59" t="n">
        <f aca="false">IFERROR(INDEX(Correspondance!$D$2:$D$3000,MATCH(A11,Correspondance!$A$2:$A$3000,0)),0)</f>
        <v>18</v>
      </c>
      <c r="F11" s="60" t="n">
        <f aca="false">C11*E11</f>
        <v>0</v>
      </c>
      <c r="G11" s="61"/>
      <c r="I11" s="63"/>
    </row>
    <row r="12" customFormat="false" ht="18.75" hidden="false" customHeight="true" outlineLevel="0" collapsed="false">
      <c r="A12" s="57" t="s">
        <v>1732</v>
      </c>
      <c r="B12" s="64"/>
      <c r="C12" s="58" t="n">
        <f aca="false">B12/B$22*B$24</f>
        <v>0</v>
      </c>
      <c r="D12" s="57" t="s">
        <v>434</v>
      </c>
      <c r="E12" s="59" t="n">
        <f aca="false">IFERROR(INDEX(Correspondance!$D$2:$D$3000,MATCH(A12,Correspondance!$A$2:$A$3000,0)),0)</f>
        <v>30</v>
      </c>
      <c r="F12" s="60" t="n">
        <f aca="false">C12*E12</f>
        <v>0</v>
      </c>
      <c r="G12" s="61"/>
      <c r="I12" s="63"/>
    </row>
    <row r="13" customFormat="false" ht="18.75" hidden="false" customHeight="true" outlineLevel="0" collapsed="false">
      <c r="A13" s="57" t="s">
        <v>1539</v>
      </c>
      <c r="B13" s="64"/>
      <c r="C13" s="58" t="n">
        <f aca="false">B13/B$22*B$24</f>
        <v>0</v>
      </c>
      <c r="D13" s="57" t="s">
        <v>434</v>
      </c>
      <c r="E13" s="59" t="n">
        <f aca="false">IFERROR(INDEX(Correspondance!$D$2:$D$3000,MATCH(A13,Correspondance!$A$2:$A$3000,0)),0)</f>
        <v>13</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42.3081782178218</v>
      </c>
      <c r="G19" s="61"/>
      <c r="I19" s="63"/>
    </row>
    <row r="20" customFormat="false" ht="18.75" hidden="false" customHeight="true" outlineLevel="0" collapsed="false">
      <c r="A20" s="68" t="s">
        <v>2628</v>
      </c>
      <c r="B20" s="69" t="n">
        <f aca="false">F19/B24</f>
        <v>0.384619801980198</v>
      </c>
      <c r="C20" s="70"/>
      <c r="G20" s="61"/>
      <c r="I20" s="63"/>
    </row>
    <row r="21" customFormat="false" ht="15.75" hidden="false" customHeight="false" outlineLevel="0" collapsed="false">
      <c r="A21" s="71" t="s">
        <v>2629</v>
      </c>
      <c r="B21" s="71" t="n">
        <f aca="false">SUM(B3:B18)</f>
        <v>9.09</v>
      </c>
      <c r="C21" s="66"/>
      <c r="G21" s="61"/>
      <c r="I21" s="63"/>
    </row>
    <row r="22" customFormat="false" ht="15.75" hidden="false" customHeight="false" outlineLevel="0" collapsed="false">
      <c r="A22" s="0" t="s">
        <v>2630</v>
      </c>
      <c r="B22" s="72" t="n">
        <f aca="false">B21/B23</f>
        <v>69.9230769230769</v>
      </c>
      <c r="C22" s="66"/>
      <c r="G22" s="61"/>
      <c r="I22" s="63"/>
    </row>
    <row r="23" customFormat="false" ht="15.75" hidden="false" customHeight="false" outlineLevel="0" collapsed="false">
      <c r="A23" s="0" t="s">
        <v>2631</v>
      </c>
      <c r="B23" s="0" t="n">
        <v>0.13</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41</v>
      </c>
      <c r="B1" s="50"/>
      <c r="C1" s="50"/>
      <c r="D1" s="50"/>
      <c r="E1" s="51" t="s">
        <v>2619</v>
      </c>
      <c r="F1" s="51"/>
      <c r="G1" s="52" t="s">
        <v>2669</v>
      </c>
    </row>
    <row r="2" customFormat="false" ht="24.75" hidden="false" customHeight="true" outlineLevel="0" collapsed="false">
      <c r="A2" s="50"/>
      <c r="B2" s="50"/>
      <c r="C2" s="50"/>
      <c r="D2" s="50"/>
      <c r="E2" s="53" t="s">
        <v>2636</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1159</v>
      </c>
      <c r="B4" s="57" t="n">
        <v>1.47</v>
      </c>
      <c r="C4" s="58" t="n">
        <f aca="false">B4/B$22*B$24</f>
        <v>2.31027503274199</v>
      </c>
      <c r="D4" s="57" t="s">
        <v>434</v>
      </c>
      <c r="E4" s="59" t="n">
        <f aca="false">IFERROR(INDEX(Correspondance!$D$2:$D$3000,MATCH(A4,Correspondance!$A$2:$A$3000,0)),0)</f>
        <v>3.2</v>
      </c>
      <c r="F4" s="60" t="n">
        <f aca="false">C4*E4</f>
        <v>7.39288010477438</v>
      </c>
      <c r="G4" s="61" t="s">
        <v>2670</v>
      </c>
    </row>
    <row r="5" customFormat="false" ht="15.75" hidden="false" customHeight="false" outlineLevel="0" collapsed="false">
      <c r="A5" s="57" t="s">
        <v>1459</v>
      </c>
      <c r="B5" s="57" t="n">
        <v>4.41</v>
      </c>
      <c r="C5" s="58" t="n">
        <f aca="false">B5/B$22*B$24</f>
        <v>6.93082509822598</v>
      </c>
      <c r="D5" s="57" t="s">
        <v>682</v>
      </c>
      <c r="E5" s="59" t="n">
        <f aca="false">IFERROR(INDEX(Correspondance!$D$2:$D$3000,MATCH(A5,Correspondance!$A$2:$A$3000,0)),0)</f>
        <v>0</v>
      </c>
      <c r="F5" s="60" t="n">
        <f aca="false">C5*E5</f>
        <v>0</v>
      </c>
      <c r="G5" s="61"/>
      <c r="I5" s="62"/>
    </row>
    <row r="6" customFormat="false" ht="15.75" hidden="false" customHeight="false" outlineLevel="0" collapsed="false">
      <c r="A6" s="57" t="s">
        <v>1919</v>
      </c>
      <c r="B6" s="57" t="n">
        <v>0.049</v>
      </c>
      <c r="C6" s="58" t="n">
        <f aca="false">B6/B$22*B$24</f>
        <v>0.0770091677580664</v>
      </c>
      <c r="D6" s="57" t="s">
        <v>434</v>
      </c>
      <c r="E6" s="59" t="n">
        <f aca="false">IFERROR(INDEX(Correspondance!$D$2:$D$3000,MATCH(A6,Correspondance!$A$2:$A$3000,0)),0)</f>
        <v>2</v>
      </c>
      <c r="F6" s="60" t="n">
        <f aca="false">C6*E6</f>
        <v>0.154018335516133</v>
      </c>
      <c r="G6" s="61"/>
      <c r="I6" s="63"/>
    </row>
    <row r="7" customFormat="false" ht="15.75" hidden="false" customHeight="false" outlineLevel="0" collapsed="false">
      <c r="A7" s="57" t="s">
        <v>1496</v>
      </c>
      <c r="B7" s="57"/>
      <c r="C7" s="58" t="n">
        <f aca="false">B7/B$22*B$24</f>
        <v>0</v>
      </c>
      <c r="D7" s="57" t="s">
        <v>434</v>
      </c>
      <c r="E7" s="59" t="n">
        <f aca="false">IFERROR(INDEX(Correspondance!$D$2:$D$3000,MATCH(A7,Correspondance!$A$2:$A$3000,0)),0)</f>
        <v>3</v>
      </c>
      <c r="F7" s="60" t="n">
        <f aca="false">C7*E7</f>
        <v>0</v>
      </c>
      <c r="G7" s="61"/>
      <c r="I7" s="63"/>
    </row>
    <row r="8" customFormat="false" ht="15.75" hidden="false" customHeight="false" outlineLevel="0" collapsed="false">
      <c r="A8" s="57" t="s">
        <v>1959</v>
      </c>
      <c r="B8" s="57" t="n">
        <v>0.98</v>
      </c>
      <c r="C8" s="58" t="n">
        <f aca="false">B8/B$22*B$24</f>
        <v>1.54018335516133</v>
      </c>
      <c r="D8" s="57" t="s">
        <v>434</v>
      </c>
      <c r="E8" s="59" t="n">
        <f aca="false">IFERROR(INDEX(Correspondance!$D$2:$D$3000,MATCH(A8,Correspondance!$A$2:$A$3000,0)),0)</f>
        <v>1.5</v>
      </c>
      <c r="F8" s="60" t="n">
        <f aca="false">C8*E8</f>
        <v>2.31027503274199</v>
      </c>
      <c r="G8" s="61"/>
      <c r="I8" s="63"/>
    </row>
    <row r="9" customFormat="false" ht="15.75" hidden="false" customHeight="false" outlineLevel="0" collapsed="false">
      <c r="A9" s="57" t="s">
        <v>1022</v>
      </c>
      <c r="B9" s="57" t="n">
        <v>0.49</v>
      </c>
      <c r="C9" s="58" t="n">
        <f aca="false">B9/B$22*B$24</f>
        <v>0.770091677580664</v>
      </c>
      <c r="D9" s="57" t="s">
        <v>434</v>
      </c>
      <c r="E9" s="59" t="n">
        <f aca="false">IFERROR(INDEX(Correspondance!$D$2:$D$3000,MATCH(A9,Correspondance!$A$2:$A$3000,0)),0)</f>
        <v>3</v>
      </c>
      <c r="F9" s="60" t="n">
        <f aca="false">C9*E9</f>
        <v>2.31027503274199</v>
      </c>
      <c r="G9" s="61"/>
      <c r="I9" s="63"/>
    </row>
    <row r="10" customFormat="false" ht="15.75" hidden="false" customHeight="false" outlineLevel="0" collapsed="false">
      <c r="A10" s="57" t="s">
        <v>1747</v>
      </c>
      <c r="B10" s="57" t="n">
        <v>0.294</v>
      </c>
      <c r="C10" s="58" t="n">
        <f aca="false">B10/B$22*B$24</f>
        <v>0.462055006548399</v>
      </c>
      <c r="D10" s="57" t="s">
        <v>434</v>
      </c>
      <c r="E10" s="59" t="n">
        <f aca="false">IFERROR(INDEX(Correspondance!$D$2:$D$3000,MATCH(A10,Correspondance!$A$2:$A$3000,0)),0)</f>
        <v>1.8</v>
      </c>
      <c r="F10" s="60" t="n">
        <f aca="false">C10*E10</f>
        <v>0.831699011787118</v>
      </c>
      <c r="G10" s="61"/>
      <c r="I10" s="63"/>
    </row>
    <row r="11" customFormat="false" ht="15.75" hidden="false" customHeight="false" outlineLevel="0" collapsed="false">
      <c r="A11" s="57" t="s">
        <v>1120</v>
      </c>
      <c r="B11" s="57" t="n">
        <v>0.392</v>
      </c>
      <c r="C11" s="58" t="n">
        <f aca="false">B11/B$22*B$24</f>
        <v>0.616073342064532</v>
      </c>
      <c r="D11" s="57" t="s">
        <v>682</v>
      </c>
      <c r="E11" s="59" t="n">
        <f aca="false">IFERROR(INDEX(Correspondance!$D$2:$D$3000,MATCH(A11,Correspondance!$A$2:$A$3000,0)),0)</f>
        <v>7.5</v>
      </c>
      <c r="F11" s="60" t="n">
        <f aca="false">C11*E11</f>
        <v>4.62055006548399</v>
      </c>
      <c r="G11" s="61"/>
      <c r="I11" s="63"/>
    </row>
    <row r="12" customFormat="false" ht="18.75" hidden="false" customHeight="true" outlineLevel="0" collapsed="false">
      <c r="A12" s="57" t="s">
        <v>1291</v>
      </c>
      <c r="B12" s="64" t="n">
        <v>0.294</v>
      </c>
      <c r="C12" s="58" t="n">
        <f aca="false">B12/B$22*B$24</f>
        <v>0.462055006548399</v>
      </c>
      <c r="D12" s="57" t="s">
        <v>682</v>
      </c>
      <c r="E12" s="59" t="n">
        <f aca="false">IFERROR(INDEX(Correspondance!$D$2:$D$3000,MATCH(A12,Correspondance!$A$2:$A$3000,0)),0)</f>
        <v>2.5</v>
      </c>
      <c r="F12" s="60" t="n">
        <f aca="false">C12*E12</f>
        <v>1.155137516371</v>
      </c>
      <c r="G12" s="61"/>
      <c r="I12" s="63"/>
    </row>
    <row r="13" customFormat="false" ht="18.75" hidden="false" customHeight="true" outlineLevel="0" collapsed="false">
      <c r="A13" s="57" t="s">
        <v>1265</v>
      </c>
      <c r="B13" s="64" t="n">
        <v>0.02</v>
      </c>
      <c r="C13" s="58" t="n">
        <f aca="false">B13/B$22*B$24</f>
        <v>0.0314323133706394</v>
      </c>
      <c r="D13" s="57" t="s">
        <v>434</v>
      </c>
      <c r="E13" s="59" t="n">
        <f aca="false">IFERROR(INDEX(Correspondance!$D$2:$D$3000,MATCH(A13,Correspondance!$A$2:$A$3000,0)),0)</f>
        <v>12</v>
      </c>
      <c r="F13" s="60" t="n">
        <f aca="false">C13*E13</f>
        <v>0.377187760447672</v>
      </c>
      <c r="G13" s="61"/>
      <c r="I13" s="63"/>
    </row>
    <row r="14" customFormat="false" ht="15.75" hidden="false" customHeight="false" outlineLevel="0" collapsed="false">
      <c r="A14" s="57" t="s">
        <v>1814</v>
      </c>
      <c r="B14" s="57"/>
      <c r="C14" s="58" t="n">
        <f aca="false">B14/B$22*B$24</f>
        <v>0</v>
      </c>
      <c r="D14" s="57" t="s">
        <v>434</v>
      </c>
      <c r="E14" s="59" t="n">
        <f aca="false">IFERROR(INDEX(Correspondance!$D$2:$D$3000,MATCH(A14,Correspondance!$A$2:$A$3000,0)),0)</f>
        <v>18</v>
      </c>
      <c r="F14" s="60" t="n">
        <f aca="false">C14*E14</f>
        <v>0</v>
      </c>
      <c r="G14" s="61"/>
      <c r="I14" s="63"/>
    </row>
    <row r="15" customFormat="false" ht="15.75" hidden="false" customHeight="false" outlineLevel="0" collapsed="false">
      <c r="A15" s="57" t="s">
        <v>1564</v>
      </c>
      <c r="B15" s="57"/>
      <c r="C15" s="58" t="n">
        <f aca="false">B15/B$22*B$24</f>
        <v>0</v>
      </c>
      <c r="D15" s="57" t="s">
        <v>434</v>
      </c>
      <c r="E15" s="59" t="n">
        <f aca="false">IFERROR(INDEX(Correspondance!$D$2:$D$3000,MATCH(A15,Correspondance!$A$2:$A$3000,0)),0)</f>
        <v>13</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19.1520228598643</v>
      </c>
      <c r="G19" s="61"/>
      <c r="I19" s="63"/>
    </row>
    <row r="20" customFormat="false" ht="18.75" hidden="false" customHeight="true" outlineLevel="0" collapsed="false">
      <c r="A20" s="68" t="s">
        <v>2628</v>
      </c>
      <c r="B20" s="69" t="n">
        <f aca="false">F19/B24</f>
        <v>0.174109298726039</v>
      </c>
      <c r="C20" s="70"/>
      <c r="G20" s="61"/>
      <c r="I20" s="63"/>
    </row>
    <row r="21" customFormat="false" ht="15.75" hidden="false" customHeight="false" outlineLevel="0" collapsed="false">
      <c r="A21" s="71" t="s">
        <v>2629</v>
      </c>
      <c r="B21" s="71" t="n">
        <f aca="false">SUM(B3:B18)</f>
        <v>8.399</v>
      </c>
      <c r="C21" s="66"/>
      <c r="G21" s="61"/>
      <c r="I21" s="63"/>
    </row>
    <row r="22" customFormat="false" ht="15.75" hidden="false" customHeight="false" outlineLevel="0" collapsed="false">
      <c r="A22" s="0" t="s">
        <v>2630</v>
      </c>
      <c r="B22" s="72" t="n">
        <f aca="false">B21/B23</f>
        <v>69.9916666666667</v>
      </c>
      <c r="C22" s="66"/>
      <c r="G22" s="61"/>
      <c r="I22" s="63"/>
    </row>
    <row r="23" customFormat="false" ht="15.75" hidden="false" customHeight="false" outlineLevel="0" collapsed="false">
      <c r="A23" s="0" t="s">
        <v>2631</v>
      </c>
      <c r="B23" s="0" t="n">
        <v>0.12</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42</v>
      </c>
      <c r="B1" s="50"/>
      <c r="C1" s="50"/>
      <c r="D1" s="50"/>
      <c r="E1" s="51" t="s">
        <v>2619</v>
      </c>
      <c r="F1" s="51"/>
      <c r="G1" s="52" t="s">
        <v>2671</v>
      </c>
    </row>
    <row r="2" customFormat="false" ht="24.75" hidden="false" customHeight="true" outlineLevel="0" collapsed="false">
      <c r="A2" s="50"/>
      <c r="B2" s="50"/>
      <c r="C2" s="50"/>
      <c r="D2" s="50"/>
      <c r="E2" s="53" t="s">
        <v>2621</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1707</v>
      </c>
      <c r="B4" s="57" t="n">
        <v>5.34</v>
      </c>
      <c r="C4" s="58" t="n">
        <f aca="false">B4/B$22*B$24</f>
        <v>8.38424207821867</v>
      </c>
      <c r="D4" s="57" t="s">
        <v>434</v>
      </c>
      <c r="E4" s="59" t="n">
        <f aca="false">IFERROR(INDEX(Correspondance!$D$2:$D$3000,MATCH(A4,Correspondance!$A$2:$A$3000,0)),0)</f>
        <v>2</v>
      </c>
      <c r="F4" s="60" t="n">
        <f aca="false">C4*E4</f>
        <v>16.7684841564373</v>
      </c>
      <c r="G4" s="61" t="s">
        <v>2672</v>
      </c>
    </row>
    <row r="5" customFormat="false" ht="15.75" hidden="false" customHeight="false" outlineLevel="0" collapsed="false">
      <c r="A5" s="57" t="s">
        <v>1709</v>
      </c>
      <c r="B5" s="57" t="n">
        <v>1.07</v>
      </c>
      <c r="C5" s="58" t="n">
        <f aca="false">B5/B$22*B$24</f>
        <v>1.6799885812161</v>
      </c>
      <c r="D5" s="57" t="s">
        <v>434</v>
      </c>
      <c r="E5" s="59" t="n">
        <f aca="false">IFERROR(INDEX(Correspondance!$D$2:$D$3000,MATCH(A5,Correspondance!$A$2:$A$3000,0)),0)</f>
        <v>4.5</v>
      </c>
      <c r="F5" s="60" t="n">
        <f aca="false">C5*E5</f>
        <v>7.55994861547245</v>
      </c>
      <c r="G5" s="61"/>
      <c r="I5" s="62"/>
    </row>
    <row r="6" customFormat="false" ht="15.75" hidden="false" customHeight="false" outlineLevel="0" collapsed="false">
      <c r="A6" s="57" t="s">
        <v>741</v>
      </c>
      <c r="B6" s="57" t="n">
        <v>0.445</v>
      </c>
      <c r="C6" s="58" t="n">
        <f aca="false">B6/B$22*B$24</f>
        <v>0.698686839851556</v>
      </c>
      <c r="D6" s="57" t="s">
        <v>434</v>
      </c>
      <c r="E6" s="59" t="n">
        <f aca="false">IFERROR(INDEX(Correspondance!$D$2:$D$3000,MATCH(A6,Correspondance!$A$2:$A$3000,0)),0)</f>
        <v>5.6</v>
      </c>
      <c r="F6" s="60" t="n">
        <f aca="false">C6*E6</f>
        <v>3.91264630316871</v>
      </c>
      <c r="G6" s="61"/>
      <c r="I6" s="63"/>
    </row>
    <row r="7" customFormat="false" ht="15.75" hidden="false" customHeight="false" outlineLevel="0" collapsed="false">
      <c r="A7" s="57" t="s">
        <v>1725</v>
      </c>
      <c r="B7" s="57" t="n">
        <v>0.044</v>
      </c>
      <c r="C7" s="58" t="n">
        <f aca="false">B7/B$22*B$24</f>
        <v>0.0690836425920639</v>
      </c>
      <c r="D7" s="57" t="s">
        <v>434</v>
      </c>
      <c r="E7" s="59" t="n">
        <f aca="false">IFERROR(INDEX(Correspondance!$D$2:$D$3000,MATCH(A7,Correspondance!$A$2:$A$3000,0)),0)</f>
        <v>9</v>
      </c>
      <c r="F7" s="60" t="n">
        <f aca="false">C7*E7</f>
        <v>0.621752783328575</v>
      </c>
      <c r="G7" s="61"/>
      <c r="I7" s="63"/>
    </row>
    <row r="8" customFormat="false" ht="15.75" hidden="false" customHeight="false" outlineLevel="0" collapsed="false">
      <c r="A8" s="57" t="s">
        <v>1291</v>
      </c>
      <c r="B8" s="57" t="n">
        <v>0.089</v>
      </c>
      <c r="C8" s="58" t="n">
        <f aca="false">B8/B$22*B$24</f>
        <v>0.139737367970311</v>
      </c>
      <c r="D8" s="57" t="s">
        <v>682</v>
      </c>
      <c r="E8" s="59" t="n">
        <f aca="false">IFERROR(INDEX(Correspondance!$D$2:$D$3000,MATCH(A8,Correspondance!$A$2:$A$3000,0)),0)</f>
        <v>2.5</v>
      </c>
      <c r="F8" s="60" t="n">
        <f aca="false">C8*E8</f>
        <v>0.349343419925778</v>
      </c>
      <c r="G8" s="61"/>
      <c r="I8" s="63"/>
    </row>
    <row r="9" customFormat="false" ht="15.75" hidden="false" customHeight="false" outlineLevel="0" collapsed="false">
      <c r="A9" s="57" t="s">
        <v>1919</v>
      </c>
      <c r="B9" s="57" t="n">
        <v>0.018</v>
      </c>
      <c r="C9" s="58" t="n">
        <f aca="false">B9/B$22*B$24</f>
        <v>0.0282614901512989</v>
      </c>
      <c r="D9" s="57" t="s">
        <v>434</v>
      </c>
      <c r="E9" s="59" t="n">
        <f aca="false">IFERROR(INDEX(Correspondance!$D$2:$D$3000,MATCH(A9,Correspondance!$A$2:$A$3000,0)),0)</f>
        <v>2</v>
      </c>
      <c r="F9" s="60" t="n">
        <f aca="false">C9*E9</f>
        <v>0.0565229803025978</v>
      </c>
      <c r="G9" s="61"/>
      <c r="I9" s="63"/>
    </row>
    <row r="10" customFormat="false" ht="15.75" hidden="false" customHeight="false" outlineLevel="0" collapsed="false">
      <c r="A10" s="57" t="s">
        <v>1814</v>
      </c>
      <c r="B10" s="57"/>
      <c r="C10" s="58" t="n">
        <f aca="false">B10/B$22*B$24</f>
        <v>0</v>
      </c>
      <c r="D10" s="57" t="s">
        <v>434</v>
      </c>
      <c r="E10" s="59" t="n">
        <f aca="false">IFERROR(INDEX(Correspondance!$D$2:$D$3000,MATCH(A10,Correspondance!$A$2:$A$3000,0)),0)</f>
        <v>18</v>
      </c>
      <c r="F10" s="60" t="n">
        <f aca="false">C10*E10</f>
        <v>0</v>
      </c>
      <c r="G10" s="61"/>
      <c r="I10" s="63"/>
    </row>
    <row r="11" customFormat="false" ht="15.75" hidden="false" customHeight="false" outlineLevel="0" collapsed="false">
      <c r="A11" s="57" t="s">
        <v>1776</v>
      </c>
      <c r="B11" s="57"/>
      <c r="C11" s="58" t="n">
        <f aca="false">B11/B$22*B$24</f>
        <v>0</v>
      </c>
      <c r="D11" s="57" t="s">
        <v>434</v>
      </c>
      <c r="E11" s="59" t="n">
        <f aca="false">IFERROR(INDEX(Correspondance!$D$2:$D$3000,MATCH(A11,Correspondance!$A$2:$A$3000,0)),0)</f>
        <v>8</v>
      </c>
      <c r="F11" s="60" t="n">
        <f aca="false">C11*E11</f>
        <v>0</v>
      </c>
      <c r="G11" s="61"/>
      <c r="I11" s="63"/>
    </row>
    <row r="12" customFormat="false" ht="18.75" hidden="false" customHeight="true" outlineLevel="0" collapsed="false">
      <c r="A12" s="57"/>
      <c r="B12" s="64"/>
      <c r="C12" s="58" t="n">
        <f aca="false">B12/B$22*B$24</f>
        <v>0</v>
      </c>
      <c r="D12" s="57"/>
      <c r="E12" s="65" t="n">
        <f aca="false">IFERROR(INDEX(Correspondance!$D$2:$D$3000,MATCH(A12,Correspondance!$A$2:$A$3000,0)),0)</f>
        <v>0</v>
      </c>
      <c r="F12" s="60" t="n">
        <f aca="false">C12*E12</f>
        <v>0</v>
      </c>
      <c r="G12" s="61"/>
      <c r="I12" s="63"/>
    </row>
    <row r="13" customFormat="false" ht="18.75" hidden="false" customHeight="true" outlineLevel="0" collapsed="false">
      <c r="A13" s="57"/>
      <c r="B13" s="64"/>
      <c r="C13" s="58" t="n">
        <f aca="false">B13/B$22*B$24</f>
        <v>0</v>
      </c>
      <c r="D13" s="57"/>
      <c r="E13" s="65" t="n">
        <f aca="false">IFERROR(INDEX(Correspondance!$D$2:$D$3000,MATCH(A13,Correspondance!$A$2:$A$3000,0)),0)</f>
        <v>0</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29.2686982586355</v>
      </c>
      <c r="G19" s="61"/>
      <c r="I19" s="63"/>
    </row>
    <row r="20" customFormat="false" ht="18.75" hidden="false" customHeight="true" outlineLevel="0" collapsed="false">
      <c r="A20" s="68" t="s">
        <v>2628</v>
      </c>
      <c r="B20" s="69" t="n">
        <f aca="false">F19/B24</f>
        <v>0.266079075078504</v>
      </c>
      <c r="C20" s="70"/>
      <c r="G20" s="61"/>
      <c r="I20" s="63"/>
    </row>
    <row r="21" customFormat="false" ht="15.75" hidden="false" customHeight="false" outlineLevel="0" collapsed="false">
      <c r="A21" s="71" t="s">
        <v>2629</v>
      </c>
      <c r="B21" s="71" t="n">
        <f aca="false">SUM(B3:B18)</f>
        <v>7.006</v>
      </c>
      <c r="C21" s="66"/>
      <c r="G21" s="61"/>
      <c r="I21" s="63"/>
    </row>
    <row r="22" customFormat="false" ht="15.75" hidden="false" customHeight="false" outlineLevel="0" collapsed="false">
      <c r="A22" s="0" t="s">
        <v>2630</v>
      </c>
      <c r="B22" s="72" t="n">
        <f aca="false">B21/B23</f>
        <v>70.06</v>
      </c>
      <c r="C22" s="66"/>
      <c r="G22" s="61"/>
      <c r="I22" s="63"/>
    </row>
    <row r="23" customFormat="false" ht="15.75" hidden="false" customHeight="false" outlineLevel="0" collapsed="false">
      <c r="A23" s="0" t="s">
        <v>2631</v>
      </c>
      <c r="B23" s="0" t="n">
        <v>0.1</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43</v>
      </c>
      <c r="B1" s="50"/>
      <c r="C1" s="50"/>
      <c r="D1" s="50"/>
      <c r="E1" s="51" t="s">
        <v>2619</v>
      </c>
      <c r="F1" s="51"/>
      <c r="G1" s="52" t="s">
        <v>2620</v>
      </c>
    </row>
    <row r="2" customFormat="false" ht="24.75" hidden="false" customHeight="true" outlineLevel="0" collapsed="false">
      <c r="A2" s="50"/>
      <c r="B2" s="50"/>
      <c r="C2" s="50"/>
      <c r="D2" s="50"/>
      <c r="E2" s="53" t="s">
        <v>2621</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1737</v>
      </c>
      <c r="B4" s="57" t="n">
        <v>3.13</v>
      </c>
      <c r="C4" s="58" t="n">
        <f aca="false">B4/B$22*B$24</f>
        <v>4.92443384982122</v>
      </c>
      <c r="D4" s="57" t="s">
        <v>434</v>
      </c>
      <c r="E4" s="59" t="n">
        <f aca="false">IFERROR(INDEX(Correspondance!$D$2:$D$3000,MATCH(A4,Correspondance!$A$2:$A$3000,0)),0)</f>
        <v>9.5</v>
      </c>
      <c r="F4" s="60" t="n">
        <f aca="false">C4*E4</f>
        <v>46.7821215733016</v>
      </c>
      <c r="G4" s="61" t="s">
        <v>2673</v>
      </c>
    </row>
    <row r="5" customFormat="false" ht="15.75" hidden="false" customHeight="false" outlineLevel="0" collapsed="false">
      <c r="A5" s="57" t="s">
        <v>1410</v>
      </c>
      <c r="B5" s="57" t="n">
        <v>0.313</v>
      </c>
      <c r="C5" s="58" t="n">
        <f aca="false">B5/B$22*B$24</f>
        <v>0.492443384982122</v>
      </c>
      <c r="D5" s="57" t="s">
        <v>434</v>
      </c>
      <c r="E5" s="59" t="n">
        <f aca="false">IFERROR(INDEX(Correspondance!$D$2:$D$3000,MATCH(A5,Correspondance!$A$2:$A$3000,0)),0)</f>
        <v>6</v>
      </c>
      <c r="F5" s="60" t="n">
        <f aca="false">C5*E5</f>
        <v>2.95466030989273</v>
      </c>
      <c r="G5" s="61"/>
      <c r="I5" s="62"/>
    </row>
    <row r="6" customFormat="false" ht="15.75" hidden="false" customHeight="false" outlineLevel="0" collapsed="false">
      <c r="A6" s="57" t="s">
        <v>1123</v>
      </c>
      <c r="B6" s="57" t="n">
        <v>0.418</v>
      </c>
      <c r="C6" s="58" t="n">
        <f aca="false">B6/B$22*B$24</f>
        <v>0.657640047675804</v>
      </c>
      <c r="D6" s="57" t="s">
        <v>682</v>
      </c>
      <c r="E6" s="59" t="n">
        <f aca="false">IFERROR(INDEX(Correspondance!$D$2:$D$3000,MATCH(A6,Correspondance!$A$2:$A$3000,0)),0)</f>
        <v>2.3</v>
      </c>
      <c r="F6" s="60" t="n">
        <f aca="false">C6*E6</f>
        <v>1.51257210965435</v>
      </c>
      <c r="G6" s="61"/>
      <c r="I6" s="63"/>
    </row>
    <row r="7" customFormat="false" ht="15.75" hidden="false" customHeight="false" outlineLevel="0" collapsed="false">
      <c r="A7" s="57" t="s">
        <v>1348</v>
      </c>
      <c r="B7" s="57" t="n">
        <v>0.157</v>
      </c>
      <c r="C7" s="58" t="n">
        <f aca="false">B7/B$22*B$24</f>
        <v>0.247008343265793</v>
      </c>
      <c r="D7" s="57" t="s">
        <v>682</v>
      </c>
      <c r="E7" s="59" t="n">
        <f aca="false">IFERROR(INDEX(Correspondance!$D$2:$D$3000,MATCH(A7,Correspondance!$A$2:$A$3000,0)),0)</f>
        <v>6</v>
      </c>
      <c r="F7" s="60" t="n">
        <f aca="false">C7*E7</f>
        <v>1.48205005959476</v>
      </c>
      <c r="G7" s="61"/>
      <c r="I7" s="63"/>
    </row>
    <row r="8" customFormat="false" ht="15.75" hidden="false" customHeight="false" outlineLevel="0" collapsed="false">
      <c r="A8" s="57" t="s">
        <v>1725</v>
      </c>
      <c r="B8" s="57" t="n">
        <v>0.052</v>
      </c>
      <c r="C8" s="58" t="n">
        <f aca="false">B8/B$22*B$24</f>
        <v>0.0818116805721097</v>
      </c>
      <c r="D8" s="57" t="s">
        <v>434</v>
      </c>
      <c r="E8" s="59" t="n">
        <f aca="false">IFERROR(INDEX(Correspondance!$D$2:$D$3000,MATCH(A8,Correspondance!$A$2:$A$3000,0)),0)</f>
        <v>9</v>
      </c>
      <c r="F8" s="60" t="n">
        <f aca="false">C8*E8</f>
        <v>0.736305125148987</v>
      </c>
      <c r="G8" s="61"/>
      <c r="I8" s="63"/>
    </row>
    <row r="9" customFormat="false" ht="15.75" hidden="false" customHeight="false" outlineLevel="0" collapsed="false">
      <c r="A9" s="57" t="s">
        <v>947</v>
      </c>
      <c r="B9" s="57" t="n">
        <v>0.104</v>
      </c>
      <c r="C9" s="58" t="n">
        <f aca="false">B9/B$22*B$24</f>
        <v>0.163623361144219</v>
      </c>
      <c r="D9" s="57" t="s">
        <v>434</v>
      </c>
      <c r="E9" s="59" t="n">
        <f aca="false">IFERROR(INDEX(Correspondance!$D$2:$D$3000,MATCH(A9,Correspondance!$A$2:$A$3000,0)),0)</f>
        <v>4.5</v>
      </c>
      <c r="F9" s="60" t="n">
        <f aca="false">C9*E9</f>
        <v>0.736305125148987</v>
      </c>
      <c r="G9" s="61"/>
      <c r="I9" s="63"/>
    </row>
    <row r="10" customFormat="false" ht="15.75" hidden="false" customHeight="false" outlineLevel="0" collapsed="false">
      <c r="A10" s="57" t="s">
        <v>1919</v>
      </c>
      <c r="B10" s="57" t="n">
        <v>0.021</v>
      </c>
      <c r="C10" s="58" t="n">
        <f aca="false">B10/B$22*B$24</f>
        <v>0.0330393325387366</v>
      </c>
      <c r="D10" s="57" t="s">
        <v>434</v>
      </c>
      <c r="E10" s="59" t="n">
        <f aca="false">IFERROR(INDEX(Correspondance!$D$2:$D$3000,MATCH(A10,Correspondance!$A$2:$A$3000,0)),0)</f>
        <v>2</v>
      </c>
      <c r="F10" s="60" t="n">
        <f aca="false">C10*E10</f>
        <v>0.0660786650774732</v>
      </c>
      <c r="G10" s="61"/>
      <c r="I10" s="63"/>
    </row>
    <row r="11" customFormat="false" ht="15.75" hidden="false" customHeight="false" outlineLevel="0" collapsed="false">
      <c r="A11" s="57" t="s">
        <v>1814</v>
      </c>
      <c r="B11" s="57"/>
      <c r="C11" s="58" t="n">
        <f aca="false">B11/B$22*B$24</f>
        <v>0</v>
      </c>
      <c r="D11" s="57" t="s">
        <v>434</v>
      </c>
      <c r="E11" s="59" t="n">
        <f aca="false">IFERROR(INDEX(Correspondance!$D$2:$D$3000,MATCH(A11,Correspondance!$A$2:$A$3000,0)),0)</f>
        <v>18</v>
      </c>
      <c r="F11" s="60" t="n">
        <f aca="false">C11*E11</f>
        <v>0</v>
      </c>
      <c r="G11" s="61"/>
      <c r="I11" s="63"/>
    </row>
    <row r="12" customFormat="false" ht="18.75" hidden="false" customHeight="true" outlineLevel="0" collapsed="false">
      <c r="A12" s="57"/>
      <c r="B12" s="64"/>
      <c r="C12" s="58" t="n">
        <f aca="false">B12/B$22*B$24</f>
        <v>0</v>
      </c>
      <c r="D12" s="57"/>
      <c r="E12" s="65" t="n">
        <f aca="false">IFERROR(INDEX(Correspondance!$D$2:$D$3000,MATCH(A12,Correspondance!$A$2:$A$3000,0)),0)</f>
        <v>0</v>
      </c>
      <c r="F12" s="60" t="n">
        <f aca="false">C12*E12</f>
        <v>0</v>
      </c>
      <c r="G12" s="61"/>
      <c r="I12" s="63"/>
    </row>
    <row r="13" customFormat="false" ht="18.75" hidden="false" customHeight="true" outlineLevel="0" collapsed="false">
      <c r="A13" s="57"/>
      <c r="B13" s="64"/>
      <c r="C13" s="58" t="n">
        <f aca="false">B13/B$22*B$24</f>
        <v>0</v>
      </c>
      <c r="D13" s="57"/>
      <c r="E13" s="65" t="n">
        <f aca="false">IFERROR(INDEX(Correspondance!$D$2:$D$3000,MATCH(A13,Correspondance!$A$2:$A$3000,0)),0)</f>
        <v>0</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54.2700929678188</v>
      </c>
      <c r="G19" s="61"/>
      <c r="I19" s="63"/>
    </row>
    <row r="20" customFormat="false" ht="18.75" hidden="false" customHeight="true" outlineLevel="0" collapsed="false">
      <c r="A20" s="68" t="s">
        <v>2628</v>
      </c>
      <c r="B20" s="69" t="n">
        <f aca="false">F19/B24</f>
        <v>0.493364481525626</v>
      </c>
      <c r="C20" s="70"/>
      <c r="G20" s="61"/>
      <c r="I20" s="63"/>
    </row>
    <row r="21" customFormat="false" ht="15.75" hidden="false" customHeight="false" outlineLevel="0" collapsed="false">
      <c r="A21" s="71" t="s">
        <v>2629</v>
      </c>
      <c r="B21" s="71" t="n">
        <f aca="false">SUM(B3:B18)</f>
        <v>4.195</v>
      </c>
      <c r="C21" s="66"/>
      <c r="G21" s="61"/>
      <c r="I21" s="63"/>
    </row>
    <row r="22" customFormat="false" ht="15.75" hidden="false" customHeight="false" outlineLevel="0" collapsed="false">
      <c r="A22" s="0" t="s">
        <v>2630</v>
      </c>
      <c r="B22" s="72" t="n">
        <f aca="false">B21/B23</f>
        <v>69.9166666666667</v>
      </c>
      <c r="C22" s="66"/>
      <c r="G22" s="61"/>
      <c r="I22" s="63"/>
    </row>
    <row r="23" customFormat="false" ht="15.75" hidden="false" customHeight="false" outlineLevel="0" collapsed="false">
      <c r="A23" s="0" t="s">
        <v>2631</v>
      </c>
      <c r="B23" s="0" t="n">
        <v>0.06</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44</v>
      </c>
      <c r="B1" s="50"/>
      <c r="C1" s="50"/>
      <c r="D1" s="50"/>
      <c r="E1" s="51" t="s">
        <v>2619</v>
      </c>
      <c r="F1" s="51"/>
      <c r="G1" s="52" t="s">
        <v>2674</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1737</v>
      </c>
      <c r="B4" s="57" t="n">
        <v>2.32</v>
      </c>
      <c r="C4" s="58" t="n">
        <f aca="false">B4/B$22*B$24</f>
        <v>3.64459859226767</v>
      </c>
      <c r="D4" s="57" t="s">
        <v>434</v>
      </c>
      <c r="E4" s="59" t="n">
        <f aca="false">IFERROR(INDEX(Correspondance!$D$2:$D$3000,MATCH(A4,Correspondance!$A$2:$A$3000,0)),0)</f>
        <v>9.5</v>
      </c>
      <c r="F4" s="60" t="n">
        <f aca="false">C4*E4</f>
        <v>34.6236866265429</v>
      </c>
      <c r="G4" s="61" t="s">
        <v>2675</v>
      </c>
    </row>
    <row r="5" customFormat="false" ht="15.75" hidden="false" customHeight="false" outlineLevel="0" collapsed="false">
      <c r="A5" s="57" t="s">
        <v>1752</v>
      </c>
      <c r="B5" s="57" t="n">
        <v>3.25</v>
      </c>
      <c r="C5" s="58" t="n">
        <f aca="false">B5/B$22*B$24</f>
        <v>5.10557992451291</v>
      </c>
      <c r="D5" s="57" t="s">
        <v>434</v>
      </c>
      <c r="E5" s="59" t="n">
        <f aca="false">IFERROR(INDEX(Correspondance!$D$2:$D$3000,MATCH(A5,Correspondance!$A$2:$A$3000,0)),0)</f>
        <v>3</v>
      </c>
      <c r="F5" s="60" t="n">
        <f aca="false">C5*E5</f>
        <v>15.3167397735387</v>
      </c>
      <c r="G5" s="61"/>
      <c r="I5" s="62"/>
    </row>
    <row r="6" customFormat="false" ht="15.75" hidden="false" customHeight="false" outlineLevel="0" collapsed="false">
      <c r="A6" s="57" t="s">
        <v>1517</v>
      </c>
      <c r="B6" s="57" t="n">
        <v>3.25</v>
      </c>
      <c r="C6" s="58" t="n">
        <f aca="false">B6/B$22*B$24</f>
        <v>5.10557992451291</v>
      </c>
      <c r="D6" s="57" t="s">
        <v>434</v>
      </c>
      <c r="E6" s="59" t="n">
        <f aca="false">IFERROR(INDEX(Correspondance!$D$2:$D$3000,MATCH(A6,Correspondance!$A$2:$A$3000,0)),0)</f>
        <v>11</v>
      </c>
      <c r="F6" s="60" t="n">
        <f aca="false">C6*E6</f>
        <v>56.161379169642</v>
      </c>
      <c r="G6" s="61"/>
      <c r="I6" s="63"/>
    </row>
    <row r="7" customFormat="false" ht="15.75" hidden="false" customHeight="false" outlineLevel="0" collapsed="false">
      <c r="A7" s="57" t="s">
        <v>1137</v>
      </c>
      <c r="B7" s="57" t="n">
        <v>0.278</v>
      </c>
      <c r="C7" s="58" t="n">
        <f aca="false">B7/B$22*B$24</f>
        <v>0.436723452004489</v>
      </c>
      <c r="D7" s="57" t="s">
        <v>434</v>
      </c>
      <c r="E7" s="59" t="n">
        <f aca="false">IFERROR(INDEX(Correspondance!$D$2:$D$3000,MATCH(A7,Correspondance!$A$2:$A$3000,0)),0)</f>
        <v>7.5</v>
      </c>
      <c r="F7" s="60" t="n">
        <f aca="false">C7*E7</f>
        <v>3.27542589003366</v>
      </c>
      <c r="G7" s="61"/>
      <c r="I7" s="63"/>
    </row>
    <row r="8" customFormat="false" ht="15.75" hidden="false" customHeight="false" outlineLevel="0" collapsed="false">
      <c r="A8" s="57" t="s">
        <v>1068</v>
      </c>
      <c r="B8" s="57" t="n">
        <v>0.278</v>
      </c>
      <c r="C8" s="58" t="n">
        <f aca="false">B8/B$22*B$24</f>
        <v>0.436723452004489</v>
      </c>
      <c r="D8" s="57" t="s">
        <v>434</v>
      </c>
      <c r="E8" s="59" t="n">
        <f aca="false">IFERROR(INDEX(Correspondance!$D$2:$D$3000,MATCH(A8,Correspondance!$A$2:$A$3000,0)),0)</f>
        <v>14</v>
      </c>
      <c r="F8" s="60" t="n">
        <f aca="false">C8*E8</f>
        <v>6.11412832806284</v>
      </c>
      <c r="G8" s="61"/>
      <c r="I8" s="63"/>
    </row>
    <row r="9" customFormat="false" ht="15.75" hidden="false" customHeight="false" outlineLevel="0" collapsed="false">
      <c r="A9" s="57" t="s">
        <v>1125</v>
      </c>
      <c r="B9" s="57" t="n">
        <v>0.278</v>
      </c>
      <c r="C9" s="58" t="n">
        <f aca="false">B9/B$22*B$24</f>
        <v>0.436723452004489</v>
      </c>
      <c r="D9" s="57" t="s">
        <v>682</v>
      </c>
      <c r="E9" s="59" t="n">
        <f aca="false">IFERROR(INDEX(Correspondance!$D$2:$D$3000,MATCH(A9,Correspondance!$A$2:$A$3000,0)),0)</f>
        <v>12</v>
      </c>
      <c r="F9" s="60" t="n">
        <f aca="false">C9*E9</f>
        <v>5.24068142405386</v>
      </c>
      <c r="G9" s="61"/>
      <c r="I9" s="63"/>
    </row>
    <row r="10" customFormat="false" ht="15.75" hidden="false" customHeight="false" outlineLevel="0" collapsed="false">
      <c r="A10" s="57" t="s">
        <v>1340</v>
      </c>
      <c r="B10" s="57" t="n">
        <v>0.093</v>
      </c>
      <c r="C10" s="58" t="n">
        <f aca="false">B10/B$22*B$24</f>
        <v>0.146098133224523</v>
      </c>
      <c r="D10" s="57" t="s">
        <v>682</v>
      </c>
      <c r="E10" s="59" t="n">
        <f aca="false">IFERROR(INDEX(Correspondance!$D$2:$D$3000,MATCH(A10,Correspondance!$A$2:$A$3000,0)),0)</f>
        <v>1.8</v>
      </c>
      <c r="F10" s="60" t="n">
        <f aca="false">C10*E10</f>
        <v>0.262976639804142</v>
      </c>
      <c r="G10" s="61"/>
      <c r="I10" s="63"/>
    </row>
    <row r="11" customFormat="false" ht="15.75" hidden="false" customHeight="false" outlineLevel="0" collapsed="false">
      <c r="A11" s="57" t="s">
        <v>1725</v>
      </c>
      <c r="B11" s="57" t="n">
        <v>0.037</v>
      </c>
      <c r="C11" s="58" t="n">
        <f aca="false">B11/B$22*B$24</f>
        <v>0.0581250637559931</v>
      </c>
      <c r="D11" s="57" t="s">
        <v>434</v>
      </c>
      <c r="E11" s="59" t="n">
        <f aca="false">IFERROR(INDEX(Correspondance!$D$2:$D$3000,MATCH(A11,Correspondance!$A$2:$A$3000,0)),0)</f>
        <v>9</v>
      </c>
      <c r="F11" s="60" t="n">
        <f aca="false">C11*E11</f>
        <v>0.523125573803938</v>
      </c>
      <c r="G11" s="61"/>
      <c r="I11" s="63"/>
    </row>
    <row r="12" customFormat="false" ht="18.75" hidden="false" customHeight="true" outlineLevel="0" collapsed="false">
      <c r="A12" s="57" t="s">
        <v>1919</v>
      </c>
      <c r="B12" s="64" t="n">
        <v>0.019</v>
      </c>
      <c r="C12" s="58" t="n">
        <f aca="false">B12/B$22*B$24</f>
        <v>0.029848005712537</v>
      </c>
      <c r="D12" s="57" t="s">
        <v>434</v>
      </c>
      <c r="E12" s="59" t="n">
        <f aca="false">IFERROR(INDEX(Correspondance!$D$2:$D$3000,MATCH(A12,Correspondance!$A$2:$A$3000,0)),0)</f>
        <v>2</v>
      </c>
      <c r="F12" s="60" t="n">
        <f aca="false">C12*E12</f>
        <v>0.059696011425074</v>
      </c>
      <c r="G12" s="61"/>
      <c r="I12" s="63"/>
    </row>
    <row r="13" customFormat="false" ht="18.75" hidden="false" customHeight="true" outlineLevel="0" collapsed="false">
      <c r="A13" s="57" t="s">
        <v>1814</v>
      </c>
      <c r="B13" s="64"/>
      <c r="C13" s="58" t="n">
        <f aca="false">B13/B$22*B$24</f>
        <v>0</v>
      </c>
      <c r="D13" s="57" t="s">
        <v>434</v>
      </c>
      <c r="E13" s="59" t="n">
        <f aca="false">IFERROR(INDEX(Correspondance!$D$2:$D$3000,MATCH(A13,Correspondance!$A$2:$A$3000,0)),0)</f>
        <v>18</v>
      </c>
      <c r="F13" s="60" t="n">
        <f aca="false">C13*E13</f>
        <v>0</v>
      </c>
      <c r="G13" s="61"/>
      <c r="I13" s="63"/>
    </row>
    <row r="14" customFormat="false" ht="15.75" hidden="false" customHeight="false" outlineLevel="0" collapsed="false">
      <c r="A14" s="57" t="s">
        <v>1945</v>
      </c>
      <c r="B14" s="57"/>
      <c r="C14" s="58" t="n">
        <f aca="false">B14/B$22*B$24</f>
        <v>0</v>
      </c>
      <c r="D14" s="57" t="s">
        <v>434</v>
      </c>
      <c r="E14" s="59" t="n">
        <f aca="false">IFERROR(INDEX(Correspondance!$D$2:$D$3000,MATCH(A14,Correspondance!$A$2:$A$3000,0)),0)</f>
        <v>16</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121.577839436907</v>
      </c>
      <c r="G19" s="61"/>
      <c r="I19" s="63"/>
    </row>
    <row r="20" customFormat="false" ht="18.75" hidden="false" customHeight="true" outlineLevel="0" collapsed="false">
      <c r="A20" s="68" t="s">
        <v>2628</v>
      </c>
      <c r="B20" s="69" t="n">
        <f aca="false">F19/B24</f>
        <v>1.10525308579006</v>
      </c>
      <c r="C20" s="70"/>
      <c r="G20" s="61"/>
      <c r="I20" s="63"/>
    </row>
    <row r="21" customFormat="false" ht="15.75" hidden="false" customHeight="false" outlineLevel="0" collapsed="false">
      <c r="A21" s="71" t="s">
        <v>2629</v>
      </c>
      <c r="B21" s="71" t="n">
        <f aca="false">SUM(B3:B18)</f>
        <v>9.803</v>
      </c>
      <c r="C21" s="66"/>
      <c r="G21" s="61"/>
      <c r="I21" s="63"/>
    </row>
    <row r="22" customFormat="false" ht="15.75" hidden="false" customHeight="false" outlineLevel="0" collapsed="false">
      <c r="A22" s="0" t="s">
        <v>2630</v>
      </c>
      <c r="B22" s="72" t="n">
        <f aca="false">B21/B23</f>
        <v>70.0214285714286</v>
      </c>
      <c r="C22" s="66"/>
      <c r="G22" s="61"/>
      <c r="I22" s="63"/>
    </row>
    <row r="23" customFormat="false" ht="15.75" hidden="false" customHeight="false" outlineLevel="0" collapsed="false">
      <c r="A23" s="0" t="s">
        <v>2631</v>
      </c>
      <c r="B23" s="0" t="n">
        <v>0.14</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45</v>
      </c>
      <c r="B1" s="50"/>
      <c r="C1" s="50"/>
      <c r="D1" s="50"/>
      <c r="E1" s="51" t="s">
        <v>2619</v>
      </c>
      <c r="F1" s="51"/>
      <c r="G1" s="52" t="s">
        <v>2645</v>
      </c>
    </row>
    <row r="2" customFormat="false" ht="24.75" hidden="false" customHeight="true" outlineLevel="0" collapsed="false">
      <c r="A2" s="50"/>
      <c r="B2" s="50"/>
      <c r="C2" s="50"/>
      <c r="D2" s="50"/>
      <c r="E2" s="53" t="s">
        <v>2621</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1525</v>
      </c>
      <c r="B4" s="57" t="n">
        <v>5.31</v>
      </c>
      <c r="C4" s="58" t="n">
        <f aca="false">B4/B$22*B$24</f>
        <v>8.34428571428571</v>
      </c>
      <c r="D4" s="57" t="s">
        <v>434</v>
      </c>
      <c r="E4" s="59" t="n">
        <f aca="false">IFERROR(INDEX(Correspondance!$D$2:$D$3000,MATCH(A4,Correspondance!$A$2:$A$3000,0)),0)</f>
        <v>1</v>
      </c>
      <c r="F4" s="60" t="n">
        <f aca="false">C4*E4</f>
        <v>8.34428571428571</v>
      </c>
      <c r="G4" s="61" t="s">
        <v>2676</v>
      </c>
    </row>
    <row r="5" customFormat="false" ht="15.75" hidden="false" customHeight="false" outlineLevel="0" collapsed="false">
      <c r="A5" s="57" t="s">
        <v>1131</v>
      </c>
      <c r="B5" s="57" t="n">
        <v>0.442</v>
      </c>
      <c r="C5" s="58" t="n">
        <f aca="false">B5/B$22*B$24</f>
        <v>0.694571428571429</v>
      </c>
      <c r="D5" s="57" t="s">
        <v>682</v>
      </c>
      <c r="E5" s="59" t="n">
        <f aca="false">IFERROR(INDEX(Correspondance!$D$2:$D$3000,MATCH(A5,Correspondance!$A$2:$A$3000,0)),0)</f>
        <v>2.2</v>
      </c>
      <c r="F5" s="60" t="n">
        <f aca="false">C5*E5</f>
        <v>1.52805714285714</v>
      </c>
      <c r="G5" s="61"/>
      <c r="I5" s="62"/>
    </row>
    <row r="6" customFormat="false" ht="15.75" hidden="false" customHeight="false" outlineLevel="0" collapsed="false">
      <c r="A6" s="57" t="s">
        <v>1291</v>
      </c>
      <c r="B6" s="57" t="n">
        <v>0.265</v>
      </c>
      <c r="C6" s="58" t="n">
        <f aca="false">B6/B$22*B$24</f>
        <v>0.416428571428571</v>
      </c>
      <c r="D6" s="57" t="s">
        <v>682</v>
      </c>
      <c r="E6" s="59" t="n">
        <f aca="false">IFERROR(INDEX(Correspondance!$D$2:$D$3000,MATCH(A6,Correspondance!$A$2:$A$3000,0)),0)</f>
        <v>2.5</v>
      </c>
      <c r="F6" s="60" t="n">
        <f aca="false">C6*E6</f>
        <v>1.04107142857143</v>
      </c>
      <c r="G6" s="61"/>
      <c r="I6" s="63"/>
    </row>
    <row r="7" customFormat="false" ht="15.75" hidden="false" customHeight="false" outlineLevel="0" collapsed="false">
      <c r="A7" s="57" t="s">
        <v>1725</v>
      </c>
      <c r="B7" s="57" t="n">
        <v>0.044</v>
      </c>
      <c r="C7" s="58" t="n">
        <f aca="false">B7/B$22*B$24</f>
        <v>0.0691428571428571</v>
      </c>
      <c r="D7" s="57" t="s">
        <v>434</v>
      </c>
      <c r="E7" s="59" t="n">
        <f aca="false">IFERROR(INDEX(Correspondance!$D$2:$D$3000,MATCH(A7,Correspondance!$A$2:$A$3000,0)),0)</f>
        <v>9</v>
      </c>
      <c r="F7" s="60" t="n">
        <f aca="false">C7*E7</f>
        <v>0.622285714285714</v>
      </c>
      <c r="G7" s="61"/>
      <c r="I7" s="63"/>
    </row>
    <row r="8" customFormat="false" ht="15.75" hidden="false" customHeight="false" outlineLevel="0" collapsed="false">
      <c r="A8" s="57" t="s">
        <v>1876</v>
      </c>
      <c r="B8" s="57" t="n">
        <v>0.177</v>
      </c>
      <c r="C8" s="58" t="n">
        <f aca="false">B8/B$22*B$24</f>
        <v>0.278142857142857</v>
      </c>
      <c r="D8" s="57" t="s">
        <v>434</v>
      </c>
      <c r="E8" s="59" t="n">
        <f aca="false">IFERROR(INDEX(Correspondance!$D$2:$D$3000,MATCH(A8,Correspondance!$A$2:$A$3000,0)),0)</f>
        <v>5</v>
      </c>
      <c r="F8" s="60" t="n">
        <f aca="false">C8*E8</f>
        <v>1.39071428571429</v>
      </c>
      <c r="G8" s="61"/>
      <c r="I8" s="63"/>
    </row>
    <row r="9" customFormat="false" ht="15.75" hidden="false" customHeight="false" outlineLevel="0" collapsed="false">
      <c r="A9" s="57" t="s">
        <v>1937</v>
      </c>
      <c r="B9" s="57" t="n">
        <v>0.027</v>
      </c>
      <c r="C9" s="58" t="n">
        <f aca="false">B9/B$22*B$24</f>
        <v>0.0424285714285714</v>
      </c>
      <c r="D9" s="57" t="s">
        <v>434</v>
      </c>
      <c r="E9" s="59" t="n">
        <f aca="false">IFERROR(INDEX(Correspondance!$D$2:$D$3000,MATCH(A9,Correspondance!$A$2:$A$3000,0)),0)</f>
        <v>1.3</v>
      </c>
      <c r="F9" s="60" t="n">
        <f aca="false">C9*E9</f>
        <v>0.0551571428571429</v>
      </c>
      <c r="G9" s="61"/>
      <c r="I9" s="63"/>
    </row>
    <row r="10" customFormat="false" ht="15.75" hidden="false" customHeight="false" outlineLevel="0" collapsed="false">
      <c r="A10" s="57" t="s">
        <v>1919</v>
      </c>
      <c r="B10" s="57" t="n">
        <v>0.035</v>
      </c>
      <c r="C10" s="58" t="n">
        <f aca="false">B10/B$22*B$24</f>
        <v>0.055</v>
      </c>
      <c r="D10" s="57" t="s">
        <v>434</v>
      </c>
      <c r="E10" s="59" t="n">
        <f aca="false">IFERROR(INDEX(Correspondance!$D$2:$D$3000,MATCH(A10,Correspondance!$A$2:$A$3000,0)),0)</f>
        <v>2</v>
      </c>
      <c r="F10" s="60" t="n">
        <f aca="false">C10*E10</f>
        <v>0.11</v>
      </c>
      <c r="G10" s="61"/>
      <c r="I10" s="63"/>
    </row>
    <row r="11" customFormat="false" ht="15.75" hidden="false" customHeight="false" outlineLevel="0" collapsed="false">
      <c r="A11" s="57" t="s">
        <v>1814</v>
      </c>
      <c r="B11" s="57"/>
      <c r="C11" s="58" t="n">
        <f aca="false">B11/B$22*B$24</f>
        <v>0</v>
      </c>
      <c r="D11" s="57" t="s">
        <v>434</v>
      </c>
      <c r="E11" s="59" t="n">
        <f aca="false">IFERROR(INDEX(Correspondance!$D$2:$D$3000,MATCH(A11,Correspondance!$A$2:$A$3000,0)),0)</f>
        <v>18</v>
      </c>
      <c r="F11" s="60" t="n">
        <f aca="false">C11*E11</f>
        <v>0</v>
      </c>
      <c r="G11" s="61"/>
      <c r="I11" s="63"/>
    </row>
    <row r="12" customFormat="false" ht="18.75" hidden="false" customHeight="true" outlineLevel="0" collapsed="false">
      <c r="A12" s="57" t="s">
        <v>1778</v>
      </c>
      <c r="B12" s="64"/>
      <c r="C12" s="58" t="n">
        <f aca="false">B12/B$22*B$24</f>
        <v>0</v>
      </c>
      <c r="D12" s="57" t="s">
        <v>434</v>
      </c>
      <c r="E12" s="59" t="n">
        <f aca="false">IFERROR(INDEX(Correspondance!$D$2:$D$3000,MATCH(A12,Correspondance!$A$2:$A$3000,0)),0)</f>
        <v>8</v>
      </c>
      <c r="F12" s="60" t="n">
        <f aca="false">C12*E12</f>
        <v>0</v>
      </c>
      <c r="G12" s="61"/>
      <c r="I12" s="63"/>
    </row>
    <row r="13" customFormat="false" ht="18.75" hidden="false" customHeight="true" outlineLevel="0" collapsed="false">
      <c r="A13" s="57"/>
      <c r="B13" s="64"/>
      <c r="C13" s="58" t="n">
        <f aca="false">B13/B$22*B$24</f>
        <v>0</v>
      </c>
      <c r="D13" s="57"/>
      <c r="E13" s="65" t="n">
        <f aca="false">IFERROR(INDEX(Correspondance!$D$2:$D$3000,MATCH(A13,Correspondance!$A$2:$A$3000,0)),0)</f>
        <v>0</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13.0915714285714</v>
      </c>
      <c r="G19" s="61"/>
      <c r="I19" s="63"/>
    </row>
    <row r="20" customFormat="false" ht="18.75" hidden="false" customHeight="true" outlineLevel="0" collapsed="false">
      <c r="A20" s="68" t="s">
        <v>2628</v>
      </c>
      <c r="B20" s="69" t="n">
        <f aca="false">F19/B24</f>
        <v>0.119014285714286</v>
      </c>
      <c r="C20" s="70"/>
      <c r="G20" s="61"/>
      <c r="I20" s="63"/>
    </row>
    <row r="21" customFormat="false" ht="15.75" hidden="false" customHeight="false" outlineLevel="0" collapsed="false">
      <c r="A21" s="71" t="s">
        <v>2629</v>
      </c>
      <c r="B21" s="71" t="n">
        <f aca="false">SUM(B3:B18)</f>
        <v>6.3</v>
      </c>
      <c r="C21" s="66"/>
      <c r="G21" s="61"/>
      <c r="I21" s="63"/>
    </row>
    <row r="22" customFormat="false" ht="15.75" hidden="false" customHeight="false" outlineLevel="0" collapsed="false">
      <c r="A22" s="0" t="s">
        <v>2630</v>
      </c>
      <c r="B22" s="72" t="n">
        <f aca="false">B21/B23</f>
        <v>70</v>
      </c>
      <c r="C22" s="66"/>
      <c r="G22" s="61"/>
      <c r="I22" s="63"/>
    </row>
    <row r="23" customFormat="false" ht="15.75" hidden="false" customHeight="false" outlineLevel="0" collapsed="false">
      <c r="A23" s="0" t="s">
        <v>2631</v>
      </c>
      <c r="B23" s="0" t="n">
        <v>0.09</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46</v>
      </c>
      <c r="B1" s="50"/>
      <c r="C1" s="50"/>
      <c r="D1" s="50"/>
      <c r="E1" s="51" t="s">
        <v>2619</v>
      </c>
      <c r="F1" s="51"/>
      <c r="G1" s="52" t="s">
        <v>2677</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1788</v>
      </c>
      <c r="B4" s="57" t="n">
        <v>6.45</v>
      </c>
      <c r="C4" s="58" t="n">
        <f aca="false">B4/B$22*B$24</f>
        <v>10.1441677588467</v>
      </c>
      <c r="D4" s="57" t="s">
        <v>434</v>
      </c>
      <c r="E4" s="59" t="n">
        <f aca="false">IFERROR(INDEX(Correspondance!$D$2:$D$3000,MATCH(A4,Correspondance!$A$2:$A$3000,0)),0)</f>
        <v>6.5</v>
      </c>
      <c r="F4" s="60" t="n">
        <f aca="false">C4*E4</f>
        <v>65.9370904325033</v>
      </c>
      <c r="G4" s="61" t="s">
        <v>2678</v>
      </c>
    </row>
    <row r="5" customFormat="false" ht="15.75" hidden="false" customHeight="false" outlineLevel="0" collapsed="false">
      <c r="A5" s="57" t="s">
        <v>1653</v>
      </c>
      <c r="B5" s="57" t="n">
        <v>0.277</v>
      </c>
      <c r="C5" s="58" t="n">
        <f aca="false">B5/B$22*B$24</f>
        <v>0.43564875491481</v>
      </c>
      <c r="D5" s="57" t="s">
        <v>434</v>
      </c>
      <c r="E5" s="59" t="n">
        <f aca="false">IFERROR(INDEX(Correspondance!$D$2:$D$3000,MATCH(A5,Correspondance!$A$2:$A$3000,0)),0)</f>
        <v>7.5</v>
      </c>
      <c r="F5" s="60" t="n">
        <f aca="false">C5*E5</f>
        <v>3.26736566186107</v>
      </c>
      <c r="G5" s="61"/>
      <c r="I5" s="62"/>
    </row>
    <row r="6" customFormat="false" ht="15.75" hidden="false" customHeight="false" outlineLevel="0" collapsed="false">
      <c r="A6" s="57" t="s">
        <v>9</v>
      </c>
      <c r="B6" s="57" t="n">
        <v>1.38</v>
      </c>
      <c r="C6" s="58" t="n">
        <f aca="false">B6/B$22*B$24</f>
        <v>2.17038007863696</v>
      </c>
      <c r="D6" s="57" t="s">
        <v>434</v>
      </c>
      <c r="E6" s="59" t="n">
        <f aca="false">IFERROR(INDEX(Correspondance!$D$2:$D$3000,MATCH(A6,Correspondance!$A$2:$A$3000,0)),0)</f>
        <v>5.5</v>
      </c>
      <c r="F6" s="60" t="n">
        <f aca="false">C6*E6</f>
        <v>11.9370904325033</v>
      </c>
      <c r="G6" s="61"/>
      <c r="I6" s="63"/>
    </row>
    <row r="7" customFormat="false" ht="15.75" hidden="false" customHeight="false" outlineLevel="0" collapsed="false">
      <c r="A7" s="57" t="s">
        <v>1131</v>
      </c>
      <c r="B7" s="57" t="n">
        <v>0.184</v>
      </c>
      <c r="C7" s="58" t="n">
        <f aca="false">B7/B$22*B$24</f>
        <v>0.289384010484928</v>
      </c>
      <c r="D7" s="57" t="s">
        <v>682</v>
      </c>
      <c r="E7" s="59" t="n">
        <f aca="false">IFERROR(INDEX(Correspondance!$D$2:$D$3000,MATCH(A7,Correspondance!$A$2:$A$3000,0)),0)</f>
        <v>2.2</v>
      </c>
      <c r="F7" s="60" t="n">
        <f aca="false">C7*E7</f>
        <v>0.636644823066841</v>
      </c>
      <c r="G7" s="61"/>
      <c r="I7" s="63"/>
    </row>
    <row r="8" customFormat="false" ht="15.75" hidden="false" customHeight="false" outlineLevel="0" collapsed="false">
      <c r="A8" s="57" t="s">
        <v>1982</v>
      </c>
      <c r="B8" s="57" t="n">
        <v>0.074</v>
      </c>
      <c r="C8" s="58" t="n">
        <f aca="false">B8/B$22*B$24</f>
        <v>0.116382699868938</v>
      </c>
      <c r="D8" s="57" t="s">
        <v>682</v>
      </c>
      <c r="E8" s="59" t="n">
        <f aca="false">IFERROR(INDEX(Correspondance!$D$2:$D$3000,MATCH(A8,Correspondance!$A$2:$A$3000,0)),0)</f>
        <v>1.5</v>
      </c>
      <c r="F8" s="60" t="n">
        <f aca="false">C8*E8</f>
        <v>0.174574049803408</v>
      </c>
      <c r="G8" s="61"/>
      <c r="I8" s="63"/>
    </row>
    <row r="9" customFormat="false" ht="15.75" hidden="false" customHeight="false" outlineLevel="0" collapsed="false">
      <c r="A9" s="57" t="s">
        <v>1725</v>
      </c>
      <c r="B9" s="57" t="n">
        <v>0.028</v>
      </c>
      <c r="C9" s="58" t="n">
        <f aca="false">B9/B$22*B$24</f>
        <v>0.0440366972477064</v>
      </c>
      <c r="D9" s="57" t="s">
        <v>434</v>
      </c>
      <c r="E9" s="59" t="n">
        <f aca="false">IFERROR(INDEX(Correspondance!$D$2:$D$3000,MATCH(A9,Correspondance!$A$2:$A$3000,0)),0)</f>
        <v>9</v>
      </c>
      <c r="F9" s="60" t="n">
        <f aca="false">C9*E9</f>
        <v>0.396330275229358</v>
      </c>
      <c r="G9" s="61"/>
      <c r="I9" s="63"/>
    </row>
    <row r="10" customFormat="false" ht="15.75" hidden="false" customHeight="false" outlineLevel="0" collapsed="false">
      <c r="A10" s="57" t="s">
        <v>1748</v>
      </c>
      <c r="B10" s="57"/>
      <c r="C10" s="58" t="n">
        <f aca="false">B10/B$22*B$24</f>
        <v>0</v>
      </c>
      <c r="D10" s="57" t="s">
        <v>434</v>
      </c>
      <c r="E10" s="59" t="n">
        <f aca="false">IFERROR(INDEX(Correspondance!$D$2:$D$3000,MATCH(A10,Correspondance!$A$2:$A$3000,0)),0)</f>
        <v>14</v>
      </c>
      <c r="F10" s="60" t="n">
        <f aca="false">C10*E10</f>
        <v>0</v>
      </c>
      <c r="G10" s="61"/>
      <c r="I10" s="63"/>
    </row>
    <row r="11" customFormat="false" ht="15.75" hidden="false" customHeight="false" outlineLevel="0" collapsed="false">
      <c r="A11" s="57" t="s">
        <v>1926</v>
      </c>
      <c r="B11" s="57"/>
      <c r="C11" s="58" t="n">
        <f aca="false">B11/B$22*B$24</f>
        <v>0</v>
      </c>
      <c r="D11" s="57" t="s">
        <v>434</v>
      </c>
      <c r="E11" s="59" t="n">
        <f aca="false">IFERROR(INDEX(Correspondance!$D$2:$D$3000,MATCH(A11,Correspondance!$A$2:$A$3000,0)),0)</f>
        <v>2</v>
      </c>
      <c r="F11" s="60" t="n">
        <f aca="false">C11*E11</f>
        <v>0</v>
      </c>
      <c r="G11" s="61"/>
      <c r="I11" s="63"/>
    </row>
    <row r="12" customFormat="false" ht="18.75" hidden="false" customHeight="true" outlineLevel="0" collapsed="false">
      <c r="A12" s="57"/>
      <c r="B12" s="64"/>
      <c r="C12" s="58" t="n">
        <f aca="false">B12/B$22*B$24</f>
        <v>0</v>
      </c>
      <c r="D12" s="57"/>
      <c r="E12" s="65" t="n">
        <f aca="false">IFERROR(INDEX(Correspondance!$D$2:$D$3000,MATCH(A12,Correspondance!$A$2:$A$3000,0)),0)</f>
        <v>0</v>
      </c>
      <c r="F12" s="60" t="n">
        <f aca="false">C12*E12</f>
        <v>0</v>
      </c>
      <c r="G12" s="61"/>
      <c r="I12" s="63"/>
    </row>
    <row r="13" customFormat="false" ht="18.75" hidden="false" customHeight="true" outlineLevel="0" collapsed="false">
      <c r="A13" s="57"/>
      <c r="B13" s="64"/>
      <c r="C13" s="58" t="n">
        <f aca="false">B13/B$22*B$24</f>
        <v>0</v>
      </c>
      <c r="D13" s="57"/>
      <c r="E13" s="65" t="n">
        <f aca="false">IFERROR(INDEX(Correspondance!$D$2:$D$3000,MATCH(A13,Correspondance!$A$2:$A$3000,0)),0)</f>
        <v>0</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82.3490956749672</v>
      </c>
      <c r="G19" s="61"/>
      <c r="I19" s="63"/>
    </row>
    <row r="20" customFormat="false" ht="18.75" hidden="false" customHeight="true" outlineLevel="0" collapsed="false">
      <c r="A20" s="68" t="s">
        <v>2628</v>
      </c>
      <c r="B20" s="69" t="n">
        <f aca="false">F19/B24</f>
        <v>0.748628142499702</v>
      </c>
      <c r="C20" s="70"/>
      <c r="G20" s="61"/>
      <c r="I20" s="63"/>
    </row>
    <row r="21" customFormat="false" ht="15.75" hidden="false" customHeight="false" outlineLevel="0" collapsed="false">
      <c r="A21" s="71" t="s">
        <v>2629</v>
      </c>
      <c r="B21" s="71" t="n">
        <f aca="false">SUM(B3:B18)</f>
        <v>8.393</v>
      </c>
      <c r="C21" s="66"/>
      <c r="G21" s="61"/>
      <c r="I21" s="63"/>
    </row>
    <row r="22" customFormat="false" ht="15.75" hidden="false" customHeight="false" outlineLevel="0" collapsed="false">
      <c r="A22" s="0" t="s">
        <v>2630</v>
      </c>
      <c r="B22" s="72" t="n">
        <f aca="false">B21/B23</f>
        <v>69.9416666666667</v>
      </c>
      <c r="C22" s="66"/>
      <c r="G22" s="61"/>
      <c r="I22" s="63"/>
    </row>
    <row r="23" customFormat="false" ht="15.75" hidden="false" customHeight="false" outlineLevel="0" collapsed="false">
      <c r="A23" s="0" t="s">
        <v>2631</v>
      </c>
      <c r="B23" s="0" t="n">
        <v>0.12</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47</v>
      </c>
      <c r="B1" s="50"/>
      <c r="C1" s="50"/>
      <c r="D1" s="50"/>
      <c r="E1" s="51" t="s">
        <v>2619</v>
      </c>
      <c r="F1" s="51"/>
      <c r="G1" s="52" t="s">
        <v>2656</v>
      </c>
    </row>
    <row r="2" customFormat="false" ht="24.75" hidden="false" customHeight="true" outlineLevel="0" collapsed="false">
      <c r="A2" s="50"/>
      <c r="B2" s="50"/>
      <c r="C2" s="50"/>
      <c r="D2" s="50"/>
      <c r="E2" s="53" t="s">
        <v>2621</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1885</v>
      </c>
      <c r="B4" s="57" t="n">
        <v>2.75</v>
      </c>
      <c r="C4" s="58" t="n">
        <f aca="false">B4/B$22*B$24</f>
        <v>4.32297249017506</v>
      </c>
      <c r="D4" s="57" t="s">
        <v>434</v>
      </c>
      <c r="E4" s="59" t="n">
        <f aca="false">IFERROR(INDEX(Correspondance!$D$2:$D$3000,MATCH(A4,Correspondance!$A$2:$A$3000,0)),0)</f>
        <v>15</v>
      </c>
      <c r="F4" s="60" t="n">
        <f aca="false">C4*E4</f>
        <v>64.844587352626</v>
      </c>
      <c r="G4" s="61" t="s">
        <v>2679</v>
      </c>
    </row>
    <row r="5" customFormat="false" ht="15.75" hidden="false" customHeight="false" outlineLevel="0" collapsed="false">
      <c r="A5" s="57" t="s">
        <v>1567</v>
      </c>
      <c r="B5" s="57" t="n">
        <v>0.491</v>
      </c>
      <c r="C5" s="58" t="n">
        <f aca="false">B5/B$22*B$24</f>
        <v>0.771847088245802</v>
      </c>
      <c r="D5" s="57" t="s">
        <v>434</v>
      </c>
      <c r="E5" s="59" t="n">
        <f aca="false">IFERROR(INDEX(Correspondance!$D$2:$D$3000,MATCH(A5,Correspondance!$A$2:$A$3000,0)),0)</f>
        <v>6.5</v>
      </c>
      <c r="F5" s="60" t="n">
        <f aca="false">C5*E5</f>
        <v>5.01700607359771</v>
      </c>
      <c r="G5" s="61"/>
      <c r="I5" s="62"/>
    </row>
    <row r="6" customFormat="false" ht="15.75" hidden="false" customHeight="false" outlineLevel="0" collapsed="false">
      <c r="A6" s="57" t="s">
        <v>678</v>
      </c>
      <c r="B6" s="57" t="n">
        <v>0.688</v>
      </c>
      <c r="C6" s="58" t="n">
        <f aca="false">B6/B$22*B$24</f>
        <v>1.08152911754198</v>
      </c>
      <c r="D6" s="57" t="s">
        <v>434</v>
      </c>
      <c r="E6" s="59" t="n">
        <f aca="false">IFERROR(INDEX(Correspondance!$D$2:$D$3000,MATCH(A6,Correspondance!$A$2:$A$3000,0)),0)</f>
        <v>10.5</v>
      </c>
      <c r="F6" s="60" t="n">
        <f aca="false">C6*E6</f>
        <v>11.3560557341908</v>
      </c>
      <c r="G6" s="61"/>
      <c r="I6" s="63"/>
    </row>
    <row r="7" customFormat="false" ht="15.75" hidden="false" customHeight="false" outlineLevel="0" collapsed="false">
      <c r="A7" s="57" t="s">
        <v>878</v>
      </c>
      <c r="B7" s="57" t="n">
        <v>0.982</v>
      </c>
      <c r="C7" s="58" t="n">
        <f aca="false">B7/B$22*B$24</f>
        <v>1.5436941764916</v>
      </c>
      <c r="D7" s="57" t="s">
        <v>434</v>
      </c>
      <c r="E7" s="59" t="n">
        <f aca="false">IFERROR(INDEX(Correspondance!$D$2:$D$3000,MATCH(A7,Correspondance!$A$2:$A$3000,0)),0)</f>
        <v>3.6</v>
      </c>
      <c r="F7" s="60" t="n">
        <f aca="false">C7*E7</f>
        <v>5.55729903536978</v>
      </c>
      <c r="G7" s="61"/>
      <c r="I7" s="63"/>
    </row>
    <row r="8" customFormat="false" ht="15.75" hidden="false" customHeight="false" outlineLevel="0" collapsed="false">
      <c r="A8" s="57" t="s">
        <v>887</v>
      </c>
      <c r="B8" s="57" t="n">
        <v>0.491</v>
      </c>
      <c r="C8" s="58" t="n">
        <f aca="false">B8/B$22*B$24</f>
        <v>0.771847088245802</v>
      </c>
      <c r="D8" s="57" t="s">
        <v>434</v>
      </c>
      <c r="E8" s="59" t="n">
        <f aca="false">IFERROR(INDEX(Correspondance!$D$2:$D$3000,MATCH(A8,Correspondance!$A$2:$A$3000,0)),0)</f>
        <v>4.5</v>
      </c>
      <c r="F8" s="60" t="n">
        <f aca="false">C8*E8</f>
        <v>3.47331189710611</v>
      </c>
      <c r="G8" s="61"/>
      <c r="I8" s="63"/>
    </row>
    <row r="9" customFormat="false" ht="15.75" hidden="false" customHeight="false" outlineLevel="0" collapsed="false">
      <c r="A9" s="57" t="s">
        <v>1725</v>
      </c>
      <c r="B9" s="57" t="n">
        <v>0.196</v>
      </c>
      <c r="C9" s="58" t="n">
        <f aca="false">B9/B$22*B$24</f>
        <v>0.30811003929975</v>
      </c>
      <c r="D9" s="57" t="s">
        <v>434</v>
      </c>
      <c r="E9" s="59" t="n">
        <f aca="false">IFERROR(INDEX(Correspondance!$D$2:$D$3000,MATCH(A9,Correspondance!$A$2:$A$3000,0)),0)</f>
        <v>9</v>
      </c>
      <c r="F9" s="60" t="n">
        <f aca="false">C9*E9</f>
        <v>2.77299035369775</v>
      </c>
      <c r="G9" s="61"/>
      <c r="I9" s="63"/>
    </row>
    <row r="10" customFormat="false" ht="15.75" hidden="false" customHeight="false" outlineLevel="0" collapsed="false">
      <c r="A10" s="57"/>
      <c r="B10" s="57"/>
      <c r="C10" s="58" t="n">
        <f aca="false">B10/B$22*B$24</f>
        <v>0</v>
      </c>
      <c r="D10" s="57"/>
      <c r="E10" s="65" t="n">
        <f aca="false">IFERROR(INDEX(Correspondance!$D$2:$D$3000,MATCH(A10,Correspondance!$A$2:$A$3000,0)),0)</f>
        <v>0</v>
      </c>
      <c r="F10" s="60" t="n">
        <f aca="false">C10*E10</f>
        <v>0</v>
      </c>
      <c r="G10" s="61"/>
      <c r="I10" s="63"/>
    </row>
    <row r="11" customFormat="false" ht="15.75" hidden="false" customHeight="false" outlineLevel="0" collapsed="false">
      <c r="A11" s="57"/>
      <c r="B11" s="57"/>
      <c r="C11" s="58" t="n">
        <f aca="false">B11/B$22*B$24</f>
        <v>0</v>
      </c>
      <c r="D11" s="57"/>
      <c r="E11" s="65" t="n">
        <f aca="false">IFERROR(INDEX(Correspondance!$D$2:$D$3000,MATCH(A11,Correspondance!$A$2:$A$3000,0)),0)</f>
        <v>0</v>
      </c>
      <c r="F11" s="60" t="n">
        <f aca="false">C11*E11</f>
        <v>0</v>
      </c>
      <c r="G11" s="61"/>
      <c r="I11" s="63"/>
    </row>
    <row r="12" customFormat="false" ht="18.75" hidden="false" customHeight="true" outlineLevel="0" collapsed="false">
      <c r="A12" s="57"/>
      <c r="B12" s="64"/>
      <c r="C12" s="58" t="n">
        <f aca="false">B12/B$22*B$24</f>
        <v>0</v>
      </c>
      <c r="D12" s="57"/>
      <c r="E12" s="65" t="n">
        <f aca="false">IFERROR(INDEX(Correspondance!$D$2:$D$3000,MATCH(A12,Correspondance!$A$2:$A$3000,0)),0)</f>
        <v>0</v>
      </c>
      <c r="F12" s="60" t="n">
        <f aca="false">C12*E12</f>
        <v>0</v>
      </c>
      <c r="G12" s="61"/>
      <c r="I12" s="63"/>
    </row>
    <row r="13" customFormat="false" ht="18.75" hidden="false" customHeight="true" outlineLevel="0" collapsed="false">
      <c r="A13" s="57"/>
      <c r="B13" s="64"/>
      <c r="C13" s="58" t="n">
        <f aca="false">B13/B$22*B$24</f>
        <v>0</v>
      </c>
      <c r="D13" s="57"/>
      <c r="E13" s="65" t="n">
        <f aca="false">IFERROR(INDEX(Correspondance!$D$2:$D$3000,MATCH(A13,Correspondance!$A$2:$A$3000,0)),0)</f>
        <v>0</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93.0212504465881</v>
      </c>
      <c r="G19" s="61"/>
      <c r="I19" s="63"/>
    </row>
    <row r="20" customFormat="false" ht="18.75" hidden="false" customHeight="true" outlineLevel="0" collapsed="false">
      <c r="A20" s="68" t="s">
        <v>2628</v>
      </c>
      <c r="B20" s="69" t="n">
        <f aca="false">F19/B24</f>
        <v>0.845647731332619</v>
      </c>
      <c r="C20" s="70"/>
      <c r="G20" s="61"/>
      <c r="I20" s="63"/>
    </row>
    <row r="21" customFormat="false" ht="15.75" hidden="false" customHeight="false" outlineLevel="0" collapsed="false">
      <c r="A21" s="71" t="s">
        <v>2629</v>
      </c>
      <c r="B21" s="71" t="n">
        <f aca="false">SUM(B3:B18)</f>
        <v>5.598</v>
      </c>
      <c r="C21" s="66"/>
      <c r="G21" s="61"/>
      <c r="I21" s="63"/>
    </row>
    <row r="22" customFormat="false" ht="15.75" hidden="false" customHeight="false" outlineLevel="0" collapsed="false">
      <c r="A22" s="0" t="s">
        <v>2630</v>
      </c>
      <c r="B22" s="72" t="n">
        <f aca="false">B21/B23</f>
        <v>69.975</v>
      </c>
      <c r="C22" s="66"/>
      <c r="G22" s="61"/>
      <c r="I22" s="63"/>
    </row>
    <row r="23" customFormat="false" ht="15.75" hidden="false" customHeight="false" outlineLevel="0" collapsed="false">
      <c r="A23" s="0" t="s">
        <v>2631</v>
      </c>
      <c r="B23" s="0" t="n">
        <v>0.08</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48</v>
      </c>
      <c r="B1" s="50"/>
      <c r="C1" s="50"/>
      <c r="D1" s="50"/>
      <c r="E1" s="51" t="s">
        <v>2619</v>
      </c>
      <c r="F1" s="51"/>
      <c r="G1" s="52" t="s">
        <v>2656</v>
      </c>
    </row>
    <row r="2" customFormat="false" ht="24.75" hidden="false" customHeight="true" outlineLevel="0" collapsed="false">
      <c r="A2" s="50"/>
      <c r="B2" s="50"/>
      <c r="C2" s="50"/>
      <c r="D2" s="50"/>
      <c r="E2" s="53" t="s">
        <v>2621</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1902</v>
      </c>
      <c r="B4" s="57" t="n">
        <v>2.27</v>
      </c>
      <c r="C4" s="58" t="n">
        <f aca="false">B4/B$22*B$24</f>
        <v>3.5664150173434</v>
      </c>
      <c r="D4" s="57" t="s">
        <v>434</v>
      </c>
      <c r="E4" s="59" t="n">
        <f aca="false">IFERROR(INDEX(Correspondance!$D$2:$D$3000,MATCH(A4,Correspondance!$A$2:$A$3000,0)),0)</f>
        <v>14</v>
      </c>
      <c r="F4" s="60" t="n">
        <f aca="false">C4*E4</f>
        <v>49.9298102428076</v>
      </c>
      <c r="G4" s="61" t="s">
        <v>2680</v>
      </c>
    </row>
    <row r="5" customFormat="false" ht="15.75" hidden="false" customHeight="false" outlineLevel="0" collapsed="false">
      <c r="A5" s="57" t="s">
        <v>1567</v>
      </c>
      <c r="B5" s="57" t="n">
        <v>0.454</v>
      </c>
      <c r="C5" s="58" t="n">
        <f aca="false">B5/B$22*B$24</f>
        <v>0.71328300346868</v>
      </c>
      <c r="D5" s="57" t="s">
        <v>434</v>
      </c>
      <c r="E5" s="59" t="n">
        <f aca="false">IFERROR(INDEX(Correspondance!$D$2:$D$3000,MATCH(A5,Correspondance!$A$2:$A$3000,0)),0)</f>
        <v>6.5</v>
      </c>
      <c r="F5" s="60" t="n">
        <f aca="false">C5*E5</f>
        <v>4.63633952254642</v>
      </c>
      <c r="G5" s="61"/>
      <c r="I5" s="62"/>
    </row>
    <row r="6" customFormat="false" ht="15.75" hidden="false" customHeight="false" outlineLevel="0" collapsed="false">
      <c r="A6" s="57" t="s">
        <v>678</v>
      </c>
      <c r="B6" s="57" t="n">
        <v>0.635</v>
      </c>
      <c r="C6" s="58" t="n">
        <f aca="false">B6/B$22*B$24</f>
        <v>0.997653540093859</v>
      </c>
      <c r="D6" s="57" t="s">
        <v>434</v>
      </c>
      <c r="E6" s="59" t="n">
        <f aca="false">IFERROR(INDEX(Correspondance!$D$2:$D$3000,MATCH(A6,Correspondance!$A$2:$A$3000,0)),0)</f>
        <v>10.5</v>
      </c>
      <c r="F6" s="60" t="n">
        <f aca="false">C6*E6</f>
        <v>10.4753621709855</v>
      </c>
      <c r="G6" s="61"/>
      <c r="I6" s="63"/>
    </row>
    <row r="7" customFormat="false" ht="15.75" hidden="false" customHeight="false" outlineLevel="0" collapsed="false">
      <c r="A7" s="57" t="s">
        <v>878</v>
      </c>
      <c r="B7" s="57" t="n">
        <v>0.907</v>
      </c>
      <c r="C7" s="58" t="n">
        <f aca="false">B7/B$22*B$24</f>
        <v>1.4249948990002</v>
      </c>
      <c r="D7" s="57" t="s">
        <v>434</v>
      </c>
      <c r="E7" s="59" t="n">
        <f aca="false">IFERROR(INDEX(Correspondance!$D$2:$D$3000,MATCH(A7,Correspondance!$A$2:$A$3000,0)),0)</f>
        <v>3.6</v>
      </c>
      <c r="F7" s="60" t="n">
        <f aca="false">C7*E7</f>
        <v>5.12998163640074</v>
      </c>
      <c r="G7" s="61"/>
      <c r="I7" s="63"/>
    </row>
    <row r="8" customFormat="false" ht="15.75" hidden="false" customHeight="false" outlineLevel="0" collapsed="false">
      <c r="A8" s="57" t="s">
        <v>869</v>
      </c>
      <c r="B8" s="57" t="n">
        <v>0.454</v>
      </c>
      <c r="C8" s="58" t="n">
        <f aca="false">B8/B$22*B$24</f>
        <v>0.71328300346868</v>
      </c>
      <c r="D8" s="57" t="s">
        <v>434</v>
      </c>
      <c r="E8" s="59" t="n">
        <f aca="false">IFERROR(INDEX(Correspondance!$D$2:$D$3000,MATCH(A8,Correspondance!$A$2:$A$3000,0)),0)</f>
        <v>3.33</v>
      </c>
      <c r="F8" s="60" t="n">
        <f aca="false">C8*E8</f>
        <v>2.3752324015507</v>
      </c>
      <c r="G8" s="61"/>
      <c r="I8" s="63"/>
    </row>
    <row r="9" customFormat="false" ht="15.75" hidden="false" customHeight="false" outlineLevel="0" collapsed="false">
      <c r="A9" s="57" t="s">
        <v>1725</v>
      </c>
      <c r="B9" s="57" t="n">
        <v>0.181</v>
      </c>
      <c r="C9" s="58" t="n">
        <f aca="false">B9/B$22*B$24</f>
        <v>0.284370536625179</v>
      </c>
      <c r="D9" s="57" t="s">
        <v>434</v>
      </c>
      <c r="E9" s="59" t="n">
        <f aca="false">IFERROR(INDEX(Correspondance!$D$2:$D$3000,MATCH(A9,Correspondance!$A$2:$A$3000,0)),0)</f>
        <v>9</v>
      </c>
      <c r="F9" s="60" t="n">
        <f aca="false">C9*E9</f>
        <v>2.55933482962661</v>
      </c>
      <c r="G9" s="61"/>
      <c r="I9" s="63"/>
    </row>
    <row r="10" customFormat="false" ht="15.75" hidden="false" customHeight="false" outlineLevel="0" collapsed="false">
      <c r="A10" s="57"/>
      <c r="B10" s="57"/>
      <c r="C10" s="58" t="n">
        <f aca="false">B10/B$22*B$24</f>
        <v>0</v>
      </c>
      <c r="D10" s="57"/>
      <c r="E10" s="65" t="n">
        <f aca="false">IFERROR(INDEX(Correspondance!$D$2:$D$3000,MATCH(A10,Correspondance!$A$2:$A$3000,0)),0)</f>
        <v>0</v>
      </c>
      <c r="F10" s="60" t="n">
        <f aca="false">C10*E10</f>
        <v>0</v>
      </c>
      <c r="G10" s="61"/>
      <c r="I10" s="63"/>
    </row>
    <row r="11" customFormat="false" ht="15.75" hidden="false" customHeight="false" outlineLevel="0" collapsed="false">
      <c r="A11" s="57"/>
      <c r="B11" s="57"/>
      <c r="C11" s="58" t="n">
        <f aca="false">B11/B$22*B$24</f>
        <v>0</v>
      </c>
      <c r="D11" s="57"/>
      <c r="E11" s="65" t="n">
        <f aca="false">IFERROR(INDEX(Correspondance!$D$2:$D$3000,MATCH(A11,Correspondance!$A$2:$A$3000,0)),0)</f>
        <v>0</v>
      </c>
      <c r="F11" s="60" t="n">
        <f aca="false">C11*E11</f>
        <v>0</v>
      </c>
      <c r="G11" s="61"/>
      <c r="I11" s="63"/>
    </row>
    <row r="12" customFormat="false" ht="18.75" hidden="false" customHeight="true" outlineLevel="0" collapsed="false">
      <c r="A12" s="57"/>
      <c r="B12" s="64"/>
      <c r="C12" s="58" t="n">
        <f aca="false">B12/B$22*B$24</f>
        <v>0</v>
      </c>
      <c r="D12" s="57"/>
      <c r="E12" s="65" t="n">
        <f aca="false">IFERROR(INDEX(Correspondance!$D$2:$D$3000,MATCH(A12,Correspondance!$A$2:$A$3000,0)),0)</f>
        <v>0</v>
      </c>
      <c r="F12" s="60" t="n">
        <f aca="false">C12*E12</f>
        <v>0</v>
      </c>
      <c r="G12" s="61"/>
      <c r="I12" s="63"/>
    </row>
    <row r="13" customFormat="false" ht="18.75" hidden="false" customHeight="true" outlineLevel="0" collapsed="false">
      <c r="A13" s="57"/>
      <c r="B13" s="64"/>
      <c r="C13" s="58" t="n">
        <f aca="false">B13/B$22*B$24</f>
        <v>0</v>
      </c>
      <c r="D13" s="57"/>
      <c r="E13" s="65" t="n">
        <f aca="false">IFERROR(INDEX(Correspondance!$D$2:$D$3000,MATCH(A13,Correspondance!$A$2:$A$3000,0)),0)</f>
        <v>0</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75.1060608039176</v>
      </c>
      <c r="G19" s="61"/>
      <c r="I19" s="63"/>
    </row>
    <row r="20" customFormat="false" ht="18.75" hidden="false" customHeight="true" outlineLevel="0" collapsed="false">
      <c r="A20" s="68" t="s">
        <v>2628</v>
      </c>
      <c r="B20" s="69" t="n">
        <f aca="false">F19/B24</f>
        <v>0.682782370944705</v>
      </c>
      <c r="C20" s="70"/>
      <c r="G20" s="61"/>
      <c r="I20" s="63"/>
    </row>
    <row r="21" customFormat="false" ht="15.75" hidden="false" customHeight="false" outlineLevel="0" collapsed="false">
      <c r="A21" s="71" t="s">
        <v>2629</v>
      </c>
      <c r="B21" s="71" t="n">
        <f aca="false">SUM(B3:B18)</f>
        <v>4.901</v>
      </c>
      <c r="C21" s="66"/>
      <c r="G21" s="61"/>
      <c r="I21" s="63"/>
    </row>
    <row r="22" customFormat="false" ht="15.75" hidden="false" customHeight="false" outlineLevel="0" collapsed="false">
      <c r="A22" s="0" t="s">
        <v>2630</v>
      </c>
      <c r="B22" s="72" t="n">
        <f aca="false">B21/B23</f>
        <v>70.0142857142857</v>
      </c>
      <c r="C22" s="66"/>
      <c r="G22" s="61"/>
      <c r="I22" s="63"/>
    </row>
    <row r="23" customFormat="false" ht="15.75" hidden="false" customHeight="false" outlineLevel="0" collapsed="false">
      <c r="A23" s="0" t="s">
        <v>2631</v>
      </c>
      <c r="B23" s="0" t="n">
        <v>0.07</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49</v>
      </c>
      <c r="B1" s="50"/>
      <c r="C1" s="50"/>
      <c r="D1" s="50"/>
      <c r="E1" s="51" t="s">
        <v>2619</v>
      </c>
      <c r="F1" s="51"/>
      <c r="G1" s="52" t="s">
        <v>2645</v>
      </c>
    </row>
    <row r="2" customFormat="false" ht="24.75" hidden="false" customHeight="true" outlineLevel="0" collapsed="false">
      <c r="A2" s="50"/>
      <c r="B2" s="50"/>
      <c r="C2" s="50"/>
      <c r="D2" s="50"/>
      <c r="E2" s="53" t="s">
        <v>2621</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787</v>
      </c>
      <c r="B4" s="57" t="n">
        <v>3.54</v>
      </c>
      <c r="C4" s="58" t="n">
        <f aca="false">B4/B$22*B$24</f>
        <v>5.55729984301413</v>
      </c>
      <c r="D4" s="57" t="s">
        <v>434</v>
      </c>
      <c r="E4" s="59" t="n">
        <f aca="false">IFERROR(INDEX(Correspondance!$D$2:$D$3000,MATCH(A4,Correspondance!$A$2:$A$3000,0)),0)</f>
        <v>1</v>
      </c>
      <c r="F4" s="60" t="n">
        <f aca="false">C4*E4</f>
        <v>5.55729984301413</v>
      </c>
      <c r="G4" s="61" t="s">
        <v>2681</v>
      </c>
    </row>
    <row r="5" customFormat="false" ht="15.75" hidden="false" customHeight="false" outlineLevel="0" collapsed="false">
      <c r="A5" s="57" t="s">
        <v>1525</v>
      </c>
      <c r="B5" s="57" t="n">
        <v>1.77</v>
      </c>
      <c r="C5" s="58" t="n">
        <f aca="false">B5/B$22*B$24</f>
        <v>2.77864992150706</v>
      </c>
      <c r="D5" s="57" t="s">
        <v>434</v>
      </c>
      <c r="E5" s="59" t="n">
        <f aca="false">IFERROR(INDEX(Correspondance!$D$2:$D$3000,MATCH(A5,Correspondance!$A$2:$A$3000,0)),0)</f>
        <v>1</v>
      </c>
      <c r="F5" s="60" t="n">
        <f aca="false">C5*E5</f>
        <v>2.77864992150706</v>
      </c>
      <c r="G5" s="61"/>
      <c r="I5" s="62"/>
    </row>
    <row r="6" customFormat="false" ht="15.75" hidden="false" customHeight="false" outlineLevel="0" collapsed="false">
      <c r="A6" s="57" t="s">
        <v>1709</v>
      </c>
      <c r="B6" s="57" t="n">
        <v>0.884</v>
      </c>
      <c r="C6" s="58" t="n">
        <f aca="false">B6/B$22*B$24</f>
        <v>1.38775510204082</v>
      </c>
      <c r="D6" s="57" t="s">
        <v>434</v>
      </c>
      <c r="E6" s="59" t="n">
        <f aca="false">IFERROR(INDEX(Correspondance!$D$2:$D$3000,MATCH(A6,Correspondance!$A$2:$A$3000,0)),0)</f>
        <v>4.5</v>
      </c>
      <c r="F6" s="60" t="n">
        <f aca="false">C6*E6</f>
        <v>6.24489795918368</v>
      </c>
      <c r="G6" s="61"/>
      <c r="I6" s="63"/>
    </row>
    <row r="7" customFormat="false" ht="15.75" hidden="false" customHeight="false" outlineLevel="0" collapsed="false">
      <c r="A7" s="57" t="s">
        <v>1639</v>
      </c>
      <c r="B7" s="57" t="n">
        <v>0.442</v>
      </c>
      <c r="C7" s="58" t="n">
        <f aca="false">B7/B$22*B$24</f>
        <v>0.693877551020408</v>
      </c>
      <c r="D7" s="57" t="s">
        <v>434</v>
      </c>
      <c r="E7" s="59" t="n">
        <f aca="false">IFERROR(INDEX(Correspondance!$D$2:$D$3000,MATCH(A7,Correspondance!$A$2:$A$3000,0)),0)</f>
        <v>2.8</v>
      </c>
      <c r="F7" s="60" t="n">
        <f aca="false">C7*E7</f>
        <v>1.94285714285714</v>
      </c>
      <c r="G7" s="61"/>
      <c r="I7" s="63"/>
    </row>
    <row r="8" customFormat="false" ht="15.75" hidden="false" customHeight="false" outlineLevel="0" collapsed="false">
      <c r="A8" s="57" t="s">
        <v>1001</v>
      </c>
      <c r="B8" s="57" t="n">
        <v>0.177</v>
      </c>
      <c r="C8" s="58" t="n">
        <f aca="false">B8/B$22*B$24</f>
        <v>0.277864992150706</v>
      </c>
      <c r="D8" s="57" t="s">
        <v>434</v>
      </c>
      <c r="E8" s="59" t="n">
        <f aca="false">IFERROR(INDEX(Correspondance!$D$2:$D$3000,MATCH(A8,Correspondance!$A$2:$A$3000,0)),0)</f>
        <v>1.8</v>
      </c>
      <c r="F8" s="60" t="n">
        <f aca="false">C8*E8</f>
        <v>0.500156985871272</v>
      </c>
      <c r="G8" s="61"/>
      <c r="I8" s="63"/>
    </row>
    <row r="9" customFormat="false" ht="15.75" hidden="false" customHeight="false" outlineLevel="0" collapsed="false">
      <c r="A9" s="57" t="s">
        <v>1340</v>
      </c>
      <c r="B9" s="57" t="n">
        <v>0.088</v>
      </c>
      <c r="C9" s="58" t="n">
        <f aca="false">B9/B$22*B$24</f>
        <v>0.138147566718995</v>
      </c>
      <c r="D9" s="57" t="s">
        <v>682</v>
      </c>
      <c r="E9" s="59" t="n">
        <f aca="false">IFERROR(INDEX(Correspondance!$D$2:$D$3000,MATCH(A9,Correspondance!$A$2:$A$3000,0)),0)</f>
        <v>1.8</v>
      </c>
      <c r="F9" s="60" t="n">
        <f aca="false">C9*E9</f>
        <v>0.248665620094192</v>
      </c>
      <c r="G9" s="61"/>
      <c r="I9" s="63"/>
    </row>
    <row r="10" customFormat="false" ht="15.75" hidden="false" customHeight="false" outlineLevel="0" collapsed="false">
      <c r="A10" s="57" t="s">
        <v>1725</v>
      </c>
      <c r="B10" s="57" t="n">
        <v>0.044</v>
      </c>
      <c r="C10" s="58" t="n">
        <f aca="false">B10/B$22*B$24</f>
        <v>0.0690737833594977</v>
      </c>
      <c r="D10" s="57" t="s">
        <v>434</v>
      </c>
      <c r="E10" s="59" t="n">
        <f aca="false">IFERROR(INDEX(Correspondance!$D$2:$D$3000,MATCH(A10,Correspondance!$A$2:$A$3000,0)),0)</f>
        <v>9</v>
      </c>
      <c r="F10" s="60" t="n">
        <f aca="false">C10*E10</f>
        <v>0.621664050235479</v>
      </c>
      <c r="G10" s="61"/>
      <c r="I10" s="63"/>
    </row>
    <row r="11" customFormat="false" ht="15.75" hidden="false" customHeight="false" outlineLevel="0" collapsed="false">
      <c r="A11" s="57" t="s">
        <v>1937</v>
      </c>
      <c r="B11" s="57" t="n">
        <v>0.027</v>
      </c>
      <c r="C11" s="58" t="n">
        <f aca="false">B11/B$22*B$24</f>
        <v>0.0423861852433281</v>
      </c>
      <c r="D11" s="57" t="s">
        <v>434</v>
      </c>
      <c r="E11" s="59" t="n">
        <f aca="false">IFERROR(INDEX(Correspondance!$D$2:$D$3000,MATCH(A11,Correspondance!$A$2:$A$3000,0)),0)</f>
        <v>1.3</v>
      </c>
      <c r="F11" s="60" t="n">
        <f aca="false">C11*E11</f>
        <v>0.0551020408163265</v>
      </c>
      <c r="G11" s="61"/>
      <c r="I11" s="63"/>
    </row>
    <row r="12" customFormat="false" ht="18.75" hidden="false" customHeight="true" outlineLevel="0" collapsed="false">
      <c r="A12" s="57" t="s">
        <v>1919</v>
      </c>
      <c r="B12" s="64" t="n">
        <v>0.035</v>
      </c>
      <c r="C12" s="58" t="n">
        <f aca="false">B12/B$22*B$24</f>
        <v>0.054945054945055</v>
      </c>
      <c r="D12" s="57" t="s">
        <v>434</v>
      </c>
      <c r="E12" s="59" t="n">
        <f aca="false">IFERROR(INDEX(Correspondance!$D$2:$D$3000,MATCH(A12,Correspondance!$A$2:$A$3000,0)),0)</f>
        <v>2</v>
      </c>
      <c r="F12" s="60" t="n">
        <f aca="false">C12*E12</f>
        <v>0.10989010989011</v>
      </c>
      <c r="G12" s="61"/>
      <c r="I12" s="63"/>
    </row>
    <row r="13" customFormat="false" ht="18.75" hidden="false" customHeight="true" outlineLevel="0" collapsed="false">
      <c r="A13" s="57" t="s">
        <v>1814</v>
      </c>
      <c r="B13" s="64"/>
      <c r="C13" s="58" t="n">
        <f aca="false">B13/B$22*B$24</f>
        <v>0</v>
      </c>
      <c r="D13" s="57" t="s">
        <v>434</v>
      </c>
      <c r="E13" s="59" t="n">
        <f aca="false">IFERROR(INDEX(Correspondance!$D$2:$D$3000,MATCH(A13,Correspondance!$A$2:$A$3000,0)),0)</f>
        <v>18</v>
      </c>
      <c r="F13" s="60" t="n">
        <f aca="false">C13*E13</f>
        <v>0</v>
      </c>
      <c r="G13" s="61"/>
      <c r="I13" s="63"/>
    </row>
    <row r="14" customFormat="false" ht="15.75" hidden="false" customHeight="false" outlineLevel="0" collapsed="false">
      <c r="A14" s="57" t="s">
        <v>1539</v>
      </c>
      <c r="B14" s="57"/>
      <c r="C14" s="58" t="n">
        <f aca="false">B14/B$22*B$24</f>
        <v>0</v>
      </c>
      <c r="D14" s="57" t="s">
        <v>434</v>
      </c>
      <c r="E14" s="59" t="n">
        <f aca="false">IFERROR(INDEX(Correspondance!$D$2:$D$3000,MATCH(A14,Correspondance!$A$2:$A$3000,0)),0)</f>
        <v>13</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18.0591836734694</v>
      </c>
      <c r="G19" s="61"/>
      <c r="I19" s="63"/>
    </row>
    <row r="20" customFormat="false" ht="18.75" hidden="false" customHeight="true" outlineLevel="0" collapsed="false">
      <c r="A20" s="68" t="s">
        <v>2628</v>
      </c>
      <c r="B20" s="69" t="n">
        <f aca="false">F19/B24</f>
        <v>0.16417439703154</v>
      </c>
      <c r="C20" s="70"/>
      <c r="G20" s="61"/>
      <c r="I20" s="63"/>
    </row>
    <row r="21" customFormat="false" ht="15.75" hidden="false" customHeight="false" outlineLevel="0" collapsed="false">
      <c r="A21" s="71" t="s">
        <v>2629</v>
      </c>
      <c r="B21" s="71" t="n">
        <f aca="false">SUM(B3:B18)</f>
        <v>7.007</v>
      </c>
      <c r="C21" s="66"/>
      <c r="G21" s="61"/>
      <c r="I21" s="63"/>
    </row>
    <row r="22" customFormat="false" ht="15.75" hidden="false" customHeight="false" outlineLevel="0" collapsed="false">
      <c r="A22" s="0" t="s">
        <v>2630</v>
      </c>
      <c r="B22" s="72" t="n">
        <f aca="false">B21/B23</f>
        <v>70.07</v>
      </c>
      <c r="C22" s="66"/>
      <c r="G22" s="61"/>
      <c r="I22" s="63"/>
    </row>
    <row r="23" customFormat="false" ht="15.75" hidden="false" customHeight="false" outlineLevel="0" collapsed="false">
      <c r="A23" s="0" t="s">
        <v>2631</v>
      </c>
      <c r="B23" s="0" t="n">
        <v>0.1</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50</v>
      </c>
      <c r="B1" s="50"/>
      <c r="C1" s="50"/>
      <c r="D1" s="50"/>
      <c r="E1" s="51" t="s">
        <v>2619</v>
      </c>
      <c r="F1" s="51"/>
      <c r="G1" s="52" t="s">
        <v>2645</v>
      </c>
    </row>
    <row r="2" customFormat="false" ht="24.75" hidden="false" customHeight="true" outlineLevel="0" collapsed="false">
      <c r="A2" s="50"/>
      <c r="B2" s="50"/>
      <c r="C2" s="50"/>
      <c r="D2" s="50"/>
      <c r="E2" s="53" t="s">
        <v>2621</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789</v>
      </c>
      <c r="B4" s="57" t="n">
        <v>4.44</v>
      </c>
      <c r="C4" s="58" t="n">
        <f aca="false">B4/B$22*B$24</f>
        <v>6.97935852651636</v>
      </c>
      <c r="D4" s="57" t="s">
        <v>434</v>
      </c>
      <c r="E4" s="59" t="n">
        <f aca="false">IFERROR(INDEX(Correspondance!$D$2:$D$3000,MATCH(A4,Correspondance!$A$2:$A$3000,0)),0)</f>
        <v>1.9</v>
      </c>
      <c r="F4" s="60" t="n">
        <f aca="false">C4*E4</f>
        <v>13.2607812003811</v>
      </c>
      <c r="G4" s="61" t="s">
        <v>2682</v>
      </c>
    </row>
    <row r="5" customFormat="false" ht="15.75" hidden="false" customHeight="false" outlineLevel="0" collapsed="false">
      <c r="A5" s="57" t="s">
        <v>1525</v>
      </c>
      <c r="B5" s="57" t="n">
        <v>0.889</v>
      </c>
      <c r="C5" s="58" t="n">
        <f aca="false">B5/B$22*B$24</f>
        <v>1.39744363289933</v>
      </c>
      <c r="D5" s="57" t="s">
        <v>434</v>
      </c>
      <c r="E5" s="59" t="n">
        <f aca="false">IFERROR(INDEX(Correspondance!$D$2:$D$3000,MATCH(A5,Correspondance!$A$2:$A$3000,0)),0)</f>
        <v>1</v>
      </c>
      <c r="F5" s="60" t="n">
        <f aca="false">C5*E5</f>
        <v>1.39744363289933</v>
      </c>
      <c r="G5" s="61"/>
      <c r="I5" s="62"/>
    </row>
    <row r="6" customFormat="false" ht="15.75" hidden="false" customHeight="false" outlineLevel="0" collapsed="false">
      <c r="A6" s="57" t="s">
        <v>1131</v>
      </c>
      <c r="B6" s="57" t="n">
        <v>0.355</v>
      </c>
      <c r="C6" s="58" t="n">
        <f aca="false">B6/B$22*B$24</f>
        <v>0.558034296602096</v>
      </c>
      <c r="D6" s="57" t="s">
        <v>682</v>
      </c>
      <c r="E6" s="59" t="n">
        <f aca="false">IFERROR(INDEX(Correspondance!$D$2:$D$3000,MATCH(A6,Correspondance!$A$2:$A$3000,0)),0)</f>
        <v>2.2</v>
      </c>
      <c r="F6" s="60" t="n">
        <f aca="false">C6*E6</f>
        <v>1.22767545252461</v>
      </c>
      <c r="G6" s="61"/>
      <c r="I6" s="63"/>
    </row>
    <row r="7" customFormat="false" ht="15.75" hidden="false" customHeight="false" outlineLevel="0" collapsed="false">
      <c r="A7" s="57" t="s">
        <v>1246</v>
      </c>
      <c r="B7" s="57" t="n">
        <v>0.178</v>
      </c>
      <c r="C7" s="58" t="n">
        <f aca="false">B7/B$22*B$24</f>
        <v>0.279803112099079</v>
      </c>
      <c r="D7" s="57" t="s">
        <v>682</v>
      </c>
      <c r="E7" s="59" t="n">
        <f aca="false">IFERROR(INDEX(Correspondance!$D$2:$D$3000,MATCH(A7,Correspondance!$A$2:$A$3000,0)),0)</f>
        <v>4</v>
      </c>
      <c r="F7" s="60" t="n">
        <f aca="false">C7*E7</f>
        <v>1.11921244839632</v>
      </c>
      <c r="G7" s="61"/>
      <c r="I7" s="63"/>
    </row>
    <row r="8" customFormat="false" ht="15.75" hidden="false" customHeight="false" outlineLevel="0" collapsed="false">
      <c r="A8" s="57" t="s">
        <v>1980</v>
      </c>
      <c r="B8" s="57" t="n">
        <v>0.178</v>
      </c>
      <c r="C8" s="58" t="n">
        <f aca="false">B8/B$22*B$24</f>
        <v>0.279803112099079</v>
      </c>
      <c r="D8" s="57" t="s">
        <v>682</v>
      </c>
      <c r="E8" s="59" t="n">
        <f aca="false">IFERROR(INDEX(Correspondance!$D$2:$D$3000,MATCH(A8,Correspondance!$A$2:$A$3000,0)),0)</f>
        <v>4</v>
      </c>
      <c r="F8" s="60" t="n">
        <f aca="false">C8*E8</f>
        <v>1.11921244839632</v>
      </c>
      <c r="G8" s="61"/>
      <c r="I8" s="63"/>
    </row>
    <row r="9" customFormat="false" ht="15.75" hidden="false" customHeight="false" outlineLevel="0" collapsed="false">
      <c r="A9" s="57" t="s">
        <v>1128</v>
      </c>
      <c r="B9" s="57" t="n">
        <v>0.089</v>
      </c>
      <c r="C9" s="58" t="n">
        <f aca="false">B9/B$22*B$24</f>
        <v>0.13990155604954</v>
      </c>
      <c r="D9" s="57" t="s">
        <v>682</v>
      </c>
      <c r="E9" s="59" t="n">
        <f aca="false">IFERROR(INDEX(Correspondance!$D$2:$D$3000,MATCH(A9,Correspondance!$A$2:$A$3000,0)),0)</f>
        <v>11</v>
      </c>
      <c r="F9" s="60" t="n">
        <f aca="false">C9*E9</f>
        <v>1.53891711654493</v>
      </c>
      <c r="G9" s="61"/>
      <c r="I9" s="63"/>
    </row>
    <row r="10" customFormat="false" ht="15.75" hidden="false" customHeight="false" outlineLevel="0" collapsed="false">
      <c r="A10" s="57" t="s">
        <v>1111</v>
      </c>
      <c r="B10" s="57" t="n">
        <v>0.089</v>
      </c>
      <c r="C10" s="58" t="n">
        <f aca="false">B10/B$22*B$24</f>
        <v>0.13990155604954</v>
      </c>
      <c r="D10" s="57" t="s">
        <v>434</v>
      </c>
      <c r="E10" s="59" t="n">
        <f aca="false">IFERROR(INDEX(Correspondance!$D$2:$D$3000,MATCH(A10,Correspondance!$A$2:$A$3000,0)),0)</f>
        <v>6</v>
      </c>
      <c r="F10" s="60" t="n">
        <f aca="false">C10*E10</f>
        <v>0.839409336297237</v>
      </c>
      <c r="G10" s="61"/>
      <c r="I10" s="63"/>
    </row>
    <row r="11" customFormat="false" ht="15.75" hidden="false" customHeight="false" outlineLevel="0" collapsed="false">
      <c r="A11" s="57" t="s">
        <v>1937</v>
      </c>
      <c r="B11" s="57" t="n">
        <v>0.044</v>
      </c>
      <c r="C11" s="58" t="n">
        <f aca="false">B11/B$22*B$24</f>
        <v>0.0691648142267387</v>
      </c>
      <c r="D11" s="57" t="s">
        <v>434</v>
      </c>
      <c r="E11" s="59" t="n">
        <f aca="false">IFERROR(INDEX(Correspondance!$D$2:$D$3000,MATCH(A11,Correspondance!$A$2:$A$3000,0)),0)</f>
        <v>1.3</v>
      </c>
      <c r="F11" s="60" t="n">
        <f aca="false">C11*E11</f>
        <v>0.0899142584947602</v>
      </c>
      <c r="G11" s="61"/>
      <c r="I11" s="63"/>
    </row>
    <row r="12" customFormat="false" ht="18.75" hidden="false" customHeight="true" outlineLevel="0" collapsed="false">
      <c r="A12" s="57" t="s">
        <v>1280</v>
      </c>
      <c r="B12" s="64" t="n">
        <v>0.018</v>
      </c>
      <c r="C12" s="58" t="n">
        <f aca="false">B12/B$22*B$24</f>
        <v>0.0282946967291204</v>
      </c>
      <c r="D12" s="57" t="s">
        <v>434</v>
      </c>
      <c r="E12" s="59" t="n">
        <f aca="false">IFERROR(INDEX(Correspondance!$D$2:$D$3000,MATCH(A12,Correspondance!$A$2:$A$3000,0)),0)</f>
        <v>14</v>
      </c>
      <c r="F12" s="60" t="n">
        <f aca="false">C12*E12</f>
        <v>0.396125754207685</v>
      </c>
      <c r="G12" s="61"/>
      <c r="I12" s="63"/>
    </row>
    <row r="13" customFormat="false" ht="18.75" hidden="false" customHeight="true" outlineLevel="0" collapsed="false">
      <c r="A13" s="57" t="s">
        <v>1919</v>
      </c>
      <c r="B13" s="64" t="n">
        <v>0.018</v>
      </c>
      <c r="C13" s="58" t="n">
        <f aca="false">B13/B$22*B$24</f>
        <v>0.0282946967291204</v>
      </c>
      <c r="D13" s="57" t="s">
        <v>434</v>
      </c>
      <c r="E13" s="59" t="n">
        <f aca="false">IFERROR(INDEX(Correspondance!$D$2:$D$3000,MATCH(A13,Correspondance!$A$2:$A$3000,0)),0)</f>
        <v>2</v>
      </c>
      <c r="F13" s="60" t="n">
        <f aca="false">C13*E13</f>
        <v>0.0565893934582407</v>
      </c>
      <c r="G13" s="61"/>
      <c r="I13" s="63"/>
    </row>
    <row r="14" customFormat="false" ht="15.75" hidden="false" customHeight="false" outlineLevel="0" collapsed="false">
      <c r="A14" s="57" t="s">
        <v>1563</v>
      </c>
      <c r="B14" s="57"/>
      <c r="C14" s="58" t="n">
        <f aca="false">B14/B$22*B$24</f>
        <v>0</v>
      </c>
      <c r="D14" s="57" t="s">
        <v>434</v>
      </c>
      <c r="E14" s="59" t="n">
        <f aca="false">IFERROR(INDEX(Correspondance!$D$2:$D$3000,MATCH(A14,Correspondance!$A$2:$A$3000,0)),0)</f>
        <v>30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21.0452810416005</v>
      </c>
      <c r="G19" s="61"/>
      <c r="I19" s="63"/>
    </row>
    <row r="20" customFormat="false" ht="18.75" hidden="false" customHeight="true" outlineLevel="0" collapsed="false">
      <c r="A20" s="68" t="s">
        <v>2628</v>
      </c>
      <c r="B20" s="69" t="n">
        <f aca="false">F19/B24</f>
        <v>0.191320736741823</v>
      </c>
      <c r="C20" s="70"/>
      <c r="G20" s="61"/>
      <c r="I20" s="63"/>
    </row>
    <row r="21" customFormat="false" ht="15.75" hidden="false" customHeight="false" outlineLevel="0" collapsed="false">
      <c r="A21" s="71" t="s">
        <v>2629</v>
      </c>
      <c r="B21" s="71" t="n">
        <f aca="false">SUM(B3:B18)</f>
        <v>6.298</v>
      </c>
      <c r="C21" s="66"/>
      <c r="G21" s="61"/>
      <c r="I21" s="63"/>
    </row>
    <row r="22" customFormat="false" ht="15.75" hidden="false" customHeight="false" outlineLevel="0" collapsed="false">
      <c r="A22" s="0" t="s">
        <v>2630</v>
      </c>
      <c r="B22" s="72" t="n">
        <f aca="false">B21/B23</f>
        <v>69.9777777777778</v>
      </c>
      <c r="C22" s="66"/>
      <c r="G22" s="61"/>
      <c r="I22" s="63"/>
    </row>
    <row r="23" customFormat="false" ht="15.75" hidden="false" customHeight="false" outlineLevel="0" collapsed="false">
      <c r="A23" s="0" t="s">
        <v>2631</v>
      </c>
      <c r="B23" s="0" t="n">
        <v>0.09</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51</v>
      </c>
      <c r="B1" s="50"/>
      <c r="C1" s="50"/>
      <c r="D1" s="50"/>
      <c r="E1" s="51" t="s">
        <v>2619</v>
      </c>
      <c r="F1" s="51"/>
      <c r="G1" s="52" t="s">
        <v>2645</v>
      </c>
    </row>
    <row r="2" customFormat="false" ht="24.75" hidden="false" customHeight="true" outlineLevel="0" collapsed="false">
      <c r="A2" s="50"/>
      <c r="B2" s="50"/>
      <c r="C2" s="50"/>
      <c r="D2" s="50"/>
      <c r="E2" s="53" t="s">
        <v>2621</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1961</v>
      </c>
      <c r="B4" s="57" t="n">
        <v>6.54</v>
      </c>
      <c r="C4" s="58" t="n">
        <f aca="false">B4/B$22*B$24</f>
        <v>10.2798129384256</v>
      </c>
      <c r="D4" s="57" t="s">
        <v>434</v>
      </c>
      <c r="E4" s="59" t="n">
        <f aca="false">IFERROR(INDEX(Correspondance!$D$2:$D$3000,MATCH(A4,Correspondance!$A$2:$A$3000,0)),0)</f>
        <v>2.4</v>
      </c>
      <c r="F4" s="60" t="n">
        <f aca="false">C4*E4</f>
        <v>24.6715510522214</v>
      </c>
      <c r="G4" s="61" t="s">
        <v>2683</v>
      </c>
    </row>
    <row r="5" customFormat="false" ht="15.75" hidden="false" customHeight="false" outlineLevel="0" collapsed="false">
      <c r="A5" s="57" t="s">
        <v>1747</v>
      </c>
      <c r="B5" s="57" t="n">
        <v>0.374</v>
      </c>
      <c r="C5" s="58" t="n">
        <f aca="false">B5/B$22*B$24</f>
        <v>0.587866978435957</v>
      </c>
      <c r="D5" s="57" t="s">
        <v>434</v>
      </c>
      <c r="E5" s="59" t="n">
        <f aca="false">IFERROR(INDEX(Correspondance!$D$2:$D$3000,MATCH(A5,Correspondance!$A$2:$A$3000,0)),0)</f>
        <v>1.8</v>
      </c>
      <c r="F5" s="60" t="n">
        <f aca="false">C5*E5</f>
        <v>1.05816056118472</v>
      </c>
      <c r="G5" s="61"/>
      <c r="I5" s="62"/>
    </row>
    <row r="6" customFormat="false" ht="15.75" hidden="false" customHeight="false" outlineLevel="0" collapsed="false">
      <c r="A6" s="57" t="s">
        <v>947</v>
      </c>
      <c r="B6" s="57" t="n">
        <v>0.093</v>
      </c>
      <c r="C6" s="58" t="n">
        <f aca="false">B6/B$22*B$24</f>
        <v>0.14618082618862</v>
      </c>
      <c r="D6" s="57" t="s">
        <v>434</v>
      </c>
      <c r="E6" s="59" t="n">
        <f aca="false">IFERROR(INDEX(Correspondance!$D$2:$D$3000,MATCH(A6,Correspondance!$A$2:$A$3000,0)),0)</f>
        <v>4.5</v>
      </c>
      <c r="F6" s="60" t="n">
        <f aca="false">C6*E6</f>
        <v>0.657813717848792</v>
      </c>
      <c r="G6" s="61"/>
      <c r="I6" s="63"/>
    </row>
    <row r="7" customFormat="false" ht="15.75" hidden="false" customHeight="false" outlineLevel="0" collapsed="false">
      <c r="A7" s="57" t="s">
        <v>1120</v>
      </c>
      <c r="B7" s="57" t="n">
        <v>0.467</v>
      </c>
      <c r="C7" s="58" t="n">
        <f aca="false">B7/B$22*B$24</f>
        <v>0.734047804624578</v>
      </c>
      <c r="D7" s="57" t="s">
        <v>682</v>
      </c>
      <c r="E7" s="59" t="n">
        <f aca="false">IFERROR(INDEX(Correspondance!$D$2:$D$3000,MATCH(A7,Correspondance!$A$2:$A$3000,0)),0)</f>
        <v>7.5</v>
      </c>
      <c r="F7" s="60" t="n">
        <f aca="false">C7*E7</f>
        <v>5.50535853468433</v>
      </c>
      <c r="G7" s="61"/>
      <c r="I7" s="63"/>
    </row>
    <row r="8" customFormat="false" ht="15.75" hidden="false" customHeight="false" outlineLevel="0" collapsed="false">
      <c r="A8" s="57" t="s">
        <v>1336</v>
      </c>
      <c r="B8" s="57" t="n">
        <v>0.14</v>
      </c>
      <c r="C8" s="58" t="n">
        <f aca="false">B8/B$22*B$24</f>
        <v>0.2200571577033</v>
      </c>
      <c r="D8" s="57" t="s">
        <v>682</v>
      </c>
      <c r="E8" s="59" t="n">
        <f aca="false">IFERROR(INDEX(Correspondance!$D$2:$D$3000,MATCH(A8,Correspondance!$A$2:$A$3000,0)),0)</f>
        <v>3.5</v>
      </c>
      <c r="F8" s="60" t="n">
        <f aca="false">C8*E8</f>
        <v>0.770200051961549</v>
      </c>
      <c r="G8" s="61"/>
      <c r="I8" s="63"/>
    </row>
    <row r="9" customFormat="false" ht="15.75" hidden="false" customHeight="false" outlineLevel="0" collapsed="false">
      <c r="A9" s="57" t="s">
        <v>1725</v>
      </c>
      <c r="B9" s="57" t="n">
        <v>0.037</v>
      </c>
      <c r="C9" s="58" t="n">
        <f aca="false">B9/B$22*B$24</f>
        <v>0.0581579631073006</v>
      </c>
      <c r="D9" s="57" t="s">
        <v>434</v>
      </c>
      <c r="E9" s="59" t="n">
        <f aca="false">IFERROR(INDEX(Correspondance!$D$2:$D$3000,MATCH(A9,Correspondance!$A$2:$A$3000,0)),0)</f>
        <v>9</v>
      </c>
      <c r="F9" s="60" t="n">
        <f aca="false">C9*E9</f>
        <v>0.523421667965705</v>
      </c>
      <c r="G9" s="61"/>
      <c r="I9" s="63"/>
    </row>
    <row r="10" customFormat="false" ht="15.75" hidden="false" customHeight="false" outlineLevel="0" collapsed="false">
      <c r="A10" s="57" t="s">
        <v>1919</v>
      </c>
      <c r="B10" s="57" t="n">
        <v>0.047</v>
      </c>
      <c r="C10" s="58" t="n">
        <f aca="false">B10/B$22*B$24</f>
        <v>0.0738763315146791</v>
      </c>
      <c r="D10" s="57" t="s">
        <v>434</v>
      </c>
      <c r="E10" s="59" t="n">
        <f aca="false">IFERROR(INDEX(Correspondance!$D$2:$D$3000,MATCH(A10,Correspondance!$A$2:$A$3000,0)),0)</f>
        <v>2</v>
      </c>
      <c r="F10" s="60" t="n">
        <f aca="false">C10*E10</f>
        <v>0.147752663029358</v>
      </c>
      <c r="G10" s="61"/>
      <c r="I10" s="63"/>
    </row>
    <row r="11" customFormat="false" ht="15.75" hidden="false" customHeight="false" outlineLevel="0" collapsed="false">
      <c r="A11" s="57" t="s">
        <v>1814</v>
      </c>
      <c r="B11" s="57"/>
      <c r="C11" s="58" t="n">
        <f aca="false">B11/B$22*B$24</f>
        <v>0</v>
      </c>
      <c r="D11" s="57" t="s">
        <v>434</v>
      </c>
      <c r="E11" s="59" t="n">
        <f aca="false">IFERROR(INDEX(Correspondance!$D$2:$D$3000,MATCH(A11,Correspondance!$A$2:$A$3000,0)),0)</f>
        <v>18</v>
      </c>
      <c r="F11" s="60" t="n">
        <f aca="false">C11*E11</f>
        <v>0</v>
      </c>
      <c r="G11" s="61"/>
      <c r="I11" s="63"/>
    </row>
    <row r="12" customFormat="false" ht="18.75" hidden="false" customHeight="true" outlineLevel="0" collapsed="false">
      <c r="A12" s="57" t="s">
        <v>1486</v>
      </c>
      <c r="B12" s="64"/>
      <c r="C12" s="58" t="n">
        <f aca="false">B12/B$22*B$24</f>
        <v>0</v>
      </c>
      <c r="D12" s="57" t="s">
        <v>434</v>
      </c>
      <c r="E12" s="59" t="n">
        <f aca="false">IFERROR(INDEX(Correspondance!$D$2:$D$3000,MATCH(A12,Correspondance!$A$2:$A$3000,0)),0)</f>
        <v>12</v>
      </c>
      <c r="F12" s="60" t="n">
        <f aca="false">C12*E12</f>
        <v>0</v>
      </c>
      <c r="G12" s="61"/>
      <c r="I12" s="63"/>
    </row>
    <row r="13" customFormat="false" ht="18.75" hidden="false" customHeight="true" outlineLevel="0" collapsed="false">
      <c r="A13" s="57"/>
      <c r="B13" s="64"/>
      <c r="C13" s="58" t="n">
        <f aca="false">B13/B$22*B$24</f>
        <v>0</v>
      </c>
      <c r="D13" s="57"/>
      <c r="E13" s="65" t="n">
        <f aca="false">IFERROR(INDEX(Correspondance!$D$2:$D$3000,MATCH(A13,Correspondance!$A$2:$A$3000,0)),0)</f>
        <v>0</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33.3342582488958</v>
      </c>
      <c r="G19" s="61"/>
      <c r="I19" s="63"/>
    </row>
    <row r="20" customFormat="false" ht="18.75" hidden="false" customHeight="true" outlineLevel="0" collapsed="false">
      <c r="A20" s="68" t="s">
        <v>2628</v>
      </c>
      <c r="B20" s="69" t="n">
        <f aca="false">F19/B24</f>
        <v>0.303038711353598</v>
      </c>
      <c r="C20" s="70"/>
      <c r="G20" s="61"/>
      <c r="I20" s="63"/>
    </row>
    <row r="21" customFormat="false" ht="15.75" hidden="false" customHeight="false" outlineLevel="0" collapsed="false">
      <c r="A21" s="71" t="s">
        <v>2629</v>
      </c>
      <c r="B21" s="71" t="n">
        <f aca="false">SUM(B3:B18)</f>
        <v>7.698</v>
      </c>
      <c r="C21" s="66"/>
      <c r="G21" s="61"/>
      <c r="I21" s="63"/>
    </row>
    <row r="22" customFormat="false" ht="15.75" hidden="false" customHeight="false" outlineLevel="0" collapsed="false">
      <c r="A22" s="0" t="s">
        <v>2630</v>
      </c>
      <c r="B22" s="72" t="n">
        <f aca="false">B21/B23</f>
        <v>69.9818181818182</v>
      </c>
      <c r="C22" s="66"/>
      <c r="G22" s="61"/>
      <c r="I22" s="63"/>
    </row>
    <row r="23" customFormat="false" ht="15.75" hidden="false" customHeight="false" outlineLevel="0" collapsed="false">
      <c r="A23" s="0" t="s">
        <v>2631</v>
      </c>
      <c r="B23" s="0" t="n">
        <v>0.11</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52</v>
      </c>
      <c r="B1" s="50"/>
      <c r="C1" s="50"/>
      <c r="D1" s="50"/>
      <c r="E1" s="51" t="s">
        <v>2619</v>
      </c>
      <c r="F1" s="51"/>
      <c r="G1" s="52" t="s">
        <v>2645</v>
      </c>
    </row>
    <row r="2" customFormat="false" ht="24.75" hidden="false" customHeight="true" outlineLevel="0" collapsed="false">
      <c r="A2" s="50"/>
      <c r="B2" s="50"/>
      <c r="C2" s="50"/>
      <c r="D2" s="50"/>
      <c r="E2" s="53" t="s">
        <v>2621</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1961</v>
      </c>
      <c r="B4" s="57" t="n">
        <v>4.78</v>
      </c>
      <c r="C4" s="58" t="n">
        <f aca="false">B4/B$22*B$24</f>
        <v>7.50785340314136</v>
      </c>
      <c r="D4" s="57" t="s">
        <v>434</v>
      </c>
      <c r="E4" s="59" t="n">
        <f aca="false">IFERROR(INDEX(Correspondance!$D$2:$D$3000,MATCH(A4,Correspondance!$A$2:$A$3000,0)),0)</f>
        <v>2.4</v>
      </c>
      <c r="F4" s="60" t="n">
        <f aca="false">C4*E4</f>
        <v>18.0188481675393</v>
      </c>
      <c r="G4" s="61" t="s">
        <v>2684</v>
      </c>
    </row>
    <row r="5" customFormat="false" ht="15.75" hidden="false" customHeight="false" outlineLevel="0" collapsed="false">
      <c r="A5" s="57" t="s">
        <v>1729</v>
      </c>
      <c r="B5" s="57" t="n">
        <v>2.87</v>
      </c>
      <c r="C5" s="58" t="n">
        <f aca="false">B5/B$22*B$24</f>
        <v>4.50785340314136</v>
      </c>
      <c r="D5" s="57" t="s">
        <v>434</v>
      </c>
      <c r="E5" s="59" t="n">
        <f aca="false">IFERROR(INDEX(Correspondance!$D$2:$D$3000,MATCH(A5,Correspondance!$A$2:$A$3000,0)),0)</f>
        <v>7.5</v>
      </c>
      <c r="F5" s="60" t="n">
        <f aca="false">C5*E5</f>
        <v>33.8089005235602</v>
      </c>
      <c r="G5" s="61"/>
      <c r="I5" s="62"/>
    </row>
    <row r="6" customFormat="false" ht="15.75" hidden="false" customHeight="false" outlineLevel="0" collapsed="false">
      <c r="A6" s="57" t="s">
        <v>1120</v>
      </c>
      <c r="B6" s="57" t="n">
        <v>0.382</v>
      </c>
      <c r="C6" s="58" t="n">
        <f aca="false">B6/B$22*B$24</f>
        <v>0.6</v>
      </c>
      <c r="D6" s="57" t="s">
        <v>682</v>
      </c>
      <c r="E6" s="59" t="n">
        <f aca="false">IFERROR(INDEX(Correspondance!$D$2:$D$3000,MATCH(A6,Correspondance!$A$2:$A$3000,0)),0)</f>
        <v>7.5</v>
      </c>
      <c r="F6" s="60" t="n">
        <f aca="false">C6*E6</f>
        <v>4.5</v>
      </c>
      <c r="G6" s="61"/>
      <c r="I6" s="63"/>
    </row>
    <row r="7" customFormat="false" ht="15.75" hidden="false" customHeight="false" outlineLevel="0" collapsed="false">
      <c r="A7" s="57" t="s">
        <v>1336</v>
      </c>
      <c r="B7" s="57" t="n">
        <v>0.143</v>
      </c>
      <c r="C7" s="58" t="n">
        <f aca="false">B7/B$22*B$24</f>
        <v>0.224607329842932</v>
      </c>
      <c r="D7" s="57" t="s">
        <v>682</v>
      </c>
      <c r="E7" s="59" t="n">
        <f aca="false">IFERROR(INDEX(Correspondance!$D$2:$D$3000,MATCH(A7,Correspondance!$A$2:$A$3000,0)),0)</f>
        <v>3.5</v>
      </c>
      <c r="F7" s="60" t="n">
        <f aca="false">C7*E7</f>
        <v>0.786125654450262</v>
      </c>
      <c r="G7" s="61"/>
      <c r="I7" s="63"/>
    </row>
    <row r="8" customFormat="false" ht="15.75" hidden="false" customHeight="false" outlineLevel="0" collapsed="false">
      <c r="A8" s="57" t="s">
        <v>1227</v>
      </c>
      <c r="B8" s="57" t="n">
        <v>0.191</v>
      </c>
      <c r="C8" s="58" t="n">
        <f aca="false">B8/B$22*B$24</f>
        <v>0.3</v>
      </c>
      <c r="D8" s="57" t="s">
        <v>434</v>
      </c>
      <c r="E8" s="59" t="n">
        <f aca="false">IFERROR(INDEX(Correspondance!$D$2:$D$3000,MATCH(A8,Correspondance!$A$2:$A$3000,0)),0)</f>
        <v>5.5</v>
      </c>
      <c r="F8" s="60" t="n">
        <f aca="false">C8*E8</f>
        <v>1.65</v>
      </c>
      <c r="G8" s="61"/>
      <c r="I8" s="63"/>
    </row>
    <row r="9" customFormat="false" ht="15.75" hidden="false" customHeight="false" outlineLevel="0" collapsed="false">
      <c r="A9" s="57" t="s">
        <v>1919</v>
      </c>
      <c r="B9" s="57" t="n">
        <v>0.038</v>
      </c>
      <c r="C9" s="58" t="n">
        <f aca="false">B9/B$22*B$24</f>
        <v>0.0596858638743456</v>
      </c>
      <c r="D9" s="57" t="s">
        <v>434</v>
      </c>
      <c r="E9" s="59" t="n">
        <f aca="false">IFERROR(INDEX(Correspondance!$D$2:$D$3000,MATCH(A9,Correspondance!$A$2:$A$3000,0)),0)</f>
        <v>2</v>
      </c>
      <c r="F9" s="60" t="n">
        <f aca="false">C9*E9</f>
        <v>0.119371727748691</v>
      </c>
      <c r="G9" s="61"/>
      <c r="I9" s="63"/>
    </row>
    <row r="10" customFormat="false" ht="15.75" hidden="false" customHeight="false" outlineLevel="0" collapsed="false">
      <c r="A10" s="57" t="s">
        <v>1814</v>
      </c>
      <c r="B10" s="57"/>
      <c r="C10" s="58" t="n">
        <f aca="false">B10/B$22*B$24</f>
        <v>0</v>
      </c>
      <c r="D10" s="57" t="s">
        <v>434</v>
      </c>
      <c r="E10" s="59" t="n">
        <f aca="false">IFERROR(INDEX(Correspondance!$D$2:$D$3000,MATCH(A10,Correspondance!$A$2:$A$3000,0)),0)</f>
        <v>18</v>
      </c>
      <c r="F10" s="60" t="n">
        <f aca="false">C10*E10</f>
        <v>0</v>
      </c>
      <c r="G10" s="61"/>
      <c r="I10" s="63"/>
    </row>
    <row r="11" customFormat="false" ht="15.75" hidden="false" customHeight="false" outlineLevel="0" collapsed="false">
      <c r="A11" s="57" t="s">
        <v>1485</v>
      </c>
      <c r="B11" s="57"/>
      <c r="C11" s="58" t="n">
        <f aca="false">B11/B$22*B$24</f>
        <v>0</v>
      </c>
      <c r="D11" s="57" t="s">
        <v>434</v>
      </c>
      <c r="E11" s="59" t="n">
        <f aca="false">IFERROR(INDEX(Correspondance!$D$2:$D$3000,MATCH(A11,Correspondance!$A$2:$A$3000,0)),0)</f>
        <v>32</v>
      </c>
      <c r="F11" s="60" t="n">
        <f aca="false">C11*E11</f>
        <v>0</v>
      </c>
      <c r="G11" s="61"/>
      <c r="I11" s="63"/>
    </row>
    <row r="12" customFormat="false" ht="18.75" hidden="false" customHeight="true" outlineLevel="0" collapsed="false">
      <c r="A12" s="57" t="s">
        <v>1748</v>
      </c>
      <c r="B12" s="64"/>
      <c r="C12" s="58" t="n">
        <f aca="false">B12/B$22*B$24</f>
        <v>0</v>
      </c>
      <c r="D12" s="57" t="s">
        <v>434</v>
      </c>
      <c r="E12" s="59" t="n">
        <f aca="false">IFERROR(INDEX(Correspondance!$D$2:$D$3000,MATCH(A12,Correspondance!$A$2:$A$3000,0)),0)</f>
        <v>14</v>
      </c>
      <c r="F12" s="60" t="n">
        <f aca="false">C12*E12</f>
        <v>0</v>
      </c>
      <c r="G12" s="61"/>
      <c r="I12" s="63"/>
    </row>
    <row r="13" customFormat="false" ht="18.75" hidden="false" customHeight="true" outlineLevel="0" collapsed="false">
      <c r="A13" s="57"/>
      <c r="B13" s="64"/>
      <c r="C13" s="58" t="n">
        <f aca="false">B13/B$22*B$24</f>
        <v>0</v>
      </c>
      <c r="D13" s="57"/>
      <c r="E13" s="65" t="n">
        <f aca="false">IFERROR(INDEX(Correspondance!$D$2:$D$3000,MATCH(A13,Correspondance!$A$2:$A$3000,0)),0)</f>
        <v>0</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58.8832460732984</v>
      </c>
      <c r="G19" s="61"/>
      <c r="I19" s="63"/>
    </row>
    <row r="20" customFormat="false" ht="18.75" hidden="false" customHeight="true" outlineLevel="0" collapsed="false">
      <c r="A20" s="68" t="s">
        <v>2628</v>
      </c>
      <c r="B20" s="69" t="n">
        <f aca="false">F19/B24</f>
        <v>0.535302237029986</v>
      </c>
      <c r="C20" s="70"/>
      <c r="G20" s="61"/>
      <c r="I20" s="63"/>
    </row>
    <row r="21" customFormat="false" ht="15.75" hidden="false" customHeight="false" outlineLevel="0" collapsed="false">
      <c r="A21" s="71" t="s">
        <v>2629</v>
      </c>
      <c r="B21" s="71" t="n">
        <f aca="false">SUM(B3:B18)</f>
        <v>8.404</v>
      </c>
      <c r="C21" s="66"/>
      <c r="G21" s="61"/>
      <c r="I21" s="63"/>
    </row>
    <row r="22" customFormat="false" ht="15.75" hidden="false" customHeight="false" outlineLevel="0" collapsed="false">
      <c r="A22" s="0" t="s">
        <v>2630</v>
      </c>
      <c r="B22" s="72" t="n">
        <f aca="false">B21/B23</f>
        <v>70.0333333333333</v>
      </c>
      <c r="C22" s="66"/>
      <c r="G22" s="61"/>
      <c r="I22" s="63"/>
    </row>
    <row r="23" customFormat="false" ht="15.75" hidden="false" customHeight="false" outlineLevel="0" collapsed="false">
      <c r="A23" s="0" t="s">
        <v>2631</v>
      </c>
      <c r="B23" s="0" t="n">
        <v>0.12</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53</v>
      </c>
      <c r="B1" s="50"/>
      <c r="C1" s="50"/>
      <c r="D1" s="50"/>
      <c r="E1" s="51" t="s">
        <v>2619</v>
      </c>
      <c r="F1" s="51"/>
      <c r="G1" s="52" t="s">
        <v>2685</v>
      </c>
    </row>
    <row r="2" customFormat="false" ht="24.75" hidden="false" customHeight="true" outlineLevel="0" collapsed="false">
      <c r="A2" s="50"/>
      <c r="B2" s="50"/>
      <c r="C2" s="50"/>
      <c r="D2" s="50"/>
      <c r="E2" s="53" t="s">
        <v>2621</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1963</v>
      </c>
      <c r="B4" s="57" t="n">
        <v>5.34</v>
      </c>
      <c r="C4" s="58" t="n">
        <f aca="false">B4/B$22*B$24</f>
        <v>8.39062946386059</v>
      </c>
      <c r="D4" s="57" t="s">
        <v>434</v>
      </c>
      <c r="E4" s="59" t="n">
        <f aca="false">IFERROR(INDEX(Correspondance!$D$2:$D$3000,MATCH(A4,Correspondance!$A$2:$A$3000,0)),0)</f>
        <v>2.4</v>
      </c>
      <c r="F4" s="60" t="n">
        <f aca="false">C4*E4</f>
        <v>20.1375107132654</v>
      </c>
      <c r="G4" s="61" t="s">
        <v>2686</v>
      </c>
    </row>
    <row r="5" customFormat="false" ht="15.75" hidden="false" customHeight="false" outlineLevel="0" collapsed="false">
      <c r="A5" s="57" t="s">
        <v>1944</v>
      </c>
      <c r="B5" s="57" t="n">
        <v>2.43</v>
      </c>
      <c r="C5" s="58" t="n">
        <f aca="false">B5/B$22*B$24</f>
        <v>3.81820778973431</v>
      </c>
      <c r="D5" s="57" t="s">
        <v>434</v>
      </c>
      <c r="E5" s="59" t="n">
        <f aca="false">IFERROR(INDEX(Correspondance!$D$2:$D$3000,MATCH(A5,Correspondance!$A$2:$A$3000,0)),0)</f>
        <v>9.5</v>
      </c>
      <c r="F5" s="60" t="n">
        <f aca="false">C5*E5</f>
        <v>36.272974002476</v>
      </c>
      <c r="G5" s="61"/>
      <c r="I5" s="62"/>
    </row>
    <row r="6" customFormat="false" ht="15.75" hidden="false" customHeight="false" outlineLevel="0" collapsed="false">
      <c r="A6" s="57" t="s">
        <v>1709</v>
      </c>
      <c r="B6" s="57" t="n">
        <v>1.16</v>
      </c>
      <c r="C6" s="58" t="n">
        <f aca="false">B6/B$22*B$24</f>
        <v>1.82268355394724</v>
      </c>
      <c r="D6" s="57" t="s">
        <v>434</v>
      </c>
      <c r="E6" s="59" t="n">
        <f aca="false">IFERROR(INDEX(Correspondance!$D$2:$D$3000,MATCH(A6,Correspondance!$A$2:$A$3000,0)),0)</f>
        <v>4.5</v>
      </c>
      <c r="F6" s="60" t="n">
        <f aca="false">C6*E6</f>
        <v>8.20207599276259</v>
      </c>
      <c r="G6" s="61"/>
      <c r="I6" s="63"/>
    </row>
    <row r="7" customFormat="false" ht="15.75" hidden="false" customHeight="false" outlineLevel="0" collapsed="false">
      <c r="A7" s="57" t="s">
        <v>741</v>
      </c>
      <c r="B7" s="57" t="n">
        <v>0.485</v>
      </c>
      <c r="C7" s="58" t="n">
        <f aca="false">B7/B$22*B$24</f>
        <v>0.762070279021046</v>
      </c>
      <c r="D7" s="57" t="s">
        <v>434</v>
      </c>
      <c r="E7" s="59" t="n">
        <f aca="false">IFERROR(INDEX(Correspondance!$D$2:$D$3000,MATCH(A7,Correspondance!$A$2:$A$3000,0)),0)</f>
        <v>5.6</v>
      </c>
      <c r="F7" s="60" t="n">
        <f aca="false">C7*E7</f>
        <v>4.26759356251786</v>
      </c>
      <c r="G7" s="61"/>
      <c r="I7" s="63"/>
    </row>
    <row r="8" customFormat="false" ht="15.75" hidden="false" customHeight="false" outlineLevel="0" collapsed="false">
      <c r="A8" s="57" t="s">
        <v>878</v>
      </c>
      <c r="B8" s="57" t="n">
        <v>0.776</v>
      </c>
      <c r="C8" s="58" t="n">
        <f aca="false">B8/B$22*B$24</f>
        <v>1.21931244643367</v>
      </c>
      <c r="D8" s="57" t="s">
        <v>434</v>
      </c>
      <c r="E8" s="59" t="n">
        <f aca="false">IFERROR(INDEX(Correspondance!$D$2:$D$3000,MATCH(A8,Correspondance!$A$2:$A$3000,0)),0)</f>
        <v>3.6</v>
      </c>
      <c r="F8" s="60" t="n">
        <f aca="false">C8*E8</f>
        <v>4.38952480716122</v>
      </c>
      <c r="G8" s="61"/>
      <c r="I8" s="63"/>
    </row>
    <row r="9" customFormat="false" ht="15.75" hidden="false" customHeight="false" outlineLevel="0" collapsed="false">
      <c r="A9" s="57" t="s">
        <v>1192</v>
      </c>
      <c r="B9" s="57" t="n">
        <v>0.097</v>
      </c>
      <c r="C9" s="58" t="n">
        <f aca="false">B9/B$22*B$24</f>
        <v>0.152414055804209</v>
      </c>
      <c r="D9" s="57" t="s">
        <v>434</v>
      </c>
      <c r="E9" s="59" t="n">
        <f aca="false">IFERROR(INDEX(Correspondance!$D$2:$D$3000,MATCH(A9,Correspondance!$A$2:$A$3000,0)),0)</f>
        <v>8</v>
      </c>
      <c r="F9" s="60" t="n">
        <f aca="false">C9*E9</f>
        <v>1.21931244643367</v>
      </c>
      <c r="G9" s="61"/>
      <c r="I9" s="63"/>
    </row>
    <row r="10" customFormat="false" ht="15.75" hidden="false" customHeight="false" outlineLevel="0" collapsed="false">
      <c r="A10" s="57" t="s">
        <v>947</v>
      </c>
      <c r="B10" s="57" t="n">
        <v>0.097</v>
      </c>
      <c r="C10" s="58" t="n">
        <f aca="false">B10/B$22*B$24</f>
        <v>0.152414055804209</v>
      </c>
      <c r="D10" s="57" t="s">
        <v>434</v>
      </c>
      <c r="E10" s="59" t="n">
        <f aca="false">IFERROR(INDEX(Correspondance!$D$2:$D$3000,MATCH(A10,Correspondance!$A$2:$A$3000,0)),0)</f>
        <v>4.5</v>
      </c>
      <c r="F10" s="60" t="n">
        <f aca="false">C10*E10</f>
        <v>0.685863251118941</v>
      </c>
      <c r="G10" s="61"/>
      <c r="I10" s="63"/>
    </row>
    <row r="11" customFormat="false" ht="15.75" hidden="false" customHeight="false" outlineLevel="0" collapsed="false">
      <c r="A11" s="57" t="s">
        <v>1291</v>
      </c>
      <c r="B11" s="57" t="n">
        <v>0.097</v>
      </c>
      <c r="C11" s="58" t="n">
        <f aca="false">B11/B$22*B$24</f>
        <v>0.152414055804209</v>
      </c>
      <c r="D11" s="57" t="s">
        <v>682</v>
      </c>
      <c r="E11" s="59" t="n">
        <f aca="false">IFERROR(INDEX(Correspondance!$D$2:$D$3000,MATCH(A11,Correspondance!$A$2:$A$3000,0)),0)</f>
        <v>2.5</v>
      </c>
      <c r="F11" s="60" t="n">
        <f aca="false">C11*E11</f>
        <v>0.381035139510523</v>
      </c>
      <c r="G11" s="61"/>
      <c r="I11" s="63"/>
    </row>
    <row r="12" customFormat="false" ht="18.75" hidden="false" customHeight="true" outlineLevel="0" collapsed="false">
      <c r="A12" s="57" t="s">
        <v>1919</v>
      </c>
      <c r="B12" s="64" t="n">
        <v>0.019</v>
      </c>
      <c r="C12" s="58" t="n">
        <f aca="false">B12/B$22*B$24</f>
        <v>0.0298542995905152</v>
      </c>
      <c r="D12" s="57" t="s">
        <v>434</v>
      </c>
      <c r="E12" s="59" t="n">
        <f aca="false">IFERROR(INDEX(Correspondance!$D$2:$D$3000,MATCH(A12,Correspondance!$A$2:$A$3000,0)),0)</f>
        <v>2</v>
      </c>
      <c r="F12" s="60" t="n">
        <f aca="false">C12*E12</f>
        <v>0.0597085991810304</v>
      </c>
      <c r="G12" s="61"/>
      <c r="I12" s="63"/>
    </row>
    <row r="13" customFormat="false" ht="18.75" hidden="false" customHeight="true" outlineLevel="0" collapsed="false">
      <c r="A13" s="57" t="s">
        <v>1814</v>
      </c>
      <c r="B13" s="64"/>
      <c r="C13" s="58" t="n">
        <f aca="false">B13/B$22*B$24</f>
        <v>0</v>
      </c>
      <c r="D13" s="57" t="s">
        <v>434</v>
      </c>
      <c r="E13" s="59" t="n">
        <f aca="false">IFERROR(INDEX(Correspondance!$D$2:$D$3000,MATCH(A13,Correspondance!$A$2:$A$3000,0)),0)</f>
        <v>18</v>
      </c>
      <c r="F13" s="60" t="n">
        <f aca="false">C13*E13</f>
        <v>0</v>
      </c>
      <c r="G13" s="61"/>
      <c r="I13" s="63"/>
    </row>
    <row r="14" customFormat="false" ht="15.75" hidden="false" customHeight="false" outlineLevel="0" collapsed="false">
      <c r="A14" s="57" t="s">
        <v>1776</v>
      </c>
      <c r="B14" s="57"/>
      <c r="C14" s="58" t="n">
        <f aca="false">B14/B$22*B$24</f>
        <v>0</v>
      </c>
      <c r="D14" s="57" t="s">
        <v>434</v>
      </c>
      <c r="E14" s="59" t="n">
        <f aca="false">IFERROR(INDEX(Correspondance!$D$2:$D$3000,MATCH(A14,Correspondance!$A$2:$A$3000,0)),0)</f>
        <v>8</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75.6155985144272</v>
      </c>
      <c r="G19" s="61"/>
      <c r="I19" s="63"/>
    </row>
    <row r="20" customFormat="false" ht="18.75" hidden="false" customHeight="true" outlineLevel="0" collapsed="false">
      <c r="A20" s="68" t="s">
        <v>2628</v>
      </c>
      <c r="B20" s="69" t="n">
        <f aca="false">F19/B24</f>
        <v>0.687414531949338</v>
      </c>
      <c r="C20" s="70"/>
      <c r="G20" s="61"/>
      <c r="I20" s="63"/>
    </row>
    <row r="21" customFormat="false" ht="15.75" hidden="false" customHeight="false" outlineLevel="0" collapsed="false">
      <c r="A21" s="71" t="s">
        <v>2629</v>
      </c>
      <c r="B21" s="71" t="n">
        <f aca="false">SUM(B3:B18)</f>
        <v>10.501</v>
      </c>
      <c r="C21" s="66"/>
      <c r="G21" s="61"/>
      <c r="I21" s="63"/>
    </row>
    <row r="22" customFormat="false" ht="15.75" hidden="false" customHeight="false" outlineLevel="0" collapsed="false">
      <c r="A22" s="0" t="s">
        <v>2630</v>
      </c>
      <c r="B22" s="72" t="n">
        <f aca="false">B21/B23</f>
        <v>70.0066666666667</v>
      </c>
      <c r="C22" s="66"/>
      <c r="G22" s="61"/>
      <c r="I22" s="63"/>
    </row>
    <row r="23" customFormat="false" ht="15.75" hidden="false" customHeight="false" outlineLevel="0" collapsed="false">
      <c r="A23" s="0" t="s">
        <v>2631</v>
      </c>
      <c r="B23" s="0" t="n">
        <v>0.15</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54</v>
      </c>
      <c r="B1" s="50"/>
      <c r="C1" s="50"/>
      <c r="D1" s="50"/>
      <c r="E1" s="51" t="s">
        <v>2619</v>
      </c>
      <c r="F1" s="51"/>
      <c r="G1" s="52" t="s">
        <v>2687</v>
      </c>
    </row>
    <row r="2" customFormat="false" ht="24.75" hidden="false" customHeight="true" outlineLevel="0" collapsed="false">
      <c r="A2" s="50"/>
      <c r="B2" s="50"/>
      <c r="C2" s="50"/>
      <c r="D2" s="50"/>
      <c r="E2" s="53" t="s">
        <v>2621</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1963</v>
      </c>
      <c r="B4" s="57" t="n">
        <v>5.29</v>
      </c>
      <c r="C4" s="58" t="n">
        <f aca="false">B4/B$22*B$24</f>
        <v>8.31523292369248</v>
      </c>
      <c r="D4" s="57" t="s">
        <v>434</v>
      </c>
      <c r="E4" s="59" t="n">
        <f aca="false">IFERROR(INDEX(Correspondance!$D$2:$D$3000,MATCH(A4,Correspondance!$A$2:$A$3000,0)),0)</f>
        <v>2.4</v>
      </c>
      <c r="F4" s="60" t="n">
        <f aca="false">C4*E4</f>
        <v>19.956559016862</v>
      </c>
      <c r="G4" s="61" t="s">
        <v>2688</v>
      </c>
    </row>
    <row r="5" customFormat="false" ht="15.75" hidden="false" customHeight="false" outlineLevel="0" collapsed="false">
      <c r="A5" s="57" t="s">
        <v>1707</v>
      </c>
      <c r="B5" s="57" t="n">
        <v>2.88</v>
      </c>
      <c r="C5" s="58" t="n">
        <f aca="false">B5/B$22*B$24</f>
        <v>4.52700771649043</v>
      </c>
      <c r="D5" s="57" t="s">
        <v>434</v>
      </c>
      <c r="E5" s="59" t="n">
        <f aca="false">IFERROR(INDEX(Correspondance!$D$2:$D$3000,MATCH(A5,Correspondance!$A$2:$A$3000,0)),0)</f>
        <v>2</v>
      </c>
      <c r="F5" s="60" t="n">
        <f aca="false">C5*E5</f>
        <v>9.05401543298085</v>
      </c>
      <c r="G5" s="61"/>
      <c r="I5" s="62"/>
    </row>
    <row r="6" customFormat="false" ht="15.75" hidden="false" customHeight="false" outlineLevel="0" collapsed="false">
      <c r="A6" s="57" t="s">
        <v>1709</v>
      </c>
      <c r="B6" s="57" t="n">
        <v>0.962</v>
      </c>
      <c r="C6" s="58" t="n">
        <f aca="false">B6/B$22*B$24</f>
        <v>1.51214632752215</v>
      </c>
      <c r="D6" s="57" t="s">
        <v>434</v>
      </c>
      <c r="E6" s="59" t="n">
        <f aca="false">IFERROR(INDEX(Correspondance!$D$2:$D$3000,MATCH(A6,Correspondance!$A$2:$A$3000,0)),0)</f>
        <v>4.5</v>
      </c>
      <c r="F6" s="60" t="n">
        <f aca="false">C6*E6</f>
        <v>6.80465847384967</v>
      </c>
      <c r="G6" s="61"/>
      <c r="I6" s="63"/>
    </row>
    <row r="7" customFormat="false" ht="15.75" hidden="false" customHeight="false" outlineLevel="0" collapsed="false">
      <c r="A7" s="57" t="s">
        <v>741</v>
      </c>
      <c r="B7" s="57" t="n">
        <v>0.481</v>
      </c>
      <c r="C7" s="58" t="n">
        <f aca="false">B7/B$22*B$24</f>
        <v>0.756073163761075</v>
      </c>
      <c r="D7" s="57" t="s">
        <v>434</v>
      </c>
      <c r="E7" s="59" t="n">
        <f aca="false">IFERROR(INDEX(Correspondance!$D$2:$D$3000,MATCH(A7,Correspondance!$A$2:$A$3000,0)),0)</f>
        <v>5.6</v>
      </c>
      <c r="F7" s="60" t="n">
        <f aca="false">C7*E7</f>
        <v>4.23400971706202</v>
      </c>
      <c r="G7" s="61"/>
      <c r="I7" s="63"/>
    </row>
    <row r="8" customFormat="false" ht="15.75" hidden="false" customHeight="false" outlineLevel="0" collapsed="false">
      <c r="A8" s="57" t="s">
        <v>878</v>
      </c>
      <c r="B8" s="57" t="n">
        <v>0.769</v>
      </c>
      <c r="C8" s="58" t="n">
        <f aca="false">B8/B$22*B$24</f>
        <v>1.20877393541012</v>
      </c>
      <c r="D8" s="57" t="s">
        <v>434</v>
      </c>
      <c r="E8" s="59" t="n">
        <f aca="false">IFERROR(INDEX(Correspondance!$D$2:$D$3000,MATCH(A8,Correspondance!$A$2:$A$3000,0)),0)</f>
        <v>3.6</v>
      </c>
      <c r="F8" s="60" t="n">
        <f aca="false">C8*E8</f>
        <v>4.35158616747642</v>
      </c>
      <c r="G8" s="61"/>
      <c r="I8" s="63"/>
    </row>
    <row r="9" customFormat="false" ht="15.75" hidden="false" customHeight="false" outlineLevel="0" collapsed="false">
      <c r="A9" s="57" t="s">
        <v>1291</v>
      </c>
      <c r="B9" s="57" t="n">
        <v>0.096</v>
      </c>
      <c r="C9" s="58" t="n">
        <f aca="false">B9/B$22*B$24</f>
        <v>0.150900257216348</v>
      </c>
      <c r="D9" s="57" t="s">
        <v>682</v>
      </c>
      <c r="E9" s="59" t="n">
        <f aca="false">IFERROR(INDEX(Correspondance!$D$2:$D$3000,MATCH(A9,Correspondance!$A$2:$A$3000,0)),0)</f>
        <v>2.5</v>
      </c>
      <c r="F9" s="60" t="n">
        <f aca="false">C9*E9</f>
        <v>0.377250643040869</v>
      </c>
      <c r="G9" s="61"/>
      <c r="I9" s="63"/>
    </row>
    <row r="10" customFormat="false" ht="15.75" hidden="false" customHeight="false" outlineLevel="0" collapsed="false">
      <c r="A10" s="57" t="s">
        <v>1919</v>
      </c>
      <c r="B10" s="57" t="n">
        <v>0.019</v>
      </c>
      <c r="C10" s="58" t="n">
        <f aca="false">B10/B$22*B$24</f>
        <v>0.0298656759074021</v>
      </c>
      <c r="D10" s="57" t="s">
        <v>434</v>
      </c>
      <c r="E10" s="59" t="n">
        <f aca="false">IFERROR(INDEX(Correspondance!$D$2:$D$3000,MATCH(A10,Correspondance!$A$2:$A$3000,0)),0)</f>
        <v>2</v>
      </c>
      <c r="F10" s="60" t="n">
        <f aca="false">C10*E10</f>
        <v>0.0597313518148042</v>
      </c>
      <c r="G10" s="61"/>
      <c r="I10" s="63"/>
    </row>
    <row r="11" customFormat="false" ht="15.75" hidden="false" customHeight="false" outlineLevel="0" collapsed="false">
      <c r="A11" s="57" t="s">
        <v>1814</v>
      </c>
      <c r="B11" s="57"/>
      <c r="C11" s="58" t="n">
        <f aca="false">B11/B$22*B$24</f>
        <v>0</v>
      </c>
      <c r="D11" s="57" t="s">
        <v>434</v>
      </c>
      <c r="E11" s="59" t="n">
        <f aca="false">IFERROR(INDEX(Correspondance!$D$2:$D$3000,MATCH(A11,Correspondance!$A$2:$A$3000,0)),0)</f>
        <v>18</v>
      </c>
      <c r="F11" s="60" t="n">
        <f aca="false">C11*E11</f>
        <v>0</v>
      </c>
      <c r="G11" s="61"/>
      <c r="I11" s="63"/>
    </row>
    <row r="12" customFormat="false" ht="18.75" hidden="false" customHeight="true" outlineLevel="0" collapsed="false">
      <c r="A12" s="57" t="s">
        <v>1776</v>
      </c>
      <c r="B12" s="64"/>
      <c r="C12" s="58" t="n">
        <f aca="false">B12/B$22*B$24</f>
        <v>0</v>
      </c>
      <c r="D12" s="57" t="s">
        <v>434</v>
      </c>
      <c r="E12" s="59" t="n">
        <f aca="false">IFERROR(INDEX(Correspondance!$D$2:$D$3000,MATCH(A12,Correspondance!$A$2:$A$3000,0)),0)</f>
        <v>8</v>
      </c>
      <c r="F12" s="60" t="n">
        <f aca="false">C12*E12</f>
        <v>0</v>
      </c>
      <c r="G12" s="61"/>
      <c r="I12" s="63"/>
    </row>
    <row r="13" customFormat="false" ht="18.75" hidden="false" customHeight="true" outlineLevel="0" collapsed="false">
      <c r="A13" s="57"/>
      <c r="B13" s="64"/>
      <c r="C13" s="58" t="n">
        <f aca="false">B13/B$22*B$24</f>
        <v>0</v>
      </c>
      <c r="D13" s="57"/>
      <c r="E13" s="65" t="n">
        <f aca="false">IFERROR(INDEX(Correspondance!$D$2:$D$3000,MATCH(A13,Correspondance!$A$2:$A$3000,0)),0)</f>
        <v>0</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44.8378108030866</v>
      </c>
      <c r="G19" s="61"/>
      <c r="I19" s="63"/>
    </row>
    <row r="20" customFormat="false" ht="18.75" hidden="false" customHeight="true" outlineLevel="0" collapsed="false">
      <c r="A20" s="68" t="s">
        <v>2628</v>
      </c>
      <c r="B20" s="69" t="n">
        <f aca="false">F19/B24</f>
        <v>0.407616461846242</v>
      </c>
      <c r="C20" s="70"/>
      <c r="G20" s="61"/>
      <c r="I20" s="63"/>
    </row>
    <row r="21" customFormat="false" ht="15.75" hidden="false" customHeight="false" outlineLevel="0" collapsed="false">
      <c r="A21" s="71" t="s">
        <v>2629</v>
      </c>
      <c r="B21" s="71" t="n">
        <f aca="false">SUM(B3:B18)</f>
        <v>10.497</v>
      </c>
      <c r="C21" s="66"/>
      <c r="G21" s="61"/>
      <c r="I21" s="63"/>
    </row>
    <row r="22" customFormat="false" ht="15.75" hidden="false" customHeight="false" outlineLevel="0" collapsed="false">
      <c r="A22" s="0" t="s">
        <v>2630</v>
      </c>
      <c r="B22" s="72" t="n">
        <f aca="false">B21/B23</f>
        <v>69.98</v>
      </c>
      <c r="C22" s="66"/>
      <c r="G22" s="61"/>
      <c r="I22" s="63"/>
    </row>
    <row r="23" customFormat="false" ht="15.75" hidden="false" customHeight="false" outlineLevel="0" collapsed="false">
      <c r="A23" s="0" t="s">
        <v>2631</v>
      </c>
      <c r="B23" s="0" t="n">
        <v>0.15</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55</v>
      </c>
      <c r="B1" s="50"/>
      <c r="C1" s="50"/>
      <c r="D1" s="50"/>
      <c r="E1" s="51" t="s">
        <v>2619</v>
      </c>
      <c r="F1" s="51"/>
      <c r="G1" s="52" t="s">
        <v>2689</v>
      </c>
    </row>
    <row r="2" customFormat="false" ht="24.75" hidden="false" customHeight="true" outlineLevel="0" collapsed="false">
      <c r="A2" s="50"/>
      <c r="B2" s="50"/>
      <c r="C2" s="50"/>
      <c r="D2" s="50"/>
      <c r="E2" s="53" t="s">
        <v>2621</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1872</v>
      </c>
      <c r="B4" s="57" t="n">
        <v>2.76</v>
      </c>
      <c r="C4" s="58" t="n">
        <f aca="false">B4/B$22*B$24</f>
        <v>4.34000439850451</v>
      </c>
      <c r="D4" s="57" t="s">
        <v>434</v>
      </c>
      <c r="E4" s="59" t="n">
        <f aca="false">IFERROR(INDEX(Correspondance!$D$2:$D$3000,MATCH(A4,Correspondance!$A$2:$A$3000,0)),0)</f>
        <v>1.6</v>
      </c>
      <c r="F4" s="60" t="n">
        <f aca="false">C4*E4</f>
        <v>6.94400703760721</v>
      </c>
      <c r="G4" s="61" t="s">
        <v>2690</v>
      </c>
    </row>
    <row r="5" customFormat="false" ht="15.75" hidden="false" customHeight="false" outlineLevel="0" collapsed="false">
      <c r="A5" s="57" t="s">
        <v>1959</v>
      </c>
      <c r="B5" s="57" t="n">
        <v>1.65</v>
      </c>
      <c r="C5" s="58" t="n">
        <f aca="false">B5/B$22*B$24</f>
        <v>2.59456784693204</v>
      </c>
      <c r="D5" s="57" t="s">
        <v>434</v>
      </c>
      <c r="E5" s="59" t="n">
        <f aca="false">IFERROR(INDEX(Correspondance!$D$2:$D$3000,MATCH(A5,Correspondance!$A$2:$A$3000,0)),0)</f>
        <v>1.5</v>
      </c>
      <c r="F5" s="60" t="n">
        <f aca="false">C5*E5</f>
        <v>3.89185177039807</v>
      </c>
      <c r="G5" s="61"/>
      <c r="I5" s="62"/>
    </row>
    <row r="6" customFormat="false" ht="15.75" hidden="false" customHeight="false" outlineLevel="0" collapsed="false">
      <c r="A6" s="57" t="s">
        <v>576</v>
      </c>
      <c r="B6" s="57" t="n">
        <v>1.1</v>
      </c>
      <c r="C6" s="58" t="n">
        <f aca="false">B6/B$22*B$24</f>
        <v>1.7297118979547</v>
      </c>
      <c r="D6" s="57" t="s">
        <v>434</v>
      </c>
      <c r="E6" s="59" t="n">
        <f aca="false">IFERROR(INDEX(Correspondance!$D$2:$D$3000,MATCH(A6,Correspondance!$A$2:$A$3000,0)),0)</f>
        <v>8.5</v>
      </c>
      <c r="F6" s="60" t="n">
        <f aca="false">C6*E6</f>
        <v>14.7025511326149</v>
      </c>
      <c r="G6" s="61"/>
      <c r="I6" s="63"/>
    </row>
    <row r="7" customFormat="false" ht="15.75" hidden="false" customHeight="false" outlineLevel="0" collapsed="false">
      <c r="A7" s="57" t="s">
        <v>704</v>
      </c>
      <c r="B7" s="57" t="n">
        <v>0.882</v>
      </c>
      <c r="C7" s="58" t="n">
        <f aca="false">B7/B$22*B$24</f>
        <v>1.38691444908731</v>
      </c>
      <c r="D7" s="57" t="s">
        <v>434</v>
      </c>
      <c r="E7" s="59" t="n">
        <f aca="false">IFERROR(INDEX(Correspondance!$D$2:$D$3000,MATCH(A7,Correspondance!$A$2:$A$3000,0)),0)</f>
        <v>8</v>
      </c>
      <c r="F7" s="60" t="n">
        <f aca="false">C7*E7</f>
        <v>11.0953155926985</v>
      </c>
      <c r="G7" s="61"/>
      <c r="I7" s="63"/>
    </row>
    <row r="8" customFormat="false" ht="15.75" hidden="false" customHeight="false" outlineLevel="0" collapsed="false">
      <c r="A8" s="57" t="s">
        <v>1713</v>
      </c>
      <c r="B8" s="57" t="n">
        <v>0.882</v>
      </c>
      <c r="C8" s="58" t="n">
        <f aca="false">B8/B$22*B$24</f>
        <v>1.38691444908731</v>
      </c>
      <c r="D8" s="57" t="s">
        <v>434</v>
      </c>
      <c r="E8" s="59" t="n">
        <f aca="false">IFERROR(INDEX(Correspondance!$D$2:$D$3000,MATCH(A8,Correspondance!$A$2:$A$3000,0)),0)</f>
        <v>2.2</v>
      </c>
      <c r="F8" s="60" t="n">
        <f aca="false">C8*E8</f>
        <v>3.05121178799208</v>
      </c>
      <c r="G8" s="61"/>
      <c r="I8" s="63"/>
    </row>
    <row r="9" customFormat="false" ht="15.75" hidden="false" customHeight="false" outlineLevel="0" collapsed="false">
      <c r="A9" s="57" t="s">
        <v>1204</v>
      </c>
      <c r="B9" s="57" t="n">
        <v>0.331</v>
      </c>
      <c r="C9" s="58" t="n">
        <f aca="false">B9/B$22*B$24</f>
        <v>0.520486034748186</v>
      </c>
      <c r="D9" s="57" t="s">
        <v>434</v>
      </c>
      <c r="E9" s="59" t="n">
        <f aca="false">IFERROR(INDEX(Correspondance!$D$2:$D$3000,MATCH(A9,Correspondance!$A$2:$A$3000,0)),0)</f>
        <v>6</v>
      </c>
      <c r="F9" s="60" t="n">
        <f aca="false">C9*E9</f>
        <v>3.12291620848911</v>
      </c>
      <c r="G9" s="61"/>
      <c r="I9" s="63"/>
    </row>
    <row r="10" customFormat="false" ht="15.75" hidden="false" customHeight="false" outlineLevel="0" collapsed="false">
      <c r="A10" s="57" t="s">
        <v>1227</v>
      </c>
      <c r="B10" s="57" t="n">
        <v>0.221</v>
      </c>
      <c r="C10" s="58" t="n">
        <f aca="false">B10/B$22*B$24</f>
        <v>0.347514844952716</v>
      </c>
      <c r="D10" s="57" t="s">
        <v>434</v>
      </c>
      <c r="E10" s="59" t="n">
        <f aca="false">IFERROR(INDEX(Correspondance!$D$2:$D$3000,MATCH(A10,Correspondance!$A$2:$A$3000,0)),0)</f>
        <v>5.5</v>
      </c>
      <c r="F10" s="60" t="n">
        <f aca="false">C10*E10</f>
        <v>1.91133164723994</v>
      </c>
      <c r="G10" s="61"/>
      <c r="I10" s="63"/>
    </row>
    <row r="11" customFormat="false" ht="15.75" hidden="false" customHeight="false" outlineLevel="0" collapsed="false">
      <c r="A11" s="57" t="s">
        <v>1709</v>
      </c>
      <c r="B11" s="57" t="n">
        <v>0.441</v>
      </c>
      <c r="C11" s="58" t="n">
        <f aca="false">B11/B$22*B$24</f>
        <v>0.693457224543655</v>
      </c>
      <c r="D11" s="57" t="s">
        <v>434</v>
      </c>
      <c r="E11" s="59" t="n">
        <f aca="false">IFERROR(INDEX(Correspondance!$D$2:$D$3000,MATCH(A11,Correspondance!$A$2:$A$3000,0)),0)</f>
        <v>4.5</v>
      </c>
      <c r="F11" s="60" t="n">
        <f aca="false">C11*E11</f>
        <v>3.12055751044645</v>
      </c>
      <c r="G11" s="61"/>
      <c r="I11" s="63"/>
    </row>
    <row r="12" customFormat="false" ht="18.75" hidden="false" customHeight="true" outlineLevel="0" collapsed="false">
      <c r="A12" s="57" t="s">
        <v>1131</v>
      </c>
      <c r="B12" s="64" t="n">
        <v>0.552</v>
      </c>
      <c r="C12" s="58" t="n">
        <f aca="false">B12/B$22*B$24</f>
        <v>0.868000879700902</v>
      </c>
      <c r="D12" s="57" t="s">
        <v>682</v>
      </c>
      <c r="E12" s="59" t="n">
        <f aca="false">IFERROR(INDEX(Correspondance!$D$2:$D$3000,MATCH(A12,Correspondance!$A$2:$A$3000,0)),0)</f>
        <v>2.2</v>
      </c>
      <c r="F12" s="60" t="n">
        <f aca="false">C12*E12</f>
        <v>1.90960193534198</v>
      </c>
      <c r="G12" s="61"/>
      <c r="I12" s="63"/>
    </row>
    <row r="13" customFormat="false" ht="18.75" hidden="false" customHeight="true" outlineLevel="0" collapsed="false">
      <c r="A13" s="57" t="s">
        <v>1982</v>
      </c>
      <c r="B13" s="64" t="n">
        <v>0.165</v>
      </c>
      <c r="C13" s="58" t="n">
        <f aca="false">B13/B$22*B$24</f>
        <v>0.259456784693204</v>
      </c>
      <c r="D13" s="57" t="s">
        <v>682</v>
      </c>
      <c r="E13" s="59" t="n">
        <f aca="false">IFERROR(INDEX(Correspondance!$D$2:$D$3000,MATCH(A13,Correspondance!$A$2:$A$3000,0)),0)</f>
        <v>1.5</v>
      </c>
      <c r="F13" s="60" t="n">
        <f aca="false">C13*E13</f>
        <v>0.389185177039807</v>
      </c>
      <c r="G13" s="61"/>
      <c r="I13" s="63"/>
    </row>
    <row r="14" customFormat="false" ht="15.75" hidden="false" customHeight="false" outlineLevel="0" collapsed="false">
      <c r="A14" s="57" t="s">
        <v>1725</v>
      </c>
      <c r="B14" s="57" t="n">
        <v>0.066</v>
      </c>
      <c r="C14" s="58" t="n">
        <f aca="false">B14/B$22*B$24</f>
        <v>0.103782713877282</v>
      </c>
      <c r="D14" s="57" t="s">
        <v>434</v>
      </c>
      <c r="E14" s="59" t="n">
        <f aca="false">IFERROR(INDEX(Correspondance!$D$2:$D$3000,MATCH(A14,Correspondance!$A$2:$A$3000,0)),0)</f>
        <v>9</v>
      </c>
      <c r="F14" s="60" t="n">
        <f aca="false">C14*E14</f>
        <v>0.934044424895536</v>
      </c>
      <c r="G14" s="61"/>
      <c r="I14" s="63"/>
    </row>
    <row r="15" customFormat="false" ht="15.75" hidden="false" customHeight="false" outlineLevel="0" collapsed="false">
      <c r="A15" s="57" t="s">
        <v>1919</v>
      </c>
      <c r="B15" s="57" t="n">
        <v>0.044</v>
      </c>
      <c r="C15" s="58" t="n">
        <f aca="false">B15/B$22*B$24</f>
        <v>0.0691884759181878</v>
      </c>
      <c r="D15" s="57" t="s">
        <v>434</v>
      </c>
      <c r="E15" s="59" t="n">
        <f aca="false">IFERROR(INDEX(Correspondance!$D$2:$D$3000,MATCH(A15,Correspondance!$A$2:$A$3000,0)),0)</f>
        <v>2</v>
      </c>
      <c r="F15" s="60" t="n">
        <f aca="false">C15*E15</f>
        <v>0.138376951836376</v>
      </c>
      <c r="G15" s="61"/>
      <c r="I15" s="63"/>
    </row>
    <row r="16" customFormat="false" ht="15.75" hidden="false" customHeight="false" outlineLevel="0" collapsed="false">
      <c r="A16" s="57" t="s">
        <v>1814</v>
      </c>
      <c r="B16" s="57"/>
      <c r="C16" s="58" t="n">
        <f aca="false">B16/B$22*B$24</f>
        <v>0</v>
      </c>
      <c r="D16" s="57" t="s">
        <v>434</v>
      </c>
      <c r="E16" s="59" t="n">
        <f aca="false">IFERROR(INDEX(Correspondance!$D$2:$D$3000,MATCH(A16,Correspondance!$A$2:$A$3000,0)),0)</f>
        <v>18</v>
      </c>
      <c r="F16" s="60" t="n">
        <f aca="false">C16*E16</f>
        <v>0</v>
      </c>
      <c r="G16" s="61"/>
      <c r="I16" s="63"/>
    </row>
    <row r="17" customFormat="false" ht="15.75" hidden="false" customHeight="false" outlineLevel="0" collapsed="false">
      <c r="A17" s="57" t="s">
        <v>1539</v>
      </c>
      <c r="B17" s="57"/>
      <c r="C17" s="58" t="n">
        <f aca="false">B17/B$22*B$24</f>
        <v>0</v>
      </c>
      <c r="D17" s="57" t="s">
        <v>434</v>
      </c>
      <c r="E17" s="59" t="n">
        <f aca="false">IFERROR(INDEX(Correspondance!$D$2:$D$3000,MATCH(A17,Correspondance!$A$2:$A$3000,0)),0)</f>
        <v>13</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51.2109511766</v>
      </c>
      <c r="G19" s="61"/>
      <c r="I19" s="63"/>
    </row>
    <row r="20" customFormat="false" ht="18.75" hidden="false" customHeight="true" outlineLevel="0" collapsed="false">
      <c r="A20" s="68" t="s">
        <v>2628</v>
      </c>
      <c r="B20" s="69" t="n">
        <f aca="false">F19/B24</f>
        <v>0.465554101605454</v>
      </c>
      <c r="C20" s="70"/>
      <c r="G20" s="61"/>
      <c r="I20" s="63"/>
    </row>
    <row r="21" customFormat="false" ht="15.75" hidden="false" customHeight="false" outlineLevel="0" collapsed="false">
      <c r="A21" s="71" t="s">
        <v>2629</v>
      </c>
      <c r="B21" s="71" t="n">
        <f aca="false">SUM(B3:B18)</f>
        <v>9.094</v>
      </c>
      <c r="C21" s="66"/>
      <c r="G21" s="61"/>
      <c r="I21" s="63"/>
    </row>
    <row r="22" customFormat="false" ht="15.75" hidden="false" customHeight="false" outlineLevel="0" collapsed="false">
      <c r="A22" s="0" t="s">
        <v>2630</v>
      </c>
      <c r="B22" s="72" t="n">
        <f aca="false">B21/B23</f>
        <v>69.9538461538461</v>
      </c>
      <c r="C22" s="66"/>
      <c r="G22" s="61"/>
      <c r="I22" s="63"/>
    </row>
    <row r="23" customFormat="false" ht="15.75" hidden="false" customHeight="false" outlineLevel="0" collapsed="false">
      <c r="A23" s="0" t="s">
        <v>2631</v>
      </c>
      <c r="B23" s="0" t="n">
        <v>0.13</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57</v>
      </c>
      <c r="B1" s="50"/>
      <c r="C1" s="50"/>
      <c r="D1" s="50"/>
      <c r="E1" s="51" t="s">
        <v>2619</v>
      </c>
      <c r="F1" s="51"/>
      <c r="G1" s="52" t="s">
        <v>2691</v>
      </c>
    </row>
    <row r="2" customFormat="false" ht="24.75" hidden="false" customHeight="true" outlineLevel="0" collapsed="false">
      <c r="A2" s="50"/>
      <c r="B2" s="50"/>
      <c r="C2" s="50"/>
      <c r="D2" s="50"/>
      <c r="E2" s="53" t="s">
        <v>2692</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1626</v>
      </c>
      <c r="B4" s="57" t="n">
        <v>3.7</v>
      </c>
      <c r="C4" s="58" t="n">
        <f aca="false">B4/B$22*B$24</f>
        <v>5.80917874396135</v>
      </c>
      <c r="D4" s="57" t="s">
        <v>434</v>
      </c>
      <c r="E4" s="59" t="n">
        <f aca="false">IFERROR(INDEX(Correspondance!$D$2:$D$3000,MATCH(A4,Correspondance!$A$2:$A$3000,0)),0)</f>
        <v>9</v>
      </c>
      <c r="F4" s="60" t="n">
        <f aca="false">C4*E4</f>
        <v>52.2826086956522</v>
      </c>
      <c r="G4" s="61" t="s">
        <v>2693</v>
      </c>
    </row>
    <row r="5" customFormat="false" ht="15.75" hidden="false" customHeight="false" outlineLevel="0" collapsed="false">
      <c r="A5" s="57" t="s">
        <v>1147</v>
      </c>
      <c r="B5" s="57" t="n">
        <v>2.31</v>
      </c>
      <c r="C5" s="58" t="n">
        <f aca="false">B5/B$22*B$24</f>
        <v>3.6268115942029</v>
      </c>
      <c r="D5" s="57" t="s">
        <v>434</v>
      </c>
      <c r="E5" s="59" t="n">
        <f aca="false">IFERROR(INDEX(Correspondance!$D$2:$D$3000,MATCH(A5,Correspondance!$A$2:$A$3000,0)),0)</f>
        <v>1.6</v>
      </c>
      <c r="F5" s="60" t="n">
        <f aca="false">C5*E5</f>
        <v>5.80289855072464</v>
      </c>
      <c r="G5" s="61"/>
      <c r="I5" s="62"/>
    </row>
    <row r="6" customFormat="false" ht="15.75" hidden="false" customHeight="false" outlineLevel="0" collapsed="false">
      <c r="A6" s="57" t="s">
        <v>1229</v>
      </c>
      <c r="B6" s="57" t="n">
        <v>0.554</v>
      </c>
      <c r="C6" s="58" t="n">
        <f aca="false">B6/B$22*B$24</f>
        <v>0.869806763285024</v>
      </c>
      <c r="D6" s="57" t="s">
        <v>434</v>
      </c>
      <c r="E6" s="59" t="n">
        <f aca="false">IFERROR(INDEX(Correspondance!$D$2:$D$3000,MATCH(A6,Correspondance!$A$2:$A$3000,0)),0)</f>
        <v>9</v>
      </c>
      <c r="F6" s="60" t="n">
        <f aca="false">C6*E6</f>
        <v>7.82826086956522</v>
      </c>
      <c r="G6" s="61"/>
      <c r="I6" s="63"/>
    </row>
    <row r="7" customFormat="false" ht="15.75" hidden="false" customHeight="false" outlineLevel="0" collapsed="false">
      <c r="A7" s="57" t="s">
        <v>887</v>
      </c>
      <c r="B7" s="57" t="n">
        <v>1.39</v>
      </c>
      <c r="C7" s="58" t="n">
        <f aca="false">B7/B$22*B$24</f>
        <v>2.18236714975845</v>
      </c>
      <c r="D7" s="57" t="s">
        <v>434</v>
      </c>
      <c r="E7" s="59" t="n">
        <f aca="false">IFERROR(INDEX(Correspondance!$D$2:$D$3000,MATCH(A7,Correspondance!$A$2:$A$3000,0)),0)</f>
        <v>4.5</v>
      </c>
      <c r="F7" s="60" t="n">
        <f aca="false">C7*E7</f>
        <v>9.82065217391304</v>
      </c>
      <c r="G7" s="61"/>
      <c r="I7" s="63"/>
    </row>
    <row r="8" customFormat="false" ht="15.75" hidden="false" customHeight="false" outlineLevel="0" collapsed="false">
      <c r="A8" s="57" t="s">
        <v>1883</v>
      </c>
      <c r="B8" s="57" t="n">
        <v>0.462</v>
      </c>
      <c r="C8" s="58" t="n">
        <f aca="false">B8/B$22*B$24</f>
        <v>0.72536231884058</v>
      </c>
      <c r="D8" s="57" t="s">
        <v>434</v>
      </c>
      <c r="E8" s="59" t="n">
        <f aca="false">IFERROR(INDEX(Correspondance!$D$2:$D$3000,MATCH(A8,Correspondance!$A$2:$A$3000,0)),0)</f>
        <v>10</v>
      </c>
      <c r="F8" s="60" t="n">
        <f aca="false">C8*E8</f>
        <v>7.2536231884058</v>
      </c>
      <c r="G8" s="61"/>
      <c r="I8" s="63"/>
    </row>
    <row r="9" customFormat="false" ht="15.75" hidden="false" customHeight="false" outlineLevel="0" collapsed="false">
      <c r="A9" s="57" t="s">
        <v>728</v>
      </c>
      <c r="B9" s="57" t="n">
        <v>0.277</v>
      </c>
      <c r="C9" s="58" t="n">
        <f aca="false">B9/B$22*B$24</f>
        <v>0.434903381642512</v>
      </c>
      <c r="D9" s="57" t="s">
        <v>434</v>
      </c>
      <c r="E9" s="59" t="n">
        <f aca="false">IFERROR(INDEX(Correspondance!$D$2:$D$3000,MATCH(A9,Correspondance!$A$2:$A$3000,0)),0)</f>
        <v>16</v>
      </c>
      <c r="F9" s="60" t="n">
        <f aca="false">C9*E9</f>
        <v>6.95845410628019</v>
      </c>
      <c r="G9" s="61"/>
      <c r="I9" s="63"/>
    </row>
    <row r="10" customFormat="false" ht="15.75" hidden="false" customHeight="false" outlineLevel="0" collapsed="false">
      <c r="A10" s="57" t="s">
        <v>1120</v>
      </c>
      <c r="B10" s="57" t="n">
        <v>0.277</v>
      </c>
      <c r="C10" s="58" t="n">
        <f aca="false">B10/B$22*B$24</f>
        <v>0.434903381642512</v>
      </c>
      <c r="D10" s="57" t="s">
        <v>682</v>
      </c>
      <c r="E10" s="59" t="n">
        <f aca="false">IFERROR(INDEX(Correspondance!$D$2:$D$3000,MATCH(A10,Correspondance!$A$2:$A$3000,0)),0)</f>
        <v>7.5</v>
      </c>
      <c r="F10" s="60" t="n">
        <f aca="false">C10*E10</f>
        <v>3.26177536231884</v>
      </c>
      <c r="G10" s="61"/>
      <c r="I10" s="63"/>
    </row>
    <row r="11" customFormat="false" ht="15.75" hidden="false" customHeight="false" outlineLevel="0" collapsed="false">
      <c r="A11" s="57" t="s">
        <v>1153</v>
      </c>
      <c r="B11" s="57" t="n">
        <v>0.092</v>
      </c>
      <c r="C11" s="58" t="n">
        <f aca="false">B11/B$22*B$24</f>
        <v>0.144444444444444</v>
      </c>
      <c r="D11" s="57" t="s">
        <v>434</v>
      </c>
      <c r="E11" s="59" t="n">
        <f aca="false">IFERROR(INDEX(Correspondance!$D$2:$D$3000,MATCH(A11,Correspondance!$A$2:$A$3000,0)),0)</f>
        <v>38</v>
      </c>
      <c r="F11" s="60" t="n">
        <f aca="false">C11*E11</f>
        <v>5.48888888888889</v>
      </c>
      <c r="G11" s="61"/>
      <c r="I11" s="63"/>
    </row>
    <row r="12" customFormat="false" ht="18.75" hidden="false" customHeight="true" outlineLevel="0" collapsed="false">
      <c r="A12" s="57" t="s">
        <v>1919</v>
      </c>
      <c r="B12" s="64" t="n">
        <v>0.046</v>
      </c>
      <c r="C12" s="58" t="n">
        <f aca="false">B12/B$22*B$24</f>
        <v>0.0722222222222222</v>
      </c>
      <c r="D12" s="57" t="s">
        <v>434</v>
      </c>
      <c r="E12" s="59" t="n">
        <f aca="false">IFERROR(INDEX(Correspondance!$D$2:$D$3000,MATCH(A12,Correspondance!$A$2:$A$3000,0)),0)</f>
        <v>2</v>
      </c>
      <c r="F12" s="60" t="n">
        <f aca="false">C12*E12</f>
        <v>0.144444444444444</v>
      </c>
      <c r="G12" s="61"/>
      <c r="I12" s="63"/>
    </row>
    <row r="13" customFormat="false" ht="18.75" hidden="false" customHeight="true" outlineLevel="0" collapsed="false">
      <c r="A13" s="57" t="s">
        <v>1814</v>
      </c>
      <c r="B13" s="64"/>
      <c r="C13" s="58" t="n">
        <f aca="false">B13/B$22*B$24</f>
        <v>0</v>
      </c>
      <c r="D13" s="57" t="s">
        <v>434</v>
      </c>
      <c r="E13" s="59" t="n">
        <f aca="false">IFERROR(INDEX(Correspondance!$D$2:$D$3000,MATCH(A13,Correspondance!$A$2:$A$3000,0)),0)</f>
        <v>18</v>
      </c>
      <c r="F13" s="60" t="n">
        <f aca="false">C13*E13</f>
        <v>0</v>
      </c>
      <c r="G13" s="61"/>
      <c r="I13" s="63"/>
    </row>
    <row r="14" customFormat="false" ht="15.75" hidden="false" customHeight="false" outlineLevel="0" collapsed="false">
      <c r="A14" s="57" t="s">
        <v>1485</v>
      </c>
      <c r="B14" s="57"/>
      <c r="C14" s="58" t="n">
        <f aca="false">B14/B$22*B$24</f>
        <v>0</v>
      </c>
      <c r="D14" s="57" t="s">
        <v>434</v>
      </c>
      <c r="E14" s="59" t="n">
        <f aca="false">IFERROR(INDEX(Correspondance!$D$2:$D$3000,MATCH(A14,Correspondance!$A$2:$A$3000,0)),0)</f>
        <v>32</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98.8416062801933</v>
      </c>
      <c r="G19" s="61"/>
      <c r="I19" s="63"/>
    </row>
    <row r="20" customFormat="false" ht="18.75" hidden="false" customHeight="true" outlineLevel="0" collapsed="false">
      <c r="A20" s="68" t="s">
        <v>2628</v>
      </c>
      <c r="B20" s="69" t="n">
        <f aca="false">F19/B24</f>
        <v>0.898560057092666</v>
      </c>
      <c r="C20" s="70"/>
      <c r="G20" s="61"/>
      <c r="I20" s="63"/>
    </row>
    <row r="21" customFormat="false" ht="15.75" hidden="false" customHeight="false" outlineLevel="0" collapsed="false">
      <c r="A21" s="71" t="s">
        <v>2629</v>
      </c>
      <c r="B21" s="71" t="n">
        <f aca="false">SUM(B3:B18)</f>
        <v>9.108</v>
      </c>
      <c r="C21" s="66"/>
      <c r="G21" s="61"/>
      <c r="I21" s="63"/>
    </row>
    <row r="22" customFormat="false" ht="15.75" hidden="false" customHeight="false" outlineLevel="0" collapsed="false">
      <c r="A22" s="0" t="s">
        <v>2630</v>
      </c>
      <c r="B22" s="72" t="n">
        <f aca="false">B21/B23</f>
        <v>70.0615384615385</v>
      </c>
      <c r="C22" s="66"/>
      <c r="G22" s="61"/>
      <c r="I22" s="63"/>
    </row>
    <row r="23" customFormat="false" ht="15.75" hidden="false" customHeight="false" outlineLevel="0" collapsed="false">
      <c r="A23" s="0" t="s">
        <v>2631</v>
      </c>
      <c r="B23" s="0" t="n">
        <v>0.13</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59</v>
      </c>
      <c r="B1" s="50"/>
      <c r="C1" s="50"/>
      <c r="D1" s="50"/>
      <c r="E1" s="51" t="s">
        <v>2619</v>
      </c>
      <c r="F1" s="51"/>
      <c r="G1" s="52" t="s">
        <v>2694</v>
      </c>
    </row>
    <row r="2" customFormat="false" ht="24.75" hidden="false" customHeight="true" outlineLevel="0" collapsed="false">
      <c r="A2" s="50"/>
      <c r="B2" s="50"/>
      <c r="C2" s="50"/>
      <c r="D2" s="50"/>
      <c r="E2" s="53" t="s">
        <v>2636</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1480</v>
      </c>
      <c r="B4" s="57" t="n">
        <v>6.5</v>
      </c>
      <c r="C4" s="58" t="n">
        <f aca="false">B4/B$22*B$24</f>
        <v>10.2169394647961</v>
      </c>
      <c r="D4" s="57" t="s">
        <v>434</v>
      </c>
      <c r="E4" s="59" t="n">
        <f aca="false">IFERROR(INDEX(Correspondance!$D$2:$D$3000,MATCH(A4,Correspondance!$A$2:$A$3000,0)),0)</f>
        <v>9</v>
      </c>
      <c r="F4" s="60" t="n">
        <f aca="false">C4*E4</f>
        <v>91.9524551831645</v>
      </c>
      <c r="G4" s="61" t="s">
        <v>2695</v>
      </c>
    </row>
    <row r="5" customFormat="false" ht="15.75" hidden="false" customHeight="false" outlineLevel="0" collapsed="false">
      <c r="A5" s="57" t="s">
        <v>1131</v>
      </c>
      <c r="B5" s="57" t="n">
        <v>0.464</v>
      </c>
      <c r="C5" s="58" t="n">
        <f aca="false">B5/B$22*B$24</f>
        <v>0.729332294102364</v>
      </c>
      <c r="D5" s="57" t="s">
        <v>682</v>
      </c>
      <c r="E5" s="59" t="n">
        <f aca="false">IFERROR(INDEX(Correspondance!$D$2:$D$3000,MATCH(A5,Correspondance!$A$2:$A$3000,0)),0)</f>
        <v>2.2</v>
      </c>
      <c r="F5" s="60" t="n">
        <f aca="false">C5*E5</f>
        <v>1.6045310470252</v>
      </c>
      <c r="G5" s="61"/>
      <c r="I5" s="62"/>
    </row>
    <row r="6" customFormat="false" ht="15.75" hidden="false" customHeight="false" outlineLevel="0" collapsed="false">
      <c r="A6" s="57" t="s">
        <v>1982</v>
      </c>
      <c r="B6" s="57" t="n">
        <v>0.139</v>
      </c>
      <c r="C6" s="58" t="n">
        <f aca="false">B6/B$22*B$24</f>
        <v>0.218485320862562</v>
      </c>
      <c r="D6" s="57" t="s">
        <v>682</v>
      </c>
      <c r="E6" s="59" t="n">
        <f aca="false">IFERROR(INDEX(Correspondance!$D$2:$D$3000,MATCH(A6,Correspondance!$A$2:$A$3000,0)),0)</f>
        <v>1.5</v>
      </c>
      <c r="F6" s="60" t="n">
        <f aca="false">C6*E6</f>
        <v>0.327727981293843</v>
      </c>
      <c r="G6" s="61"/>
      <c r="I6" s="63"/>
    </row>
    <row r="7" customFormat="false" ht="15.75" hidden="false" customHeight="false" outlineLevel="0" collapsed="false">
      <c r="A7" s="57" t="s">
        <v>1725</v>
      </c>
      <c r="B7" s="57" t="n">
        <v>0.093</v>
      </c>
      <c r="C7" s="58" t="n">
        <f aca="false">B7/B$22*B$24</f>
        <v>0.14618082618862</v>
      </c>
      <c r="D7" s="57" t="s">
        <v>434</v>
      </c>
      <c r="E7" s="59" t="n">
        <f aca="false">IFERROR(INDEX(Correspondance!$D$2:$D$3000,MATCH(A7,Correspondance!$A$2:$A$3000,0)),0)</f>
        <v>9</v>
      </c>
      <c r="F7" s="60" t="n">
        <f aca="false">C7*E7</f>
        <v>1.31562743569758</v>
      </c>
      <c r="G7" s="61"/>
      <c r="I7" s="63"/>
    </row>
    <row r="8" customFormat="false" ht="15.75" hidden="false" customHeight="false" outlineLevel="0" collapsed="false">
      <c r="A8" s="57" t="s">
        <v>741</v>
      </c>
      <c r="B8" s="57" t="n">
        <v>0.372</v>
      </c>
      <c r="C8" s="58" t="n">
        <f aca="false">B8/B$22*B$24</f>
        <v>0.584723304754482</v>
      </c>
      <c r="D8" s="57" t="s">
        <v>434</v>
      </c>
      <c r="E8" s="59" t="n">
        <f aca="false">IFERROR(INDEX(Correspondance!$D$2:$D$3000,MATCH(A8,Correspondance!$A$2:$A$3000,0)),0)</f>
        <v>5.6</v>
      </c>
      <c r="F8" s="60" t="n">
        <f aca="false">C8*E8</f>
        <v>3.2744505066251</v>
      </c>
      <c r="G8" s="61"/>
      <c r="I8" s="63"/>
    </row>
    <row r="9" customFormat="false" ht="15.75" hidden="false" customHeight="false" outlineLevel="0" collapsed="false">
      <c r="A9" s="57" t="s">
        <v>947</v>
      </c>
      <c r="B9" s="57" t="n">
        <v>0.093</v>
      </c>
      <c r="C9" s="58" t="n">
        <f aca="false">B9/B$22*B$24</f>
        <v>0.14618082618862</v>
      </c>
      <c r="D9" s="57" t="s">
        <v>434</v>
      </c>
      <c r="E9" s="59" t="n">
        <f aca="false">IFERROR(INDEX(Correspondance!$D$2:$D$3000,MATCH(A9,Correspondance!$A$2:$A$3000,0)),0)</f>
        <v>4.5</v>
      </c>
      <c r="F9" s="60" t="n">
        <f aca="false">C9*E9</f>
        <v>0.657813717848792</v>
      </c>
      <c r="G9" s="61"/>
      <c r="I9" s="63"/>
    </row>
    <row r="10" customFormat="false" ht="15.75" hidden="false" customHeight="false" outlineLevel="0" collapsed="false">
      <c r="A10" s="57" t="s">
        <v>1919</v>
      </c>
      <c r="B10" s="57" t="n">
        <v>0.037</v>
      </c>
      <c r="C10" s="58" t="n">
        <f aca="false">B10/B$22*B$24</f>
        <v>0.0581579631073006</v>
      </c>
      <c r="D10" s="57" t="s">
        <v>434</v>
      </c>
      <c r="E10" s="59" t="n">
        <f aca="false">IFERROR(INDEX(Correspondance!$D$2:$D$3000,MATCH(A10,Correspondance!$A$2:$A$3000,0)),0)</f>
        <v>2</v>
      </c>
      <c r="F10" s="60" t="n">
        <f aca="false">C10*E10</f>
        <v>0.116315926214601</v>
      </c>
      <c r="G10" s="61"/>
      <c r="I10" s="63"/>
    </row>
    <row r="11" customFormat="false" ht="15.75" hidden="false" customHeight="false" outlineLevel="0" collapsed="false">
      <c r="A11" s="57" t="s">
        <v>1814</v>
      </c>
      <c r="B11" s="57"/>
      <c r="C11" s="58" t="n">
        <f aca="false">B11/B$22*B$24</f>
        <v>0</v>
      </c>
      <c r="D11" s="57" t="s">
        <v>434</v>
      </c>
      <c r="E11" s="59" t="n">
        <f aca="false">IFERROR(INDEX(Correspondance!$D$2:$D$3000,MATCH(A11,Correspondance!$A$2:$A$3000,0)),0)</f>
        <v>18</v>
      </c>
      <c r="F11" s="60" t="n">
        <f aca="false">C11*E11</f>
        <v>0</v>
      </c>
      <c r="G11" s="61"/>
      <c r="I11" s="63"/>
    </row>
    <row r="12" customFormat="false" ht="18.75" hidden="false" customHeight="true" outlineLevel="0" collapsed="false">
      <c r="A12" s="57" t="s">
        <v>1539</v>
      </c>
      <c r="B12" s="64"/>
      <c r="C12" s="58" t="n">
        <f aca="false">B12/B$22*B$24</f>
        <v>0</v>
      </c>
      <c r="D12" s="57" t="s">
        <v>434</v>
      </c>
      <c r="E12" s="59" t="n">
        <f aca="false">IFERROR(INDEX(Correspondance!$D$2:$D$3000,MATCH(A12,Correspondance!$A$2:$A$3000,0)),0)</f>
        <v>13</v>
      </c>
      <c r="F12" s="60" t="n">
        <f aca="false">C12*E12</f>
        <v>0</v>
      </c>
      <c r="G12" s="61"/>
      <c r="I12" s="63"/>
    </row>
    <row r="13" customFormat="false" ht="18.75" hidden="false" customHeight="true" outlineLevel="0" collapsed="false">
      <c r="A13" s="57"/>
      <c r="B13" s="64"/>
      <c r="C13" s="58" t="n">
        <f aca="false">B13/B$22*B$24</f>
        <v>0</v>
      </c>
      <c r="D13" s="57"/>
      <c r="E13" s="65" t="n">
        <f aca="false">IFERROR(INDEX(Correspondance!$D$2:$D$3000,MATCH(A13,Correspondance!$A$2:$A$3000,0)),0)</f>
        <v>0</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99.2489217978696</v>
      </c>
      <c r="G19" s="61"/>
      <c r="I19" s="63"/>
    </row>
    <row r="20" customFormat="false" ht="18.75" hidden="false" customHeight="true" outlineLevel="0" collapsed="false">
      <c r="A20" s="68" t="s">
        <v>2628</v>
      </c>
      <c r="B20" s="69" t="n">
        <f aca="false">F19/B24</f>
        <v>0.902262925435178</v>
      </c>
      <c r="C20" s="70"/>
      <c r="G20" s="61"/>
      <c r="I20" s="63"/>
    </row>
    <row r="21" customFormat="false" ht="15.75" hidden="false" customHeight="false" outlineLevel="0" collapsed="false">
      <c r="A21" s="71" t="s">
        <v>2629</v>
      </c>
      <c r="B21" s="71" t="n">
        <f aca="false">SUM(B3:B18)</f>
        <v>7.698</v>
      </c>
      <c r="C21" s="66"/>
      <c r="G21" s="61"/>
      <c r="I21" s="63"/>
    </row>
    <row r="22" customFormat="false" ht="15.75" hidden="false" customHeight="false" outlineLevel="0" collapsed="false">
      <c r="A22" s="0" t="s">
        <v>2630</v>
      </c>
      <c r="B22" s="72" t="n">
        <f aca="false">B21/B23</f>
        <v>69.9818181818182</v>
      </c>
      <c r="C22" s="66"/>
      <c r="G22" s="61"/>
      <c r="I22" s="63"/>
    </row>
    <row r="23" customFormat="false" ht="15.75" hidden="false" customHeight="false" outlineLevel="0" collapsed="false">
      <c r="A23" s="0" t="s">
        <v>2631</v>
      </c>
      <c r="B23" s="0" t="n">
        <v>0.11</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60</v>
      </c>
      <c r="B1" s="50"/>
      <c r="C1" s="50"/>
      <c r="D1" s="50"/>
      <c r="E1" s="51" t="s">
        <v>2619</v>
      </c>
      <c r="F1" s="51"/>
      <c r="G1" s="52" t="s">
        <v>2656</v>
      </c>
    </row>
    <row r="2" customFormat="false" ht="24.75" hidden="false" customHeight="true" outlineLevel="0" collapsed="false">
      <c r="A2" s="50"/>
      <c r="B2" s="50"/>
      <c r="C2" s="50"/>
      <c r="D2" s="50"/>
      <c r="E2" s="53" t="s">
        <v>2621</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1873</v>
      </c>
      <c r="B4" s="57" t="n">
        <v>3.19</v>
      </c>
      <c r="C4" s="58" t="n">
        <f aca="false">B4/B$22*B$24</f>
        <v>5.01017312154203</v>
      </c>
      <c r="D4" s="57" t="s">
        <v>434</v>
      </c>
      <c r="E4" s="59" t="n">
        <f aca="false">IFERROR(INDEX(Correspondance!$D$2:$D$3000,MATCH(A4,Correspondance!$A$2:$A$3000,0)),0)</f>
        <v>8</v>
      </c>
      <c r="F4" s="60" t="n">
        <f aca="false">C4*E4</f>
        <v>40.0813849723362</v>
      </c>
      <c r="G4" s="61" t="s">
        <v>2696</v>
      </c>
    </row>
    <row r="5" customFormat="false" ht="15.75" hidden="false" customHeight="false" outlineLevel="0" collapsed="false">
      <c r="A5" s="57" t="s">
        <v>1567</v>
      </c>
      <c r="B5" s="57" t="n">
        <v>0.455</v>
      </c>
      <c r="C5" s="58" t="n">
        <f aca="false">B5/B$22*B$24</f>
        <v>0.71461716937355</v>
      </c>
      <c r="D5" s="57" t="s">
        <v>434</v>
      </c>
      <c r="E5" s="59" t="n">
        <f aca="false">IFERROR(INDEX(Correspondance!$D$2:$D$3000,MATCH(A5,Correspondance!$A$2:$A$3000,0)),0)</f>
        <v>6.5</v>
      </c>
      <c r="F5" s="60" t="n">
        <f aca="false">C5*E5</f>
        <v>4.64501160092808</v>
      </c>
      <c r="G5" s="61"/>
      <c r="I5" s="62"/>
    </row>
    <row r="6" customFormat="false" ht="15.75" hidden="false" customHeight="false" outlineLevel="0" collapsed="false">
      <c r="A6" s="57" t="s">
        <v>878</v>
      </c>
      <c r="B6" s="57" t="n">
        <v>0.911</v>
      </c>
      <c r="C6" s="58" t="n">
        <f aca="false">B6/B$22*B$24</f>
        <v>1.43080492593254</v>
      </c>
      <c r="D6" s="57" t="s">
        <v>434</v>
      </c>
      <c r="E6" s="59" t="n">
        <f aca="false">IFERROR(INDEX(Correspondance!$D$2:$D$3000,MATCH(A6,Correspondance!$A$2:$A$3000,0)),0)</f>
        <v>3.6</v>
      </c>
      <c r="F6" s="60" t="n">
        <f aca="false">C6*E6</f>
        <v>5.15089773335713</v>
      </c>
      <c r="G6" s="61"/>
      <c r="I6" s="63"/>
    </row>
    <row r="7" customFormat="false" ht="15.75" hidden="false" customHeight="false" outlineLevel="0" collapsed="false">
      <c r="A7" s="57" t="s">
        <v>678</v>
      </c>
      <c r="B7" s="57" t="n">
        <v>0.455</v>
      </c>
      <c r="C7" s="58" t="n">
        <f aca="false">B7/B$22*B$24</f>
        <v>0.71461716937355</v>
      </c>
      <c r="D7" s="57" t="s">
        <v>434</v>
      </c>
      <c r="E7" s="59" t="n">
        <f aca="false">IFERROR(INDEX(Correspondance!$D$2:$D$3000,MATCH(A7,Correspondance!$A$2:$A$3000,0)),0)</f>
        <v>10.5</v>
      </c>
      <c r="F7" s="60" t="n">
        <f aca="false">C7*E7</f>
        <v>7.50348027842228</v>
      </c>
      <c r="G7" s="61"/>
      <c r="I7" s="63"/>
    </row>
    <row r="8" customFormat="false" ht="15.75" hidden="false" customHeight="false" outlineLevel="0" collapsed="false">
      <c r="A8" s="57" t="s">
        <v>887</v>
      </c>
      <c r="B8" s="57" t="n">
        <v>0.455</v>
      </c>
      <c r="C8" s="58" t="n">
        <f aca="false">B8/B$22*B$24</f>
        <v>0.71461716937355</v>
      </c>
      <c r="D8" s="57" t="s">
        <v>434</v>
      </c>
      <c r="E8" s="59" t="n">
        <f aca="false">IFERROR(INDEX(Correspondance!$D$2:$D$3000,MATCH(A8,Correspondance!$A$2:$A$3000,0)),0)</f>
        <v>4.5</v>
      </c>
      <c r="F8" s="60" t="n">
        <f aca="false">C8*E8</f>
        <v>3.21577726218098</v>
      </c>
      <c r="G8" s="61"/>
      <c r="I8" s="63"/>
    </row>
    <row r="9" customFormat="false" ht="15.75" hidden="false" customHeight="false" outlineLevel="0" collapsed="false">
      <c r="A9" s="57" t="s">
        <v>1725</v>
      </c>
      <c r="B9" s="57" t="n">
        <v>0.137</v>
      </c>
      <c r="C9" s="58" t="n">
        <f aca="false">B9/B$22*B$24</f>
        <v>0.215170444404783</v>
      </c>
      <c r="D9" s="57" t="s">
        <v>434</v>
      </c>
      <c r="E9" s="59" t="n">
        <f aca="false">IFERROR(INDEX(Correspondance!$D$2:$D$3000,MATCH(A9,Correspondance!$A$2:$A$3000,0)),0)</f>
        <v>9</v>
      </c>
      <c r="F9" s="60" t="n">
        <f aca="false">C9*E9</f>
        <v>1.93653399964305</v>
      </c>
      <c r="G9" s="61"/>
      <c r="I9" s="63"/>
    </row>
    <row r="10" customFormat="false" ht="15.75" hidden="false" customHeight="false" outlineLevel="0" collapsed="false">
      <c r="A10" s="57"/>
      <c r="B10" s="57"/>
      <c r="C10" s="58" t="n">
        <f aca="false">B10/B$22*B$24</f>
        <v>0</v>
      </c>
      <c r="D10" s="57"/>
      <c r="E10" s="65" t="n">
        <f aca="false">IFERROR(INDEX(Correspondance!$D$2:$D$3000,MATCH(A10,Correspondance!$A$2:$A$3000,0)),0)</f>
        <v>0</v>
      </c>
      <c r="F10" s="60" t="n">
        <f aca="false">C10*E10</f>
        <v>0</v>
      </c>
      <c r="G10" s="61"/>
      <c r="I10" s="63"/>
    </row>
    <row r="11" customFormat="false" ht="15.75" hidden="false" customHeight="false" outlineLevel="0" collapsed="false">
      <c r="A11" s="57"/>
      <c r="B11" s="57"/>
      <c r="C11" s="58" t="n">
        <f aca="false">B11/B$22*B$24</f>
        <v>0</v>
      </c>
      <c r="D11" s="57"/>
      <c r="E11" s="65" t="n">
        <f aca="false">IFERROR(INDEX(Correspondance!$D$2:$D$3000,MATCH(A11,Correspondance!$A$2:$A$3000,0)),0)</f>
        <v>0</v>
      </c>
      <c r="F11" s="60" t="n">
        <f aca="false">C11*E11</f>
        <v>0</v>
      </c>
      <c r="G11" s="61"/>
      <c r="I11" s="63"/>
    </row>
    <row r="12" customFormat="false" ht="18.75" hidden="false" customHeight="true" outlineLevel="0" collapsed="false">
      <c r="A12" s="57"/>
      <c r="B12" s="64"/>
      <c r="C12" s="58" t="n">
        <f aca="false">B12/B$22*B$24</f>
        <v>0</v>
      </c>
      <c r="D12" s="57"/>
      <c r="E12" s="65" t="n">
        <f aca="false">IFERROR(INDEX(Correspondance!$D$2:$D$3000,MATCH(A12,Correspondance!$A$2:$A$3000,0)),0)</f>
        <v>0</v>
      </c>
      <c r="F12" s="60" t="n">
        <f aca="false">C12*E12</f>
        <v>0</v>
      </c>
      <c r="G12" s="61"/>
      <c r="I12" s="63"/>
    </row>
    <row r="13" customFormat="false" ht="18.75" hidden="false" customHeight="true" outlineLevel="0" collapsed="false">
      <c r="A13" s="57"/>
      <c r="B13" s="64"/>
      <c r="C13" s="58" t="n">
        <f aca="false">B13/B$22*B$24</f>
        <v>0</v>
      </c>
      <c r="D13" s="57"/>
      <c r="E13" s="65" t="n">
        <f aca="false">IFERROR(INDEX(Correspondance!$D$2:$D$3000,MATCH(A13,Correspondance!$A$2:$A$3000,0)),0)</f>
        <v>0</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62.5330858468678</v>
      </c>
      <c r="G19" s="61"/>
      <c r="I19" s="63"/>
    </row>
    <row r="20" customFormat="false" ht="18.75" hidden="false" customHeight="true" outlineLevel="0" collapsed="false">
      <c r="A20" s="68" t="s">
        <v>2628</v>
      </c>
      <c r="B20" s="69" t="n">
        <f aca="false">F19/B24</f>
        <v>0.568482598607889</v>
      </c>
      <c r="C20" s="70"/>
      <c r="G20" s="61"/>
      <c r="I20" s="63"/>
    </row>
    <row r="21" customFormat="false" ht="15.75" hidden="false" customHeight="false" outlineLevel="0" collapsed="false">
      <c r="A21" s="71" t="s">
        <v>2629</v>
      </c>
      <c r="B21" s="71" t="n">
        <f aca="false">SUM(B3:B18)</f>
        <v>5.603</v>
      </c>
      <c r="C21" s="66"/>
      <c r="G21" s="61"/>
      <c r="I21" s="63"/>
    </row>
    <row r="22" customFormat="false" ht="15.75" hidden="false" customHeight="false" outlineLevel="0" collapsed="false">
      <c r="A22" s="0" t="s">
        <v>2630</v>
      </c>
      <c r="B22" s="72" t="n">
        <f aca="false">B21/B23</f>
        <v>70.0375</v>
      </c>
      <c r="C22" s="66"/>
      <c r="G22" s="61"/>
      <c r="I22" s="63"/>
    </row>
    <row r="23" customFormat="false" ht="15.75" hidden="false" customHeight="false" outlineLevel="0" collapsed="false">
      <c r="A23" s="0" t="s">
        <v>2631</v>
      </c>
      <c r="B23" s="0" t="n">
        <v>0.08</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61</v>
      </c>
      <c r="B1" s="50"/>
      <c r="C1" s="50"/>
      <c r="D1" s="50"/>
      <c r="E1" s="51" t="s">
        <v>2619</v>
      </c>
      <c r="F1" s="51"/>
      <c r="G1" s="52" t="s">
        <v>2697</v>
      </c>
    </row>
    <row r="2" customFormat="false" ht="24.75" hidden="false" customHeight="true" outlineLevel="0" collapsed="false">
      <c r="A2" s="50"/>
      <c r="B2" s="50"/>
      <c r="C2" s="50"/>
      <c r="D2" s="50"/>
      <c r="E2" s="53" t="s">
        <v>2621</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1681</v>
      </c>
      <c r="B4" s="57" t="n">
        <v>2.95</v>
      </c>
      <c r="C4" s="58" t="n">
        <f aca="false">B4/B$22*B$24</f>
        <v>4.63488662738797</v>
      </c>
      <c r="D4" s="57" t="s">
        <v>434</v>
      </c>
      <c r="E4" s="59" t="n">
        <f aca="false">IFERROR(INDEX(Correspondance!$D$2:$D$3000,MATCH(A4,Correspondance!$A$2:$A$3000,0)),0)</f>
        <v>22</v>
      </c>
      <c r="F4" s="60" t="n">
        <f aca="false">C4*E4</f>
        <v>101.967505802535</v>
      </c>
      <c r="G4" s="61" t="s">
        <v>2698</v>
      </c>
    </row>
    <row r="5" customFormat="false" ht="15.75" hidden="false" customHeight="false" outlineLevel="0" collapsed="false">
      <c r="A5" s="57" t="s">
        <v>678</v>
      </c>
      <c r="B5" s="57" t="n">
        <v>0.589</v>
      </c>
      <c r="C5" s="58" t="n">
        <f aca="false">B5/B$22*B$24</f>
        <v>0.925406177468309</v>
      </c>
      <c r="D5" s="57" t="s">
        <v>434</v>
      </c>
      <c r="E5" s="59" t="n">
        <f aca="false">IFERROR(INDEX(Correspondance!$D$2:$D$3000,MATCH(A5,Correspondance!$A$2:$A$3000,0)),0)</f>
        <v>10.5</v>
      </c>
      <c r="F5" s="60" t="n">
        <f aca="false">C5*E5</f>
        <v>9.71676486341725</v>
      </c>
      <c r="G5" s="61"/>
      <c r="I5" s="62"/>
    </row>
    <row r="6" customFormat="false" ht="15.75" hidden="false" customHeight="false" outlineLevel="0" collapsed="false">
      <c r="A6" s="57" t="s">
        <v>1567</v>
      </c>
      <c r="B6" s="57" t="n">
        <v>0.491</v>
      </c>
      <c r="C6" s="58" t="n">
        <f aca="false">B6/B$22*B$24</f>
        <v>0.771433672558472</v>
      </c>
      <c r="D6" s="57" t="s">
        <v>434</v>
      </c>
      <c r="E6" s="59" t="n">
        <f aca="false">IFERROR(INDEX(Correspondance!$D$2:$D$3000,MATCH(A6,Correspondance!$A$2:$A$3000,0)),0)</f>
        <v>6.5</v>
      </c>
      <c r="F6" s="60" t="n">
        <f aca="false">C6*E6</f>
        <v>5.01431887163007</v>
      </c>
      <c r="G6" s="61"/>
      <c r="I6" s="63"/>
    </row>
    <row r="7" customFormat="false" ht="15.75" hidden="false" customHeight="false" outlineLevel="0" collapsed="false">
      <c r="A7" s="57" t="s">
        <v>878</v>
      </c>
      <c r="B7" s="57" t="n">
        <v>0.982</v>
      </c>
      <c r="C7" s="58" t="n">
        <f aca="false">B7/B$22*B$24</f>
        <v>1.54286734511694</v>
      </c>
      <c r="D7" s="57" t="s">
        <v>434</v>
      </c>
      <c r="E7" s="59" t="n">
        <f aca="false">IFERROR(INDEX(Correspondance!$D$2:$D$3000,MATCH(A7,Correspondance!$A$2:$A$3000,0)),0)</f>
        <v>3.6</v>
      </c>
      <c r="F7" s="60" t="n">
        <f aca="false">C7*E7</f>
        <v>5.554322442421</v>
      </c>
      <c r="G7" s="61"/>
      <c r="I7" s="63"/>
    </row>
    <row r="8" customFormat="false" ht="15.75" hidden="false" customHeight="false" outlineLevel="0" collapsed="false">
      <c r="A8" s="57" t="s">
        <v>887</v>
      </c>
      <c r="B8" s="57" t="n">
        <v>0.491</v>
      </c>
      <c r="C8" s="58" t="n">
        <f aca="false">B8/B$22*B$24</f>
        <v>0.771433672558472</v>
      </c>
      <c r="D8" s="57" t="s">
        <v>434</v>
      </c>
      <c r="E8" s="59" t="n">
        <f aca="false">IFERROR(INDEX(Correspondance!$D$2:$D$3000,MATCH(A8,Correspondance!$A$2:$A$3000,0)),0)</f>
        <v>4.5</v>
      </c>
      <c r="F8" s="60" t="n">
        <f aca="false">C8*E8</f>
        <v>3.47145152651312</v>
      </c>
      <c r="G8" s="61"/>
      <c r="I8" s="63"/>
    </row>
    <row r="9" customFormat="false" ht="15.75" hidden="false" customHeight="false" outlineLevel="0" collapsed="false">
      <c r="A9" s="57" t="s">
        <v>1120</v>
      </c>
      <c r="B9" s="57" t="n">
        <v>0.098</v>
      </c>
      <c r="C9" s="58" t="n">
        <f aca="false">B9/B$22*B$24</f>
        <v>0.153972504909838</v>
      </c>
      <c r="D9" s="57" t="s">
        <v>682</v>
      </c>
      <c r="E9" s="59" t="n">
        <f aca="false">IFERROR(INDEX(Correspondance!$D$2:$D$3000,MATCH(A9,Correspondance!$A$2:$A$3000,0)),0)</f>
        <v>7.5</v>
      </c>
      <c r="F9" s="60" t="n">
        <f aca="false">C9*E9</f>
        <v>1.15479378682378</v>
      </c>
      <c r="G9" s="61"/>
      <c r="I9" s="63"/>
    </row>
    <row r="10" customFormat="false" ht="15.75" hidden="false" customHeight="false" outlineLevel="0" collapsed="false">
      <c r="A10" s="57" t="s">
        <v>1814</v>
      </c>
      <c r="B10" s="57"/>
      <c r="C10" s="58" t="n">
        <f aca="false">B10/B$22*B$24</f>
        <v>0</v>
      </c>
      <c r="D10" s="57" t="s">
        <v>434</v>
      </c>
      <c r="E10" s="59" t="n">
        <f aca="false">IFERROR(INDEX(Correspondance!$D$2:$D$3000,MATCH(A10,Correspondance!$A$2:$A$3000,0)),0)</f>
        <v>18</v>
      </c>
      <c r="F10" s="60" t="n">
        <f aca="false">C10*E10</f>
        <v>0</v>
      </c>
      <c r="G10" s="61"/>
      <c r="I10" s="63"/>
    </row>
    <row r="11" customFormat="false" ht="15.75" hidden="false" customHeight="false" outlineLevel="0" collapsed="false">
      <c r="A11" s="57"/>
      <c r="B11" s="57"/>
      <c r="C11" s="58" t="n">
        <f aca="false">B11/B$22*B$24</f>
        <v>0</v>
      </c>
      <c r="D11" s="57"/>
      <c r="E11" s="65" t="n">
        <f aca="false">IFERROR(INDEX(Correspondance!$D$2:$D$3000,MATCH(A11,Correspondance!$A$2:$A$3000,0)),0)</f>
        <v>0</v>
      </c>
      <c r="F11" s="60" t="n">
        <f aca="false">C11*E11</f>
        <v>0</v>
      </c>
      <c r="G11" s="61"/>
      <c r="I11" s="63"/>
    </row>
    <row r="12" customFormat="false" ht="18.75" hidden="false" customHeight="true" outlineLevel="0" collapsed="false">
      <c r="A12" s="57"/>
      <c r="B12" s="64"/>
      <c r="C12" s="58" t="n">
        <f aca="false">B12/B$22*B$24</f>
        <v>0</v>
      </c>
      <c r="D12" s="57"/>
      <c r="E12" s="65" t="n">
        <f aca="false">IFERROR(INDEX(Correspondance!$D$2:$D$3000,MATCH(A12,Correspondance!$A$2:$A$3000,0)),0)</f>
        <v>0</v>
      </c>
      <c r="F12" s="60" t="n">
        <f aca="false">C12*E12</f>
        <v>0</v>
      </c>
      <c r="G12" s="61"/>
      <c r="I12" s="63"/>
    </row>
    <row r="13" customFormat="false" ht="18.75" hidden="false" customHeight="true" outlineLevel="0" collapsed="false">
      <c r="A13" s="57"/>
      <c r="B13" s="64"/>
      <c r="C13" s="58" t="n">
        <f aca="false">B13/B$22*B$24</f>
        <v>0</v>
      </c>
      <c r="D13" s="57"/>
      <c r="E13" s="65" t="n">
        <f aca="false">IFERROR(INDEX(Correspondance!$D$2:$D$3000,MATCH(A13,Correspondance!$A$2:$A$3000,0)),0)</f>
        <v>0</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126.87915729334</v>
      </c>
      <c r="G19" s="61"/>
      <c r="I19" s="63"/>
    </row>
    <row r="20" customFormat="false" ht="18.75" hidden="false" customHeight="true" outlineLevel="0" collapsed="false">
      <c r="A20" s="68" t="s">
        <v>2628</v>
      </c>
      <c r="B20" s="69" t="n">
        <f aca="false">F19/B24</f>
        <v>1.15344688448491</v>
      </c>
      <c r="C20" s="70"/>
      <c r="G20" s="61"/>
      <c r="I20" s="63"/>
    </row>
    <row r="21" customFormat="false" ht="15.75" hidden="false" customHeight="false" outlineLevel="0" collapsed="false">
      <c r="A21" s="71" t="s">
        <v>2629</v>
      </c>
      <c r="B21" s="71" t="n">
        <f aca="false">SUM(B3:B18)</f>
        <v>5.601</v>
      </c>
      <c r="C21" s="66"/>
      <c r="G21" s="61"/>
      <c r="I21" s="63"/>
    </row>
    <row r="22" customFormat="false" ht="15.75" hidden="false" customHeight="false" outlineLevel="0" collapsed="false">
      <c r="A22" s="0" t="s">
        <v>2630</v>
      </c>
      <c r="B22" s="72" t="n">
        <f aca="false">B21/B23</f>
        <v>70.0125</v>
      </c>
      <c r="C22" s="66"/>
      <c r="G22" s="61"/>
      <c r="I22" s="63"/>
    </row>
    <row r="23" customFormat="false" ht="15.75" hidden="false" customHeight="false" outlineLevel="0" collapsed="false">
      <c r="A23" s="0" t="s">
        <v>2631</v>
      </c>
      <c r="B23" s="0" t="n">
        <v>0.08</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62</v>
      </c>
      <c r="B1" s="50"/>
      <c r="C1" s="50"/>
      <c r="D1" s="50"/>
      <c r="E1" s="51" t="s">
        <v>2619</v>
      </c>
      <c r="F1" s="51"/>
      <c r="G1" s="52" t="s">
        <v>2656</v>
      </c>
    </row>
    <row r="2" customFormat="false" ht="24.75" hidden="false" customHeight="true" outlineLevel="0" collapsed="false">
      <c r="A2" s="50"/>
      <c r="B2" s="50"/>
      <c r="C2" s="50"/>
      <c r="D2" s="50"/>
      <c r="E2" s="53" t="s">
        <v>2621</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1874</v>
      </c>
      <c r="B4" s="57" t="n">
        <v>3.29</v>
      </c>
      <c r="C4" s="58" t="n">
        <f aca="false">B4/B$22*B$24</f>
        <v>5.17369549678342</v>
      </c>
      <c r="D4" s="57" t="s">
        <v>434</v>
      </c>
      <c r="E4" s="59" t="n">
        <f aca="false">IFERROR(INDEX(Correspondance!$D$2:$D$3000,MATCH(A4,Correspondance!$A$2:$A$3000,0)),0)</f>
        <v>7.5</v>
      </c>
      <c r="F4" s="60" t="n">
        <f aca="false">C4*E4</f>
        <v>38.8027162258756</v>
      </c>
      <c r="G4" s="61" t="s">
        <v>2699</v>
      </c>
    </row>
    <row r="5" customFormat="false" ht="15.75" hidden="false" customHeight="false" outlineLevel="0" collapsed="false">
      <c r="A5" s="57" t="s">
        <v>1567</v>
      </c>
      <c r="B5" s="57" t="n">
        <v>0.471</v>
      </c>
      <c r="C5" s="58" t="n">
        <f aca="false">B5/B$22*B$24</f>
        <v>0.740671908506076</v>
      </c>
      <c r="D5" s="57" t="s">
        <v>434</v>
      </c>
      <c r="E5" s="59" t="n">
        <f aca="false">IFERROR(INDEX(Correspondance!$D$2:$D$3000,MATCH(A5,Correspondance!$A$2:$A$3000,0)),0)</f>
        <v>6.5</v>
      </c>
      <c r="F5" s="60" t="n">
        <f aca="false">C5*E5</f>
        <v>4.81436740528949</v>
      </c>
      <c r="G5" s="61"/>
      <c r="I5" s="62"/>
    </row>
    <row r="6" customFormat="false" ht="15.75" hidden="false" customHeight="false" outlineLevel="0" collapsed="false">
      <c r="A6" s="57" t="s">
        <v>1225</v>
      </c>
      <c r="B6" s="57" t="n">
        <v>0.282</v>
      </c>
      <c r="C6" s="58" t="n">
        <f aca="false">B6/B$22*B$24</f>
        <v>0.443459614010007</v>
      </c>
      <c r="D6" s="57" t="s">
        <v>434</v>
      </c>
      <c r="E6" s="59" t="n">
        <f aca="false">IFERROR(INDEX(Correspondance!$D$2:$D$3000,MATCH(A6,Correspondance!$A$2:$A$3000,0)),0)</f>
        <v>6</v>
      </c>
      <c r="F6" s="60" t="n">
        <f aca="false">C6*E6</f>
        <v>2.66075768406004</v>
      </c>
      <c r="G6" s="61"/>
      <c r="I6" s="63"/>
    </row>
    <row r="7" customFormat="false" ht="15.75" hidden="false" customHeight="false" outlineLevel="0" collapsed="false">
      <c r="A7" s="57" t="s">
        <v>878</v>
      </c>
      <c r="B7" s="57" t="n">
        <v>0.941</v>
      </c>
      <c r="C7" s="58" t="n">
        <f aca="false">B7/B$22*B$24</f>
        <v>1.47977126518942</v>
      </c>
      <c r="D7" s="57" t="s">
        <v>434</v>
      </c>
      <c r="E7" s="59" t="n">
        <f aca="false">IFERROR(INDEX(Correspondance!$D$2:$D$3000,MATCH(A7,Correspondance!$A$2:$A$3000,0)),0)</f>
        <v>3.6</v>
      </c>
      <c r="F7" s="60" t="n">
        <f aca="false">C7*E7</f>
        <v>5.32717655468192</v>
      </c>
      <c r="G7" s="61"/>
      <c r="I7" s="63"/>
    </row>
    <row r="8" customFormat="false" ht="15.75" hidden="false" customHeight="false" outlineLevel="0" collapsed="false">
      <c r="A8" s="57" t="s">
        <v>678</v>
      </c>
      <c r="B8" s="57" t="n">
        <v>0.471</v>
      </c>
      <c r="C8" s="58" t="n">
        <f aca="false">B8/B$22*B$24</f>
        <v>0.740671908506076</v>
      </c>
      <c r="D8" s="57" t="s">
        <v>434</v>
      </c>
      <c r="E8" s="59" t="n">
        <f aca="false">IFERROR(INDEX(Correspondance!$D$2:$D$3000,MATCH(A8,Correspondance!$A$2:$A$3000,0)),0)</f>
        <v>10.5</v>
      </c>
      <c r="F8" s="60" t="n">
        <f aca="false">C8*E8</f>
        <v>7.7770550393138</v>
      </c>
      <c r="G8" s="61"/>
      <c r="I8" s="63"/>
    </row>
    <row r="9" customFormat="false" ht="15.75" hidden="false" customHeight="false" outlineLevel="0" collapsed="false">
      <c r="A9" s="57" t="s">
        <v>1725</v>
      </c>
      <c r="B9" s="57" t="n">
        <v>0.141</v>
      </c>
      <c r="C9" s="58" t="n">
        <f aca="false">B9/B$22*B$24</f>
        <v>0.221729807005004</v>
      </c>
      <c r="D9" s="57" t="s">
        <v>434</v>
      </c>
      <c r="E9" s="59" t="n">
        <f aca="false">IFERROR(INDEX(Correspondance!$D$2:$D$3000,MATCH(A9,Correspondance!$A$2:$A$3000,0)),0)</f>
        <v>9</v>
      </c>
      <c r="F9" s="60" t="n">
        <f aca="false">C9*E9</f>
        <v>1.99556826304503</v>
      </c>
      <c r="G9" s="61"/>
      <c r="I9" s="63"/>
    </row>
    <row r="10" customFormat="false" ht="15.75" hidden="false" customHeight="false" outlineLevel="0" collapsed="false">
      <c r="A10" s="57"/>
      <c r="B10" s="57"/>
      <c r="C10" s="58" t="n">
        <f aca="false">B10/B$22*B$24</f>
        <v>0</v>
      </c>
      <c r="D10" s="57"/>
      <c r="E10" s="65" t="n">
        <f aca="false">IFERROR(INDEX(Correspondance!$D$2:$D$3000,MATCH(A10,Correspondance!$A$2:$A$3000,0)),0)</f>
        <v>0</v>
      </c>
      <c r="F10" s="60" t="n">
        <f aca="false">C10*E10</f>
        <v>0</v>
      </c>
      <c r="G10" s="61"/>
      <c r="I10" s="63"/>
    </row>
    <row r="11" customFormat="false" ht="15.75" hidden="false" customHeight="false" outlineLevel="0" collapsed="false">
      <c r="A11" s="57"/>
      <c r="B11" s="57"/>
      <c r="C11" s="58" t="n">
        <f aca="false">B11/B$22*B$24</f>
        <v>0</v>
      </c>
      <c r="D11" s="57"/>
      <c r="E11" s="65" t="n">
        <f aca="false">IFERROR(INDEX(Correspondance!$D$2:$D$3000,MATCH(A11,Correspondance!$A$2:$A$3000,0)),0)</f>
        <v>0</v>
      </c>
      <c r="F11" s="60" t="n">
        <f aca="false">C11*E11</f>
        <v>0</v>
      </c>
      <c r="G11" s="61"/>
      <c r="I11" s="63"/>
    </row>
    <row r="12" customFormat="false" ht="18.75" hidden="false" customHeight="true" outlineLevel="0" collapsed="false">
      <c r="A12" s="57"/>
      <c r="B12" s="64"/>
      <c r="C12" s="58" t="n">
        <f aca="false">B12/B$22*B$24</f>
        <v>0</v>
      </c>
      <c r="D12" s="57"/>
      <c r="E12" s="65" t="n">
        <f aca="false">IFERROR(INDEX(Correspondance!$D$2:$D$3000,MATCH(A12,Correspondance!$A$2:$A$3000,0)),0)</f>
        <v>0</v>
      </c>
      <c r="F12" s="60" t="n">
        <f aca="false">C12*E12</f>
        <v>0</v>
      </c>
      <c r="G12" s="61"/>
      <c r="I12" s="63"/>
    </row>
    <row r="13" customFormat="false" ht="18.75" hidden="false" customHeight="true" outlineLevel="0" collapsed="false">
      <c r="A13" s="57"/>
      <c r="B13" s="64"/>
      <c r="C13" s="58" t="n">
        <f aca="false">B13/B$22*B$24</f>
        <v>0</v>
      </c>
      <c r="D13" s="57"/>
      <c r="E13" s="65" t="n">
        <f aca="false">IFERROR(INDEX(Correspondance!$D$2:$D$3000,MATCH(A13,Correspondance!$A$2:$A$3000,0)),0)</f>
        <v>0</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61.3776411722659</v>
      </c>
      <c r="G19" s="61"/>
      <c r="I19" s="63"/>
    </row>
    <row r="20" customFormat="false" ht="18.75" hidden="false" customHeight="true" outlineLevel="0" collapsed="false">
      <c r="A20" s="68" t="s">
        <v>2628</v>
      </c>
      <c r="B20" s="69" t="n">
        <f aca="false">F19/B24</f>
        <v>0.557978556111508</v>
      </c>
      <c r="C20" s="70"/>
      <c r="G20" s="61"/>
      <c r="I20" s="63"/>
    </row>
    <row r="21" customFormat="false" ht="15.75" hidden="false" customHeight="false" outlineLevel="0" collapsed="false">
      <c r="A21" s="71" t="s">
        <v>2629</v>
      </c>
      <c r="B21" s="71" t="n">
        <f aca="false">SUM(B3:B18)</f>
        <v>5.596</v>
      </c>
      <c r="C21" s="66"/>
      <c r="G21" s="61"/>
      <c r="I21" s="63"/>
    </row>
    <row r="22" customFormat="false" ht="15.75" hidden="false" customHeight="false" outlineLevel="0" collapsed="false">
      <c r="A22" s="0" t="s">
        <v>2630</v>
      </c>
      <c r="B22" s="72" t="n">
        <f aca="false">B21/B23</f>
        <v>69.95</v>
      </c>
      <c r="C22" s="66"/>
      <c r="G22" s="61"/>
      <c r="I22" s="63"/>
    </row>
    <row r="23" customFormat="false" ht="15.75" hidden="false" customHeight="false" outlineLevel="0" collapsed="false">
      <c r="A23" s="0" t="s">
        <v>2631</v>
      </c>
      <c r="B23" s="0" t="n">
        <v>0.08</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63</v>
      </c>
      <c r="B1" s="50"/>
      <c r="C1" s="50"/>
      <c r="D1" s="50"/>
      <c r="E1" s="51" t="s">
        <v>2619</v>
      </c>
      <c r="F1" s="51"/>
      <c r="G1" s="52" t="s">
        <v>2700</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927</v>
      </c>
      <c r="B4" s="57" t="n">
        <v>6.49</v>
      </c>
      <c r="C4" s="58" t="n">
        <f aca="false">B4/B$22*B$24</f>
        <v>10.2038721413721</v>
      </c>
      <c r="D4" s="57" t="s">
        <v>434</v>
      </c>
      <c r="E4" s="59" t="n">
        <f aca="false">IFERROR(INDEX(Correspondance!$D$2:$D$3000,MATCH(A4,Correspondance!$A$2:$A$3000,0)),0)</f>
        <v>2.2</v>
      </c>
      <c r="F4" s="60" t="n">
        <f aca="false">C4*E4</f>
        <v>22.4485187110187</v>
      </c>
      <c r="G4" s="61" t="s">
        <v>2701</v>
      </c>
    </row>
    <row r="5" customFormat="false" ht="15.75" hidden="false" customHeight="false" outlineLevel="0" collapsed="false">
      <c r="A5" s="57" t="s">
        <v>1131</v>
      </c>
      <c r="B5" s="57" t="n">
        <v>0.464</v>
      </c>
      <c r="C5" s="58" t="n">
        <f aca="false">B5/B$22*B$24</f>
        <v>0.72952182952183</v>
      </c>
      <c r="D5" s="57" t="s">
        <v>682</v>
      </c>
      <c r="E5" s="59" t="n">
        <f aca="false">IFERROR(INDEX(Correspondance!$D$2:$D$3000,MATCH(A5,Correspondance!$A$2:$A$3000,0)),0)</f>
        <v>2.2</v>
      </c>
      <c r="F5" s="60" t="n">
        <f aca="false">C5*E5</f>
        <v>1.60494802494803</v>
      </c>
      <c r="G5" s="61"/>
      <c r="I5" s="62"/>
    </row>
    <row r="6" customFormat="false" ht="15.75" hidden="false" customHeight="false" outlineLevel="0" collapsed="false">
      <c r="A6" s="57" t="s">
        <v>1982</v>
      </c>
      <c r="B6" s="57" t="n">
        <v>0.139</v>
      </c>
      <c r="C6" s="58" t="n">
        <f aca="false">B6/B$22*B$24</f>
        <v>0.2185420997921</v>
      </c>
      <c r="D6" s="57" t="s">
        <v>682</v>
      </c>
      <c r="E6" s="59" t="n">
        <f aca="false">IFERROR(INDEX(Correspondance!$D$2:$D$3000,MATCH(A6,Correspondance!$A$2:$A$3000,0)),0)</f>
        <v>1.5</v>
      </c>
      <c r="F6" s="60" t="n">
        <f aca="false">C6*E6</f>
        <v>0.32781314968815</v>
      </c>
      <c r="G6" s="61"/>
      <c r="I6" s="63"/>
    </row>
    <row r="7" customFormat="false" ht="15.75" hidden="false" customHeight="false" outlineLevel="0" collapsed="false">
      <c r="A7" s="57" t="s">
        <v>1725</v>
      </c>
      <c r="B7" s="57" t="n">
        <v>0.093</v>
      </c>
      <c r="C7" s="58" t="n">
        <f aca="false">B7/B$22*B$24</f>
        <v>0.146218814968815</v>
      </c>
      <c r="D7" s="57" t="s">
        <v>434</v>
      </c>
      <c r="E7" s="59" t="n">
        <f aca="false">IFERROR(INDEX(Correspondance!$D$2:$D$3000,MATCH(A7,Correspondance!$A$2:$A$3000,0)),0)</f>
        <v>9</v>
      </c>
      <c r="F7" s="60" t="n">
        <f aca="false">C7*E7</f>
        <v>1.31596933471933</v>
      </c>
      <c r="G7" s="61"/>
      <c r="I7" s="63"/>
    </row>
    <row r="8" customFormat="false" ht="15.75" hidden="false" customHeight="false" outlineLevel="0" collapsed="false">
      <c r="A8" s="57" t="s">
        <v>741</v>
      </c>
      <c r="B8" s="57" t="n">
        <v>0.371</v>
      </c>
      <c r="C8" s="58" t="n">
        <f aca="false">B8/B$22*B$24</f>
        <v>0.583303014553015</v>
      </c>
      <c r="D8" s="57" t="s">
        <v>434</v>
      </c>
      <c r="E8" s="59" t="n">
        <f aca="false">IFERROR(INDEX(Correspondance!$D$2:$D$3000,MATCH(A8,Correspondance!$A$2:$A$3000,0)),0)</f>
        <v>5.6</v>
      </c>
      <c r="F8" s="60" t="n">
        <f aca="false">C8*E8</f>
        <v>3.26649688149688</v>
      </c>
      <c r="G8" s="61"/>
      <c r="I8" s="63"/>
    </row>
    <row r="9" customFormat="false" ht="15.75" hidden="false" customHeight="false" outlineLevel="0" collapsed="false">
      <c r="A9" s="57" t="s">
        <v>947</v>
      </c>
      <c r="B9" s="57" t="n">
        <v>0.093</v>
      </c>
      <c r="C9" s="58" t="n">
        <f aca="false">B9/B$22*B$24</f>
        <v>0.146218814968815</v>
      </c>
      <c r="D9" s="57" t="s">
        <v>434</v>
      </c>
      <c r="E9" s="59" t="n">
        <f aca="false">IFERROR(INDEX(Correspondance!$D$2:$D$3000,MATCH(A9,Correspondance!$A$2:$A$3000,0)),0)</f>
        <v>4.5</v>
      </c>
      <c r="F9" s="60" t="n">
        <f aca="false">C9*E9</f>
        <v>0.657984667359667</v>
      </c>
      <c r="G9" s="61"/>
      <c r="I9" s="63"/>
    </row>
    <row r="10" customFormat="false" ht="15.75" hidden="false" customHeight="false" outlineLevel="0" collapsed="false">
      <c r="A10" s="57" t="s">
        <v>1919</v>
      </c>
      <c r="B10" s="57" t="n">
        <v>0.046</v>
      </c>
      <c r="C10" s="58" t="n">
        <f aca="false">B10/B$22*B$24</f>
        <v>0.0723232848232848</v>
      </c>
      <c r="D10" s="57" t="s">
        <v>434</v>
      </c>
      <c r="E10" s="59" t="n">
        <f aca="false">IFERROR(INDEX(Correspondance!$D$2:$D$3000,MATCH(A10,Correspondance!$A$2:$A$3000,0)),0)</f>
        <v>2</v>
      </c>
      <c r="F10" s="60" t="n">
        <f aca="false">C10*E10</f>
        <v>0.14464656964657</v>
      </c>
      <c r="G10" s="61"/>
      <c r="I10" s="63"/>
    </row>
    <row r="11" customFormat="false" ht="15.75" hidden="false" customHeight="false" outlineLevel="0" collapsed="false">
      <c r="A11" s="57" t="s">
        <v>1814</v>
      </c>
      <c r="B11" s="57"/>
      <c r="C11" s="58" t="n">
        <f aca="false">B11/B$22*B$24</f>
        <v>0</v>
      </c>
      <c r="D11" s="57" t="s">
        <v>434</v>
      </c>
      <c r="E11" s="59" t="n">
        <f aca="false">IFERROR(INDEX(Correspondance!$D$2:$D$3000,MATCH(A11,Correspondance!$A$2:$A$3000,0)),0)</f>
        <v>18</v>
      </c>
      <c r="F11" s="60" t="n">
        <f aca="false">C11*E11</f>
        <v>0</v>
      </c>
      <c r="G11" s="61"/>
      <c r="I11" s="63"/>
    </row>
    <row r="12" customFormat="false" ht="18.75" hidden="false" customHeight="true" outlineLevel="0" collapsed="false">
      <c r="A12" s="57" t="s">
        <v>1776</v>
      </c>
      <c r="B12" s="64"/>
      <c r="C12" s="58" t="n">
        <f aca="false">B12/B$22*B$24</f>
        <v>0</v>
      </c>
      <c r="D12" s="57" t="s">
        <v>434</v>
      </c>
      <c r="E12" s="59" t="n">
        <f aca="false">IFERROR(INDEX(Correspondance!$D$2:$D$3000,MATCH(A12,Correspondance!$A$2:$A$3000,0)),0)</f>
        <v>8</v>
      </c>
      <c r="F12" s="60" t="n">
        <f aca="false">C12*E12</f>
        <v>0</v>
      </c>
      <c r="G12" s="61"/>
      <c r="I12" s="63"/>
    </row>
    <row r="13" customFormat="false" ht="18.75" hidden="false" customHeight="true" outlineLevel="0" collapsed="false">
      <c r="A13" s="57"/>
      <c r="B13" s="64"/>
      <c r="C13" s="58" t="n">
        <f aca="false">B13/B$22*B$24</f>
        <v>0</v>
      </c>
      <c r="D13" s="57"/>
      <c r="E13" s="65" t="n">
        <f aca="false">IFERROR(INDEX(Correspondance!$D$2:$D$3000,MATCH(A13,Correspondance!$A$2:$A$3000,0)),0)</f>
        <v>0</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29.7663773388773</v>
      </c>
      <c r="G19" s="61"/>
      <c r="I19" s="63"/>
    </row>
    <row r="20" customFormat="false" ht="18.75" hidden="false" customHeight="true" outlineLevel="0" collapsed="false">
      <c r="A20" s="68" t="s">
        <v>2628</v>
      </c>
      <c r="B20" s="69" t="n">
        <f aca="false">F19/B24</f>
        <v>0.27060343035343</v>
      </c>
      <c r="C20" s="70"/>
      <c r="G20" s="61"/>
      <c r="I20" s="63"/>
    </row>
    <row r="21" customFormat="false" ht="15.75" hidden="false" customHeight="false" outlineLevel="0" collapsed="false">
      <c r="A21" s="71" t="s">
        <v>2629</v>
      </c>
      <c r="B21" s="71" t="n">
        <f aca="false">SUM(B3:B18)</f>
        <v>7.696</v>
      </c>
      <c r="C21" s="66"/>
      <c r="G21" s="61"/>
      <c r="I21" s="63"/>
    </row>
    <row r="22" customFormat="false" ht="15.75" hidden="false" customHeight="false" outlineLevel="0" collapsed="false">
      <c r="A22" s="0" t="s">
        <v>2630</v>
      </c>
      <c r="B22" s="72" t="n">
        <f aca="false">B21/B23</f>
        <v>69.9636363636364</v>
      </c>
      <c r="C22" s="66"/>
      <c r="G22" s="61"/>
      <c r="I22" s="63"/>
    </row>
    <row r="23" customFormat="false" ht="15.75" hidden="false" customHeight="false" outlineLevel="0" collapsed="false">
      <c r="A23" s="0" t="s">
        <v>2631</v>
      </c>
      <c r="B23" s="0" t="n">
        <v>0.11</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64</v>
      </c>
      <c r="B1" s="50"/>
      <c r="C1" s="50"/>
      <c r="D1" s="50"/>
      <c r="E1" s="51" t="s">
        <v>2619</v>
      </c>
      <c r="F1" s="51"/>
      <c r="G1" s="52" t="s">
        <v>2702</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975</v>
      </c>
      <c r="B4" s="57" t="n">
        <v>5.24</v>
      </c>
      <c r="C4" s="58" t="n">
        <f aca="false">B4/B$22*B$24</f>
        <v>8.23781620694584</v>
      </c>
      <c r="D4" s="57" t="s">
        <v>434</v>
      </c>
      <c r="E4" s="59" t="n">
        <f aca="false">IFERROR(INDEX(Correspondance!$D$2:$D$3000,MATCH(A4,Correspondance!$A$2:$A$3000,0)),0)</f>
        <v>2.8</v>
      </c>
      <c r="F4" s="60" t="n">
        <f aca="false">C4*E4</f>
        <v>23.0658853794483</v>
      </c>
      <c r="G4" s="61" t="s">
        <v>2703</v>
      </c>
    </row>
    <row r="5" customFormat="false" ht="15.75" hidden="false" customHeight="false" outlineLevel="0" collapsed="false">
      <c r="A5" s="57" t="s">
        <v>1959</v>
      </c>
      <c r="B5" s="57" t="n">
        <v>0.874</v>
      </c>
      <c r="C5" s="58" t="n">
        <f aca="false">B5/B$22*B$24</f>
        <v>1.37401743604402</v>
      </c>
      <c r="D5" s="57" t="s">
        <v>434</v>
      </c>
      <c r="E5" s="59" t="n">
        <f aca="false">IFERROR(INDEX(Correspondance!$D$2:$D$3000,MATCH(A5,Correspondance!$A$2:$A$3000,0)),0)</f>
        <v>1.5</v>
      </c>
      <c r="F5" s="60" t="n">
        <f aca="false">C5*E5</f>
        <v>2.06102615406603</v>
      </c>
      <c r="G5" s="61"/>
      <c r="I5" s="62"/>
    </row>
    <row r="6" customFormat="false" ht="15.75" hidden="false" customHeight="false" outlineLevel="0" collapsed="false">
      <c r="A6" s="57" t="s">
        <v>947</v>
      </c>
      <c r="B6" s="57" t="n">
        <v>0.175</v>
      </c>
      <c r="C6" s="58" t="n">
        <f aca="false">B6/B$22*B$24</f>
        <v>0.275117907674718</v>
      </c>
      <c r="D6" s="57" t="s">
        <v>434</v>
      </c>
      <c r="E6" s="59" t="n">
        <f aca="false">IFERROR(INDEX(Correspondance!$D$2:$D$3000,MATCH(A6,Correspondance!$A$2:$A$3000,0)),0)</f>
        <v>4.5</v>
      </c>
      <c r="F6" s="60" t="n">
        <f aca="false">C6*E6</f>
        <v>1.23803058453623</v>
      </c>
      <c r="G6" s="61"/>
      <c r="I6" s="63"/>
    </row>
    <row r="7" customFormat="false" ht="15.75" hidden="false" customHeight="false" outlineLevel="0" collapsed="false">
      <c r="A7" s="57" t="s">
        <v>1131</v>
      </c>
      <c r="B7" s="57" t="n">
        <v>0.437</v>
      </c>
      <c r="C7" s="58" t="n">
        <f aca="false">B7/B$22*B$24</f>
        <v>0.68700871802201</v>
      </c>
      <c r="D7" s="57" t="s">
        <v>682</v>
      </c>
      <c r="E7" s="59" t="n">
        <f aca="false">IFERROR(INDEX(Correspondance!$D$2:$D$3000,MATCH(A7,Correspondance!$A$2:$A$3000,0)),0)</f>
        <v>2.2</v>
      </c>
      <c r="F7" s="60" t="n">
        <f aca="false">C7*E7</f>
        <v>1.51141917964842</v>
      </c>
      <c r="G7" s="61"/>
      <c r="I7" s="63"/>
    </row>
    <row r="8" customFormat="false" ht="15.75" hidden="false" customHeight="false" outlineLevel="0" collapsed="false">
      <c r="A8" s="57" t="s">
        <v>1982</v>
      </c>
      <c r="B8" s="57" t="n">
        <v>0.131</v>
      </c>
      <c r="C8" s="58" t="n">
        <f aca="false">B8/B$22*B$24</f>
        <v>0.205945405173646</v>
      </c>
      <c r="D8" s="57" t="s">
        <v>682</v>
      </c>
      <c r="E8" s="59" t="n">
        <f aca="false">IFERROR(INDEX(Correspondance!$D$2:$D$3000,MATCH(A8,Correspondance!$A$2:$A$3000,0)),0)</f>
        <v>1.5</v>
      </c>
      <c r="F8" s="60" t="n">
        <f aca="false">C8*E8</f>
        <v>0.308918107760469</v>
      </c>
      <c r="G8" s="61"/>
      <c r="I8" s="63"/>
    </row>
    <row r="9" customFormat="false" ht="15.75" hidden="false" customHeight="false" outlineLevel="0" collapsed="false">
      <c r="A9" s="57" t="s">
        <v>1725</v>
      </c>
      <c r="B9" s="57" t="n">
        <v>0.07</v>
      </c>
      <c r="C9" s="58" t="n">
        <f aca="false">B9/B$22*B$24</f>
        <v>0.110047163069887</v>
      </c>
      <c r="D9" s="57" t="s">
        <v>434</v>
      </c>
      <c r="E9" s="59" t="n">
        <f aca="false">IFERROR(INDEX(Correspondance!$D$2:$D$3000,MATCH(A9,Correspondance!$A$2:$A$3000,0)),0)</f>
        <v>9</v>
      </c>
      <c r="F9" s="60" t="n">
        <f aca="false">C9*E9</f>
        <v>0.990424467628984</v>
      </c>
      <c r="G9" s="61"/>
      <c r="I9" s="63"/>
    </row>
    <row r="10" customFormat="false" ht="15.75" hidden="false" customHeight="false" outlineLevel="0" collapsed="false">
      <c r="A10" s="57" t="s">
        <v>894</v>
      </c>
      <c r="B10" s="57" t="n">
        <v>0.026</v>
      </c>
      <c r="C10" s="58" t="n">
        <f aca="false">B10/B$22*B$24</f>
        <v>0.0408746605688152</v>
      </c>
      <c r="D10" s="57" t="s">
        <v>434</v>
      </c>
      <c r="E10" s="59" t="n">
        <f aca="false">IFERROR(INDEX(Correspondance!$D$2:$D$3000,MATCH(A10,Correspondance!$A$2:$A$3000,0)),0)</f>
        <v>5.5</v>
      </c>
      <c r="F10" s="60" t="n">
        <f aca="false">C10*E10</f>
        <v>0.224810633128484</v>
      </c>
      <c r="G10" s="61"/>
      <c r="I10" s="63"/>
    </row>
    <row r="11" customFormat="false" ht="15.75" hidden="false" customHeight="false" outlineLevel="0" collapsed="false">
      <c r="A11" s="57" t="s">
        <v>1919</v>
      </c>
      <c r="B11" s="57" t="n">
        <v>0.044</v>
      </c>
      <c r="C11" s="58" t="n">
        <f aca="false">B11/B$22*B$24</f>
        <v>0.0691725025010719</v>
      </c>
      <c r="D11" s="57" t="s">
        <v>434</v>
      </c>
      <c r="E11" s="59" t="n">
        <f aca="false">IFERROR(INDEX(Correspondance!$D$2:$D$3000,MATCH(A11,Correspondance!$A$2:$A$3000,0)),0)</f>
        <v>2</v>
      </c>
      <c r="F11" s="60" t="n">
        <f aca="false">C11*E11</f>
        <v>0.138345005002144</v>
      </c>
      <c r="G11" s="61"/>
      <c r="I11" s="63"/>
    </row>
    <row r="12" customFormat="false" ht="18.75" hidden="false" customHeight="true" outlineLevel="0" collapsed="false">
      <c r="A12" s="57" t="s">
        <v>1814</v>
      </c>
      <c r="B12" s="64"/>
      <c r="C12" s="58" t="n">
        <f aca="false">B12/B$22*B$24</f>
        <v>0</v>
      </c>
      <c r="D12" s="57" t="s">
        <v>434</v>
      </c>
      <c r="E12" s="59" t="n">
        <f aca="false">IFERROR(INDEX(Correspondance!$D$2:$D$3000,MATCH(A12,Correspondance!$A$2:$A$3000,0)),0)</f>
        <v>18</v>
      </c>
      <c r="F12" s="60" t="n">
        <f aca="false">C12*E12</f>
        <v>0</v>
      </c>
      <c r="G12" s="61"/>
      <c r="I12" s="63"/>
    </row>
    <row r="13" customFormat="false" ht="18.75" hidden="false" customHeight="true" outlineLevel="0" collapsed="false">
      <c r="A13" s="57" t="s">
        <v>1776</v>
      </c>
      <c r="B13" s="64"/>
      <c r="C13" s="58" t="n">
        <f aca="false">B13/B$22*B$24</f>
        <v>0</v>
      </c>
      <c r="D13" s="57" t="s">
        <v>434</v>
      </c>
      <c r="E13" s="59" t="n">
        <f aca="false">IFERROR(INDEX(Correspondance!$D$2:$D$3000,MATCH(A13,Correspondance!$A$2:$A$3000,0)),0)</f>
        <v>8</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29.5388595112191</v>
      </c>
      <c r="G19" s="61"/>
      <c r="I19" s="63"/>
    </row>
    <row r="20" customFormat="false" ht="18.75" hidden="false" customHeight="true" outlineLevel="0" collapsed="false">
      <c r="A20" s="68" t="s">
        <v>2628</v>
      </c>
      <c r="B20" s="69" t="n">
        <f aca="false">F19/B24</f>
        <v>0.268535086465628</v>
      </c>
      <c r="C20" s="70"/>
      <c r="G20" s="61"/>
      <c r="I20" s="63"/>
    </row>
    <row r="21" customFormat="false" ht="15.75" hidden="false" customHeight="false" outlineLevel="0" collapsed="false">
      <c r="A21" s="71" t="s">
        <v>2629</v>
      </c>
      <c r="B21" s="71" t="n">
        <f aca="false">SUM(B3:B18)</f>
        <v>6.997</v>
      </c>
      <c r="C21" s="66"/>
      <c r="G21" s="61"/>
      <c r="I21" s="63"/>
    </row>
    <row r="22" customFormat="false" ht="15.75" hidden="false" customHeight="false" outlineLevel="0" collapsed="false">
      <c r="A22" s="0" t="s">
        <v>2630</v>
      </c>
      <c r="B22" s="72" t="n">
        <f aca="false">B21/B23</f>
        <v>69.97</v>
      </c>
      <c r="C22" s="66"/>
      <c r="G22" s="61"/>
      <c r="I22" s="63"/>
    </row>
    <row r="23" customFormat="false" ht="15.75" hidden="false" customHeight="false" outlineLevel="0" collapsed="false">
      <c r="A23" s="0" t="s">
        <v>2631</v>
      </c>
      <c r="B23" s="0" t="n">
        <v>0.1</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65</v>
      </c>
      <c r="B1" s="50"/>
      <c r="C1" s="50"/>
      <c r="D1" s="50"/>
      <c r="E1" s="51" t="s">
        <v>2619</v>
      </c>
      <c r="F1" s="51"/>
      <c r="G1" s="52" t="s">
        <v>2700</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971</v>
      </c>
      <c r="B4" s="57" t="n">
        <v>5.26</v>
      </c>
      <c r="C4" s="58" t="n">
        <f aca="false">B4/B$22*B$24</f>
        <v>8.26925825353723</v>
      </c>
      <c r="D4" s="57" t="s">
        <v>434</v>
      </c>
      <c r="E4" s="59" t="n">
        <f aca="false">IFERROR(INDEX(Correspondance!$D$2:$D$3000,MATCH(A4,Correspondance!$A$2:$A$3000,0)),0)</f>
        <v>2.6</v>
      </c>
      <c r="F4" s="60" t="n">
        <f aca="false">C4*E4</f>
        <v>21.5000714591968</v>
      </c>
      <c r="G4" s="61" t="s">
        <v>2704</v>
      </c>
    </row>
    <row r="5" customFormat="false" ht="15.75" hidden="false" customHeight="false" outlineLevel="0" collapsed="false">
      <c r="A5" s="57" t="s">
        <v>1959</v>
      </c>
      <c r="B5" s="57" t="n">
        <v>0.877</v>
      </c>
      <c r="C5" s="58" t="n">
        <f aca="false">B5/B$22*B$24</f>
        <v>1.37873374303273</v>
      </c>
      <c r="D5" s="57" t="s">
        <v>434</v>
      </c>
      <c r="E5" s="59" t="n">
        <f aca="false">IFERROR(INDEX(Correspondance!$D$2:$D$3000,MATCH(A5,Correspondance!$A$2:$A$3000,0)),0)</f>
        <v>1.5</v>
      </c>
      <c r="F5" s="60" t="n">
        <f aca="false">C5*E5</f>
        <v>2.06810061454909</v>
      </c>
      <c r="G5" s="61"/>
      <c r="I5" s="62"/>
    </row>
    <row r="6" customFormat="false" ht="15.75" hidden="false" customHeight="false" outlineLevel="0" collapsed="false">
      <c r="A6" s="57" t="s">
        <v>947</v>
      </c>
      <c r="B6" s="57" t="n">
        <v>0.175</v>
      </c>
      <c r="C6" s="58" t="n">
        <f aca="false">B6/B$22*B$24</f>
        <v>0.275117907674718</v>
      </c>
      <c r="D6" s="57" t="s">
        <v>434</v>
      </c>
      <c r="E6" s="59" t="n">
        <f aca="false">IFERROR(INDEX(Correspondance!$D$2:$D$3000,MATCH(A6,Correspondance!$A$2:$A$3000,0)),0)</f>
        <v>4.5</v>
      </c>
      <c r="F6" s="60" t="n">
        <f aca="false">C6*E6</f>
        <v>1.23803058453623</v>
      </c>
      <c r="G6" s="61"/>
      <c r="I6" s="63"/>
    </row>
    <row r="7" customFormat="false" ht="15.75" hidden="false" customHeight="false" outlineLevel="0" collapsed="false">
      <c r="A7" s="57" t="s">
        <v>1131</v>
      </c>
      <c r="B7" s="57" t="n">
        <v>0.439</v>
      </c>
      <c r="C7" s="58" t="n">
        <f aca="false">B7/B$22*B$24</f>
        <v>0.690152922681149</v>
      </c>
      <c r="D7" s="57" t="s">
        <v>682</v>
      </c>
      <c r="E7" s="59" t="n">
        <f aca="false">IFERROR(INDEX(Correspondance!$D$2:$D$3000,MATCH(A7,Correspondance!$A$2:$A$3000,0)),0)</f>
        <v>2.2</v>
      </c>
      <c r="F7" s="60" t="n">
        <f aca="false">C7*E7</f>
        <v>1.51833642989853</v>
      </c>
      <c r="G7" s="61"/>
      <c r="I7" s="63"/>
    </row>
    <row r="8" customFormat="false" ht="15.75" hidden="false" customHeight="false" outlineLevel="0" collapsed="false">
      <c r="A8" s="57" t="s">
        <v>1340</v>
      </c>
      <c r="B8" s="57" t="n">
        <v>0.132</v>
      </c>
      <c r="C8" s="58" t="n">
        <f aca="false">B8/B$22*B$24</f>
        <v>0.207517507503216</v>
      </c>
      <c r="D8" s="57" t="s">
        <v>682</v>
      </c>
      <c r="E8" s="59" t="n">
        <f aca="false">IFERROR(INDEX(Correspondance!$D$2:$D$3000,MATCH(A8,Correspondance!$A$2:$A$3000,0)),0)</f>
        <v>1.8</v>
      </c>
      <c r="F8" s="60" t="n">
        <f aca="false">C8*E8</f>
        <v>0.373531513505788</v>
      </c>
      <c r="G8" s="61"/>
      <c r="I8" s="63"/>
    </row>
    <row r="9" customFormat="false" ht="15.75" hidden="false" customHeight="false" outlineLevel="0" collapsed="false">
      <c r="A9" s="57" t="s">
        <v>1725</v>
      </c>
      <c r="B9" s="57" t="n">
        <v>0.07</v>
      </c>
      <c r="C9" s="58" t="n">
        <f aca="false">B9/B$22*B$24</f>
        <v>0.110047163069887</v>
      </c>
      <c r="D9" s="57" t="s">
        <v>434</v>
      </c>
      <c r="E9" s="59" t="n">
        <f aca="false">IFERROR(INDEX(Correspondance!$D$2:$D$3000,MATCH(A9,Correspondance!$A$2:$A$3000,0)),0)</f>
        <v>9</v>
      </c>
      <c r="F9" s="60" t="n">
        <f aca="false">C9*E9</f>
        <v>0.990424467628984</v>
      </c>
      <c r="G9" s="61"/>
      <c r="I9" s="63"/>
    </row>
    <row r="10" customFormat="false" ht="15.75" hidden="false" customHeight="false" outlineLevel="0" collapsed="false">
      <c r="A10" s="57" t="s">
        <v>1919</v>
      </c>
      <c r="B10" s="57" t="n">
        <v>0.044</v>
      </c>
      <c r="C10" s="58" t="n">
        <f aca="false">B10/B$22*B$24</f>
        <v>0.0691725025010719</v>
      </c>
      <c r="D10" s="57" t="s">
        <v>434</v>
      </c>
      <c r="E10" s="59" t="n">
        <f aca="false">IFERROR(INDEX(Correspondance!$D$2:$D$3000,MATCH(A10,Correspondance!$A$2:$A$3000,0)),0)</f>
        <v>2</v>
      </c>
      <c r="F10" s="60" t="n">
        <f aca="false">C10*E10</f>
        <v>0.138345005002144</v>
      </c>
      <c r="G10" s="61"/>
      <c r="I10" s="63"/>
    </row>
    <row r="11" customFormat="false" ht="15.75" hidden="false" customHeight="false" outlineLevel="0" collapsed="false">
      <c r="A11" s="57" t="s">
        <v>1814</v>
      </c>
      <c r="B11" s="57"/>
      <c r="C11" s="58" t="n">
        <f aca="false">B11/B$22*B$24</f>
        <v>0</v>
      </c>
      <c r="D11" s="57" t="s">
        <v>434</v>
      </c>
      <c r="E11" s="59" t="n">
        <f aca="false">IFERROR(INDEX(Correspondance!$D$2:$D$3000,MATCH(A11,Correspondance!$A$2:$A$3000,0)),0)</f>
        <v>18</v>
      </c>
      <c r="F11" s="60" t="n">
        <f aca="false">C11*E11</f>
        <v>0</v>
      </c>
      <c r="G11" s="61"/>
      <c r="I11" s="63"/>
    </row>
    <row r="12" customFormat="false" ht="18.75" hidden="false" customHeight="true" outlineLevel="0" collapsed="false">
      <c r="A12" s="57" t="s">
        <v>1542</v>
      </c>
      <c r="B12" s="64"/>
      <c r="C12" s="58" t="n">
        <f aca="false">B12/B$22*B$24</f>
        <v>0</v>
      </c>
      <c r="D12" s="57" t="s">
        <v>434</v>
      </c>
      <c r="E12" s="59" t="n">
        <f aca="false">IFERROR(INDEX(Correspondance!$D$2:$D$3000,MATCH(A12,Correspondance!$A$2:$A$3000,0)),0)</f>
        <v>13</v>
      </c>
      <c r="F12" s="60" t="n">
        <f aca="false">C12*E12</f>
        <v>0</v>
      </c>
      <c r="G12" s="61"/>
      <c r="I12" s="63"/>
    </row>
    <row r="13" customFormat="false" ht="18.75" hidden="false" customHeight="true" outlineLevel="0" collapsed="false">
      <c r="A13" s="57"/>
      <c r="B13" s="64"/>
      <c r="C13" s="58" t="n">
        <f aca="false">B13/B$22*B$24</f>
        <v>0</v>
      </c>
      <c r="D13" s="57"/>
      <c r="E13" s="65" t="n">
        <f aca="false">IFERROR(INDEX(Correspondance!$D$2:$D$3000,MATCH(A13,Correspondance!$A$2:$A$3000,0)),0)</f>
        <v>0</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27.8268400743176</v>
      </c>
      <c r="G19" s="61"/>
      <c r="I19" s="63"/>
    </row>
    <row r="20" customFormat="false" ht="18.75" hidden="false" customHeight="true" outlineLevel="0" collapsed="false">
      <c r="A20" s="68" t="s">
        <v>2628</v>
      </c>
      <c r="B20" s="69" t="n">
        <f aca="false">F19/B24</f>
        <v>0.252971273402887</v>
      </c>
      <c r="C20" s="70"/>
      <c r="G20" s="61"/>
      <c r="I20" s="63"/>
    </row>
    <row r="21" customFormat="false" ht="15.75" hidden="false" customHeight="false" outlineLevel="0" collapsed="false">
      <c r="A21" s="71" t="s">
        <v>2629</v>
      </c>
      <c r="B21" s="71" t="n">
        <f aca="false">SUM(B3:B18)</f>
        <v>6.997</v>
      </c>
      <c r="C21" s="66"/>
      <c r="G21" s="61"/>
      <c r="I21" s="63"/>
    </row>
    <row r="22" customFormat="false" ht="15.75" hidden="false" customHeight="false" outlineLevel="0" collapsed="false">
      <c r="A22" s="0" t="s">
        <v>2630</v>
      </c>
      <c r="B22" s="72" t="n">
        <f aca="false">B21/B23</f>
        <v>69.97</v>
      </c>
      <c r="C22" s="66"/>
      <c r="G22" s="61"/>
      <c r="I22" s="63"/>
    </row>
    <row r="23" customFormat="false" ht="15.75" hidden="false" customHeight="false" outlineLevel="0" collapsed="false">
      <c r="A23" s="0" t="s">
        <v>2631</v>
      </c>
      <c r="B23" s="0" t="n">
        <v>0.1</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67</v>
      </c>
      <c r="B1" s="50"/>
      <c r="C1" s="50"/>
      <c r="D1" s="50"/>
      <c r="E1" s="51" t="s">
        <v>2619</v>
      </c>
      <c r="F1" s="51"/>
      <c r="G1" s="52" t="s">
        <v>2705</v>
      </c>
    </row>
    <row r="2" customFormat="false" ht="24.75" hidden="false" customHeight="true" outlineLevel="0" collapsed="false">
      <c r="A2" s="50"/>
      <c r="B2" s="50"/>
      <c r="C2" s="50"/>
      <c r="D2" s="50"/>
      <c r="E2" s="53" t="s">
        <v>2636</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1118</v>
      </c>
      <c r="B4" s="57" t="n">
        <v>1.2</v>
      </c>
      <c r="C4" s="58" t="n">
        <f aca="false">B4/B$22*B$24</f>
        <v>1.88733199885616</v>
      </c>
      <c r="D4" s="57" t="s">
        <v>434</v>
      </c>
      <c r="E4" s="59" t="n">
        <f aca="false">IFERROR(INDEX(Correspondance!$D$2:$D$3000,MATCH(A4,Correspondance!$A$2:$A$3000,0)),0)</f>
        <v>4</v>
      </c>
      <c r="F4" s="60" t="n">
        <f aca="false">C4*E4</f>
        <v>7.54932799542465</v>
      </c>
      <c r="G4" s="61" t="s">
        <v>2706</v>
      </c>
    </row>
    <row r="5" customFormat="false" ht="15.75" hidden="false" customHeight="false" outlineLevel="0" collapsed="false">
      <c r="A5" s="57" t="s">
        <v>1459</v>
      </c>
      <c r="B5" s="57" t="n">
        <v>3.6</v>
      </c>
      <c r="C5" s="58" t="n">
        <f aca="false">B5/B$22*B$24</f>
        <v>5.66199599656849</v>
      </c>
      <c r="D5" s="57" t="s">
        <v>682</v>
      </c>
      <c r="E5" s="59" t="n">
        <f aca="false">IFERROR(INDEX(Correspondance!$D$2:$D$3000,MATCH(A5,Correspondance!$A$2:$A$3000,0)),0)</f>
        <v>0</v>
      </c>
      <c r="F5" s="60" t="n">
        <f aca="false">C5*E5</f>
        <v>0</v>
      </c>
      <c r="G5" s="61"/>
      <c r="I5" s="62"/>
    </row>
    <row r="6" customFormat="false" ht="15.75" hidden="false" customHeight="false" outlineLevel="0" collapsed="false">
      <c r="A6" s="57" t="s">
        <v>1919</v>
      </c>
      <c r="B6" s="57" t="n">
        <v>0.04</v>
      </c>
      <c r="C6" s="58" t="n">
        <f aca="false">B6/B$22*B$24</f>
        <v>0.0629110666285388</v>
      </c>
      <c r="D6" s="57" t="s">
        <v>434</v>
      </c>
      <c r="E6" s="59" t="n">
        <f aca="false">IFERROR(INDEX(Correspondance!$D$2:$D$3000,MATCH(A6,Correspondance!$A$2:$A$3000,0)),0)</f>
        <v>2</v>
      </c>
      <c r="F6" s="60" t="n">
        <f aca="false">C6*E6</f>
        <v>0.125822133257078</v>
      </c>
      <c r="G6" s="61"/>
      <c r="I6" s="63"/>
    </row>
    <row r="7" customFormat="false" ht="15.75" hidden="false" customHeight="false" outlineLevel="0" collapsed="false">
      <c r="A7" s="57" t="s">
        <v>1702</v>
      </c>
      <c r="B7" s="57"/>
      <c r="C7" s="58" t="n">
        <f aca="false">B7/B$22*B$24</f>
        <v>0</v>
      </c>
      <c r="D7" s="57" t="s">
        <v>434</v>
      </c>
      <c r="E7" s="59" t="n">
        <f aca="false">IFERROR(INDEX(Correspondance!$D$2:$D$3000,MATCH(A7,Correspondance!$A$2:$A$3000,0)),0)</f>
        <v>16</v>
      </c>
      <c r="F7" s="60" t="n">
        <f aca="false">C7*E7</f>
        <v>0</v>
      </c>
      <c r="G7" s="61"/>
      <c r="I7" s="63"/>
    </row>
    <row r="8" customFormat="false" ht="15.75" hidden="false" customHeight="false" outlineLevel="0" collapsed="false">
      <c r="A8" s="57" t="s">
        <v>1714</v>
      </c>
      <c r="B8" s="57" t="n">
        <v>0.801</v>
      </c>
      <c r="C8" s="58" t="n">
        <f aca="false">B8/B$22*B$24</f>
        <v>1.25979410923649</v>
      </c>
      <c r="D8" s="57" t="s">
        <v>434</v>
      </c>
      <c r="E8" s="59" t="n">
        <f aca="false">IFERROR(INDEX(Correspondance!$D$2:$D$3000,MATCH(A8,Correspondance!$A$2:$A$3000,0)),0)</f>
        <v>2.2</v>
      </c>
      <c r="F8" s="60" t="n">
        <f aca="false">C8*E8</f>
        <v>2.77154704032028</v>
      </c>
      <c r="G8" s="61"/>
      <c r="I8" s="63"/>
    </row>
    <row r="9" customFormat="false" ht="15.75" hidden="false" customHeight="false" outlineLevel="0" collapsed="false">
      <c r="A9" s="57" t="s">
        <v>1820</v>
      </c>
      <c r="B9" s="57" t="n">
        <v>0.641</v>
      </c>
      <c r="C9" s="58" t="n">
        <f aca="false">B9/B$22*B$24</f>
        <v>1.00814984272233</v>
      </c>
      <c r="D9" s="57" t="s">
        <v>434</v>
      </c>
      <c r="E9" s="59" t="n">
        <f aca="false">IFERROR(INDEX(Correspondance!$D$2:$D$3000,MATCH(A9,Correspondance!$A$2:$A$3000,0)),0)</f>
        <v>3</v>
      </c>
      <c r="F9" s="60" t="n">
        <f aca="false">C9*E9</f>
        <v>3.024449528167</v>
      </c>
      <c r="G9" s="61"/>
      <c r="I9" s="63"/>
    </row>
    <row r="10" customFormat="false" ht="15.75" hidden="false" customHeight="false" outlineLevel="0" collapsed="false">
      <c r="A10" s="57" t="s">
        <v>1747</v>
      </c>
      <c r="B10" s="57" t="n">
        <v>0.32</v>
      </c>
      <c r="C10" s="58" t="n">
        <f aca="false">B10/B$22*B$24</f>
        <v>0.50328853302831</v>
      </c>
      <c r="D10" s="57" t="s">
        <v>434</v>
      </c>
      <c r="E10" s="59" t="n">
        <f aca="false">IFERROR(INDEX(Correspondance!$D$2:$D$3000,MATCH(A10,Correspondance!$A$2:$A$3000,0)),0)</f>
        <v>1.8</v>
      </c>
      <c r="F10" s="60" t="n">
        <f aca="false">C10*E10</f>
        <v>0.905919359450958</v>
      </c>
      <c r="G10" s="61"/>
      <c r="I10" s="63"/>
    </row>
    <row r="11" customFormat="false" ht="15.75" hidden="false" customHeight="false" outlineLevel="0" collapsed="false">
      <c r="A11" s="57" t="s">
        <v>1131</v>
      </c>
      <c r="B11" s="57" t="n">
        <v>0.24</v>
      </c>
      <c r="C11" s="58" t="n">
        <f aca="false">B11/B$22*B$24</f>
        <v>0.377466399771233</v>
      </c>
      <c r="D11" s="57" t="s">
        <v>682</v>
      </c>
      <c r="E11" s="59" t="n">
        <f aca="false">IFERROR(INDEX(Correspondance!$D$2:$D$3000,MATCH(A11,Correspondance!$A$2:$A$3000,0)),0)</f>
        <v>2.2</v>
      </c>
      <c r="F11" s="60" t="n">
        <f aca="false">C11*E11</f>
        <v>0.830426079496712</v>
      </c>
      <c r="G11" s="61"/>
      <c r="I11" s="63"/>
    </row>
    <row r="12" customFormat="false" ht="18.75" hidden="false" customHeight="true" outlineLevel="0" collapsed="false">
      <c r="A12" s="57" t="s">
        <v>1982</v>
      </c>
      <c r="B12" s="64" t="n">
        <v>0.08</v>
      </c>
      <c r="C12" s="58" t="n">
        <f aca="false">B12/B$22*B$24</f>
        <v>0.125822133257078</v>
      </c>
      <c r="D12" s="57" t="s">
        <v>682</v>
      </c>
      <c r="E12" s="59" t="n">
        <f aca="false">IFERROR(INDEX(Correspondance!$D$2:$D$3000,MATCH(A12,Correspondance!$A$2:$A$3000,0)),0)</f>
        <v>1.5</v>
      </c>
      <c r="F12" s="60" t="n">
        <f aca="false">C12*E12</f>
        <v>0.188733199885616</v>
      </c>
      <c r="G12" s="61"/>
      <c r="I12" s="63"/>
    </row>
    <row r="13" customFormat="false" ht="18.75" hidden="false" customHeight="true" outlineLevel="0" collapsed="false">
      <c r="A13" s="57" t="s">
        <v>1725</v>
      </c>
      <c r="B13" s="64" t="n">
        <v>0.064</v>
      </c>
      <c r="C13" s="58" t="n">
        <f aca="false">B13/B$22*B$24</f>
        <v>0.100657706605662</v>
      </c>
      <c r="D13" s="57" t="s">
        <v>434</v>
      </c>
      <c r="E13" s="59" t="n">
        <f aca="false">IFERROR(INDEX(Correspondance!$D$2:$D$3000,MATCH(A13,Correspondance!$A$2:$A$3000,0)),0)</f>
        <v>9</v>
      </c>
      <c r="F13" s="60" t="n">
        <f aca="false">C13*E13</f>
        <v>0.905919359450958</v>
      </c>
      <c r="G13" s="61"/>
      <c r="I13" s="63"/>
    </row>
    <row r="14" customFormat="false" ht="15.75" hidden="false" customHeight="false" outlineLevel="0" collapsed="false">
      <c r="A14" s="57" t="s">
        <v>1265</v>
      </c>
      <c r="B14" s="57" t="n">
        <v>0.008</v>
      </c>
      <c r="C14" s="58" t="n">
        <f aca="false">B14/B$22*B$24</f>
        <v>0.0125822133257078</v>
      </c>
      <c r="D14" s="57" t="s">
        <v>434</v>
      </c>
      <c r="E14" s="59" t="n">
        <f aca="false">IFERROR(INDEX(Correspondance!$D$2:$D$3000,MATCH(A14,Correspondance!$A$2:$A$3000,0)),0)</f>
        <v>12</v>
      </c>
      <c r="F14" s="60" t="n">
        <f aca="false">C14*E14</f>
        <v>0.150986559908493</v>
      </c>
      <c r="G14" s="61"/>
      <c r="I14" s="63"/>
    </row>
    <row r="15" customFormat="false" ht="15.75" hidden="false" customHeight="false" outlineLevel="0" collapsed="false">
      <c r="A15" s="57" t="s">
        <v>1775</v>
      </c>
      <c r="B15" s="57"/>
      <c r="C15" s="58" t="n">
        <f aca="false">B15/B$22*B$24</f>
        <v>0</v>
      </c>
      <c r="D15" s="57" t="s">
        <v>434</v>
      </c>
      <c r="E15" s="59" t="n">
        <f aca="false">IFERROR(INDEX(Correspondance!$D$2:$D$3000,MATCH(A15,Correspondance!$A$2:$A$3000,0)),0)</f>
        <v>8</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16.4531312553617</v>
      </c>
      <c r="G19" s="61"/>
      <c r="I19" s="63"/>
    </row>
    <row r="20" customFormat="false" ht="18.75" hidden="false" customHeight="true" outlineLevel="0" collapsed="false">
      <c r="A20" s="68" t="s">
        <v>2628</v>
      </c>
      <c r="B20" s="69" t="n">
        <f aca="false">F19/B24</f>
        <v>0.149573920503289</v>
      </c>
      <c r="C20" s="70"/>
      <c r="G20" s="61"/>
      <c r="I20" s="63"/>
    </row>
    <row r="21" customFormat="false" ht="15.75" hidden="false" customHeight="false" outlineLevel="0" collapsed="false">
      <c r="A21" s="71" t="s">
        <v>2629</v>
      </c>
      <c r="B21" s="71" t="n">
        <f aca="false">SUM(B3:B18)</f>
        <v>6.994</v>
      </c>
      <c r="C21" s="66"/>
      <c r="G21" s="61"/>
      <c r="I21" s="63"/>
    </row>
    <row r="22" customFormat="false" ht="15.75" hidden="false" customHeight="false" outlineLevel="0" collapsed="false">
      <c r="A22" s="0" t="s">
        <v>2630</v>
      </c>
      <c r="B22" s="72" t="n">
        <f aca="false">B21/B23</f>
        <v>69.94</v>
      </c>
      <c r="C22" s="66"/>
      <c r="G22" s="61"/>
      <c r="I22" s="63"/>
    </row>
    <row r="23" customFormat="false" ht="15.75" hidden="false" customHeight="false" outlineLevel="0" collapsed="false">
      <c r="A23" s="0" t="s">
        <v>2631</v>
      </c>
      <c r="B23" s="0" t="n">
        <v>0.1</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69</v>
      </c>
      <c r="B1" s="50"/>
      <c r="C1" s="50"/>
      <c r="D1" s="50"/>
      <c r="E1" s="51" t="s">
        <v>2619</v>
      </c>
      <c r="F1" s="51"/>
      <c r="G1" s="52" t="s">
        <v>2707</v>
      </c>
    </row>
    <row r="2" customFormat="false" ht="24.75" hidden="false" customHeight="true" outlineLevel="0" collapsed="false">
      <c r="A2" s="50"/>
      <c r="B2" s="50"/>
      <c r="C2" s="50"/>
      <c r="D2" s="50"/>
      <c r="E2" s="53" t="s">
        <v>2636</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1834</v>
      </c>
      <c r="B4" s="57" t="n">
        <v>5.34</v>
      </c>
      <c r="C4" s="58" t="n">
        <f aca="false">B4/B$22*B$24</f>
        <v>8.39142857142857</v>
      </c>
      <c r="D4" s="57" t="s">
        <v>434</v>
      </c>
      <c r="E4" s="59" t="n">
        <f aca="false">IFERROR(INDEX(Correspondance!$D$2:$D$3000,MATCH(A4,Correspondance!$A$2:$A$3000,0)),0)</f>
        <v>2.2</v>
      </c>
      <c r="F4" s="60" t="n">
        <f aca="false">C4*E4</f>
        <v>18.4611428571429</v>
      </c>
      <c r="G4" s="61" t="s">
        <v>2708</v>
      </c>
    </row>
    <row r="5" customFormat="false" ht="15.75" hidden="false" customHeight="false" outlineLevel="0" collapsed="false">
      <c r="A5" s="57" t="s">
        <v>999</v>
      </c>
      <c r="B5" s="57" t="n">
        <v>0.334</v>
      </c>
      <c r="C5" s="58" t="n">
        <f aca="false">B5/B$22*B$24</f>
        <v>0.524857142857143</v>
      </c>
      <c r="D5" s="57" t="s">
        <v>434</v>
      </c>
      <c r="E5" s="59" t="n">
        <f aca="false">IFERROR(INDEX(Correspondance!$D$2:$D$3000,MATCH(A5,Correspondance!$A$2:$A$3000,0)),0)</f>
        <v>1.9</v>
      </c>
      <c r="F5" s="60" t="n">
        <f aca="false">C5*E5</f>
        <v>0.997228571428572</v>
      </c>
      <c r="G5" s="61"/>
      <c r="I5" s="62"/>
    </row>
    <row r="6" customFormat="false" ht="15.75" hidden="false" customHeight="false" outlineLevel="0" collapsed="false">
      <c r="A6" s="57" t="s">
        <v>1987</v>
      </c>
      <c r="B6" s="57" t="n">
        <v>0.133</v>
      </c>
      <c r="C6" s="58" t="n">
        <f aca="false">B6/B$22*B$24</f>
        <v>0.209</v>
      </c>
      <c r="D6" s="57" t="s">
        <v>434</v>
      </c>
      <c r="E6" s="59" t="n">
        <f aca="false">IFERROR(INDEX(Correspondance!$D$2:$D$3000,MATCH(A6,Correspondance!$A$2:$A$3000,0)),0)</f>
        <v>4.5</v>
      </c>
      <c r="F6" s="60" t="n">
        <f aca="false">C6*E6</f>
        <v>0.9405</v>
      </c>
      <c r="G6" s="61"/>
      <c r="I6" s="63"/>
    </row>
    <row r="7" customFormat="false" ht="15.75" hidden="false" customHeight="false" outlineLevel="0" collapsed="false">
      <c r="A7" s="57" t="s">
        <v>1569</v>
      </c>
      <c r="B7" s="57" t="n">
        <v>0.334</v>
      </c>
      <c r="C7" s="58" t="n">
        <f aca="false">B7/B$22*B$24</f>
        <v>0.524857142857143</v>
      </c>
      <c r="D7" s="57" t="s">
        <v>434</v>
      </c>
      <c r="E7" s="59" t="n">
        <f aca="false">IFERROR(INDEX(Correspondance!$D$2:$D$3000,MATCH(A7,Correspondance!$A$2:$A$3000,0)),0)</f>
        <v>6</v>
      </c>
      <c r="F7" s="60" t="n">
        <f aca="false">C7*E7</f>
        <v>3.14914285714286</v>
      </c>
      <c r="G7" s="61"/>
      <c r="I7" s="63"/>
    </row>
    <row r="8" customFormat="false" ht="15.75" hidden="false" customHeight="false" outlineLevel="0" collapsed="false">
      <c r="A8" s="57" t="s">
        <v>1725</v>
      </c>
      <c r="B8" s="57" t="n">
        <v>0.1</v>
      </c>
      <c r="C8" s="58" t="n">
        <f aca="false">B8/B$22*B$24</f>
        <v>0.157142857142857</v>
      </c>
      <c r="D8" s="57" t="s">
        <v>434</v>
      </c>
      <c r="E8" s="59" t="n">
        <f aca="false">IFERROR(INDEX(Correspondance!$D$2:$D$3000,MATCH(A8,Correspondance!$A$2:$A$3000,0)),0)</f>
        <v>9</v>
      </c>
      <c r="F8" s="60" t="n">
        <f aca="false">C8*E8</f>
        <v>1.41428571428571</v>
      </c>
      <c r="G8" s="61"/>
      <c r="I8" s="63"/>
    </row>
    <row r="9" customFormat="false" ht="15.75" hidden="false" customHeight="false" outlineLevel="0" collapsed="false">
      <c r="A9" s="57" t="s">
        <v>1131</v>
      </c>
      <c r="B9" s="57" t="n">
        <v>0.4</v>
      </c>
      <c r="C9" s="58" t="n">
        <f aca="false">B9/B$22*B$24</f>
        <v>0.628571428571429</v>
      </c>
      <c r="D9" s="57" t="s">
        <v>682</v>
      </c>
      <c r="E9" s="59" t="n">
        <f aca="false">IFERROR(INDEX(Correspondance!$D$2:$D$3000,MATCH(A9,Correspondance!$A$2:$A$3000,0)),0)</f>
        <v>2.2</v>
      </c>
      <c r="F9" s="60" t="n">
        <f aca="false">C9*E9</f>
        <v>1.38285714285714</v>
      </c>
      <c r="G9" s="61"/>
      <c r="I9" s="63"/>
    </row>
    <row r="10" customFormat="false" ht="15.75" hidden="false" customHeight="false" outlineLevel="0" collapsed="false">
      <c r="A10" s="57" t="s">
        <v>1344</v>
      </c>
      <c r="B10" s="57" t="n">
        <v>0.133</v>
      </c>
      <c r="C10" s="58" t="n">
        <f aca="false">B10/B$22*B$24</f>
        <v>0.209</v>
      </c>
      <c r="D10" s="57" t="s">
        <v>682</v>
      </c>
      <c r="E10" s="59" t="n">
        <f aca="false">IFERROR(INDEX(Correspondance!$D$2:$D$3000,MATCH(A10,Correspondance!$A$2:$A$3000,0)),0)</f>
        <v>1.6</v>
      </c>
      <c r="F10" s="60" t="n">
        <f aca="false">C10*E10</f>
        <v>0.3344</v>
      </c>
      <c r="G10" s="61"/>
      <c r="I10" s="63"/>
    </row>
    <row r="11" customFormat="false" ht="15.75" hidden="false" customHeight="false" outlineLevel="0" collapsed="false">
      <c r="A11" s="57" t="s">
        <v>1973</v>
      </c>
      <c r="B11" s="57" t="n">
        <v>0.133</v>
      </c>
      <c r="C11" s="58" t="n">
        <f aca="false">B11/B$22*B$24</f>
        <v>0.209</v>
      </c>
      <c r="D11" s="57" t="s">
        <v>682</v>
      </c>
      <c r="E11" s="59" t="n">
        <f aca="false">IFERROR(INDEX(Correspondance!$D$2:$D$3000,MATCH(A11,Correspondance!$A$2:$A$3000,0)),0)</f>
        <v>2</v>
      </c>
      <c r="F11" s="60" t="n">
        <f aca="false">C11*E11</f>
        <v>0.418</v>
      </c>
      <c r="G11" s="61"/>
      <c r="I11" s="63"/>
    </row>
    <row r="12" customFormat="false" ht="18.75" hidden="false" customHeight="true" outlineLevel="0" collapsed="false">
      <c r="A12" s="57" t="s">
        <v>1919</v>
      </c>
      <c r="B12" s="64" t="n">
        <v>0.06</v>
      </c>
      <c r="C12" s="58" t="n">
        <f aca="false">B12/B$22*B$24</f>
        <v>0.0942857142857143</v>
      </c>
      <c r="D12" s="57" t="s">
        <v>434</v>
      </c>
      <c r="E12" s="59" t="n">
        <f aca="false">IFERROR(INDEX(Correspondance!$D$2:$D$3000,MATCH(A12,Correspondance!$A$2:$A$3000,0)),0)</f>
        <v>2</v>
      </c>
      <c r="F12" s="60" t="n">
        <f aca="false">C12*E12</f>
        <v>0.188571428571429</v>
      </c>
      <c r="G12" s="61"/>
      <c r="I12" s="63"/>
    </row>
    <row r="13" customFormat="false" ht="18.75" hidden="false" customHeight="true" outlineLevel="0" collapsed="false">
      <c r="A13" s="57" t="s">
        <v>1814</v>
      </c>
      <c r="B13" s="64"/>
      <c r="C13" s="58" t="n">
        <f aca="false">B13/B$22*B$24</f>
        <v>0</v>
      </c>
      <c r="D13" s="57" t="s">
        <v>434</v>
      </c>
      <c r="E13" s="59" t="n">
        <f aca="false">IFERROR(INDEX(Correspondance!$D$2:$D$3000,MATCH(A13,Correspondance!$A$2:$A$3000,0)),0)</f>
        <v>18</v>
      </c>
      <c r="F13" s="60" t="n">
        <f aca="false">C13*E13</f>
        <v>0</v>
      </c>
      <c r="G13" s="61"/>
      <c r="I13" s="63"/>
    </row>
    <row r="14" customFormat="false" ht="15.75" hidden="false" customHeight="false" outlineLevel="0" collapsed="false">
      <c r="A14" s="57" t="s">
        <v>1774</v>
      </c>
      <c r="B14" s="57" t="n">
        <v>0.033</v>
      </c>
      <c r="C14" s="58" t="n">
        <f aca="false">B14/B$22*B$24</f>
        <v>0.0518571428571429</v>
      </c>
      <c r="D14" s="57" t="s">
        <v>434</v>
      </c>
      <c r="E14" s="59" t="n">
        <f aca="false">IFERROR(INDEX(Correspondance!$D$2:$D$3000,MATCH(A14,Correspondance!$A$2:$A$3000,0)),0)</f>
        <v>8</v>
      </c>
      <c r="F14" s="60" t="n">
        <f aca="false">C14*E14</f>
        <v>0.414857142857143</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27.7009857142857</v>
      </c>
      <c r="G19" s="61"/>
      <c r="I19" s="63"/>
    </row>
    <row r="20" customFormat="false" ht="18.75" hidden="false" customHeight="true" outlineLevel="0" collapsed="false">
      <c r="A20" s="68" t="s">
        <v>2628</v>
      </c>
      <c r="B20" s="69" t="n">
        <f aca="false">F19/B24</f>
        <v>0.251827142857143</v>
      </c>
      <c r="C20" s="70"/>
      <c r="G20" s="61"/>
      <c r="I20" s="63"/>
    </row>
    <row r="21" customFormat="false" ht="15.75" hidden="false" customHeight="false" outlineLevel="0" collapsed="false">
      <c r="A21" s="71" t="s">
        <v>2629</v>
      </c>
      <c r="B21" s="71" t="n">
        <f aca="false">SUM(B3:B18)</f>
        <v>7</v>
      </c>
      <c r="C21" s="66"/>
      <c r="G21" s="61"/>
      <c r="I21" s="63"/>
    </row>
    <row r="22" customFormat="false" ht="15.75" hidden="false" customHeight="false" outlineLevel="0" collapsed="false">
      <c r="A22" s="0" t="s">
        <v>2630</v>
      </c>
      <c r="B22" s="72" t="n">
        <f aca="false">B21/B23</f>
        <v>70</v>
      </c>
      <c r="C22" s="66"/>
      <c r="G22" s="61"/>
      <c r="I22" s="63"/>
    </row>
    <row r="23" customFormat="false" ht="15.75" hidden="false" customHeight="false" outlineLevel="0" collapsed="false">
      <c r="A23" s="0" t="s">
        <v>2631</v>
      </c>
      <c r="B23" s="0" t="n">
        <v>0.1</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71</v>
      </c>
      <c r="B1" s="50"/>
      <c r="C1" s="50"/>
      <c r="D1" s="50"/>
      <c r="E1" s="51" t="s">
        <v>2619</v>
      </c>
      <c r="F1" s="51"/>
      <c r="G1" s="52" t="s">
        <v>2707</v>
      </c>
    </row>
    <row r="2" customFormat="false" ht="24.75" hidden="false" customHeight="true" outlineLevel="0" collapsed="false">
      <c r="A2" s="50"/>
      <c r="B2" s="50"/>
      <c r="C2" s="50"/>
      <c r="D2" s="50"/>
      <c r="E2" s="53" t="s">
        <v>2636</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1834</v>
      </c>
      <c r="B4" s="57" t="n">
        <v>3.98</v>
      </c>
      <c r="C4" s="58" t="n">
        <f aca="false">B4/B$22*B$24</f>
        <v>6.25577518456775</v>
      </c>
      <c r="D4" s="57" t="s">
        <v>434</v>
      </c>
      <c r="E4" s="59" t="n">
        <f aca="false">IFERROR(INDEX(Correspondance!$D$2:$D$3000,MATCH(A4,Correspondance!$A$2:$A$3000,0)),0)</f>
        <v>2.2</v>
      </c>
      <c r="F4" s="60" t="n">
        <f aca="false">C4*E4</f>
        <v>13.7627054060491</v>
      </c>
      <c r="G4" s="61" t="s">
        <v>2709</v>
      </c>
    </row>
    <row r="5" customFormat="false" ht="15.75" hidden="false" customHeight="false" outlineLevel="0" collapsed="false">
      <c r="A5" s="57" t="s">
        <v>1676</v>
      </c>
      <c r="B5" s="57" t="n">
        <v>0.995</v>
      </c>
      <c r="C5" s="58" t="n">
        <f aca="false">B5/B$22*B$24</f>
        <v>1.56394379614194</v>
      </c>
      <c r="D5" s="57" t="s">
        <v>434</v>
      </c>
      <c r="E5" s="59" t="n">
        <f aca="false">IFERROR(INDEX(Correspondance!$D$2:$D$3000,MATCH(A5,Correspondance!$A$2:$A$3000,0)),0)</f>
        <v>8.5</v>
      </c>
      <c r="F5" s="60" t="n">
        <f aca="false">C5*E5</f>
        <v>13.2935222672065</v>
      </c>
      <c r="G5" s="61"/>
      <c r="I5" s="62"/>
    </row>
    <row r="6" customFormat="false" ht="15.75" hidden="false" customHeight="false" outlineLevel="0" collapsed="false">
      <c r="A6" s="57" t="s">
        <v>1960</v>
      </c>
      <c r="B6" s="57" t="n">
        <v>0.995</v>
      </c>
      <c r="C6" s="58" t="n">
        <f aca="false">B6/B$22*B$24</f>
        <v>1.56394379614194</v>
      </c>
      <c r="D6" s="57" t="s">
        <v>434</v>
      </c>
      <c r="E6" s="59" t="n">
        <f aca="false">IFERROR(INDEX(Correspondance!$D$2:$D$3000,MATCH(A6,Correspondance!$A$2:$A$3000,0)),0)</f>
        <v>2.4</v>
      </c>
      <c r="F6" s="60" t="n">
        <f aca="false">C6*E6</f>
        <v>3.75346511074065</v>
      </c>
      <c r="G6" s="61"/>
      <c r="I6" s="63"/>
    </row>
    <row r="7" customFormat="false" ht="15.75" hidden="false" customHeight="false" outlineLevel="0" collapsed="false">
      <c r="A7" s="57" t="s">
        <v>1995</v>
      </c>
      <c r="B7" s="57" t="n">
        <v>0.995</v>
      </c>
      <c r="C7" s="58" t="n">
        <f aca="false">B7/B$22*B$24</f>
        <v>1.56394379614194</v>
      </c>
      <c r="D7" s="57" t="s">
        <v>434</v>
      </c>
      <c r="E7" s="59" t="n">
        <f aca="false">IFERROR(INDEX(Correspondance!$D$2:$D$3000,MATCH(A7,Correspondance!$A$2:$A$3000,0)),0)</f>
        <v>5.6</v>
      </c>
      <c r="F7" s="60" t="n">
        <f aca="false">C7*E7</f>
        <v>8.75808525839486</v>
      </c>
      <c r="G7" s="61"/>
      <c r="I7" s="63"/>
    </row>
    <row r="8" customFormat="false" ht="15.75" hidden="false" customHeight="false" outlineLevel="0" collapsed="false">
      <c r="A8" s="57" t="s">
        <v>1569</v>
      </c>
      <c r="B8" s="57" t="n">
        <v>0.332</v>
      </c>
      <c r="C8" s="58" t="n">
        <f aca="false">B8/B$22*B$24</f>
        <v>0.521838532984044</v>
      </c>
      <c r="D8" s="57" t="s">
        <v>434</v>
      </c>
      <c r="E8" s="59" t="n">
        <f aca="false">IFERROR(INDEX(Correspondance!$D$2:$D$3000,MATCH(A8,Correspondance!$A$2:$A$3000,0)),0)</f>
        <v>6</v>
      </c>
      <c r="F8" s="60" t="n">
        <f aca="false">C8*E8</f>
        <v>3.13103119790426</v>
      </c>
      <c r="G8" s="61"/>
      <c r="I8" s="63"/>
    </row>
    <row r="9" customFormat="false" ht="15.75" hidden="false" customHeight="false" outlineLevel="0" collapsed="false">
      <c r="A9" s="57" t="s">
        <v>1223</v>
      </c>
      <c r="B9" s="57" t="n">
        <v>0.995</v>
      </c>
      <c r="C9" s="58" t="n">
        <f aca="false">B9/B$22*B$24</f>
        <v>1.56394379614194</v>
      </c>
      <c r="D9" s="57" t="s">
        <v>434</v>
      </c>
      <c r="E9" s="59" t="n">
        <f aca="false">IFERROR(INDEX(Correspondance!$D$2:$D$3000,MATCH(A9,Correspondance!$A$2:$A$3000,0)),0)</f>
        <v>4.5</v>
      </c>
      <c r="F9" s="60" t="n">
        <f aca="false">C9*E9</f>
        <v>7.03774708263872</v>
      </c>
      <c r="G9" s="61"/>
      <c r="I9" s="63"/>
    </row>
    <row r="10" customFormat="false" ht="15.75" hidden="false" customHeight="false" outlineLevel="0" collapsed="false">
      <c r="A10" s="57" t="s">
        <v>1725</v>
      </c>
      <c r="B10" s="57" t="n">
        <v>0.066</v>
      </c>
      <c r="C10" s="58" t="n">
        <f aca="false">B10/B$22*B$24</f>
        <v>0.103738985472732</v>
      </c>
      <c r="D10" s="57" t="s">
        <v>434</v>
      </c>
      <c r="E10" s="59" t="n">
        <f aca="false">IFERROR(INDEX(Correspondance!$D$2:$D$3000,MATCH(A10,Correspondance!$A$2:$A$3000,0)),0)</f>
        <v>9</v>
      </c>
      <c r="F10" s="60" t="n">
        <f aca="false">C10*E10</f>
        <v>0.933650869254584</v>
      </c>
      <c r="G10" s="61"/>
      <c r="I10" s="63"/>
    </row>
    <row r="11" customFormat="false" ht="15.75" hidden="false" customHeight="false" outlineLevel="0" collapsed="false">
      <c r="A11" s="57" t="s">
        <v>1919</v>
      </c>
      <c r="B11" s="57" t="n">
        <v>0.04</v>
      </c>
      <c r="C11" s="58" t="n">
        <f aca="false">B11/B$22*B$24</f>
        <v>0.0628721124077161</v>
      </c>
      <c r="D11" s="57" t="s">
        <v>434</v>
      </c>
      <c r="E11" s="59" t="n">
        <f aca="false">IFERROR(INDEX(Correspondance!$D$2:$D$3000,MATCH(A11,Correspondance!$A$2:$A$3000,0)),0)</f>
        <v>2</v>
      </c>
      <c r="F11" s="60" t="n">
        <f aca="false">C11*E11</f>
        <v>0.125744224815432</v>
      </c>
      <c r="G11" s="61"/>
      <c r="I11" s="63"/>
    </row>
    <row r="12" customFormat="false" ht="18.75" hidden="false" customHeight="true" outlineLevel="0" collapsed="false">
      <c r="A12" s="57" t="s">
        <v>1814</v>
      </c>
      <c r="B12" s="64"/>
      <c r="C12" s="58" t="n">
        <f aca="false">B12/B$22*B$24</f>
        <v>0</v>
      </c>
      <c r="D12" s="57" t="s">
        <v>434</v>
      </c>
      <c r="E12" s="59" t="n">
        <f aca="false">IFERROR(INDEX(Correspondance!$D$2:$D$3000,MATCH(A12,Correspondance!$A$2:$A$3000,0)),0)</f>
        <v>18</v>
      </c>
      <c r="F12" s="60" t="n">
        <f aca="false">C12*E12</f>
        <v>0</v>
      </c>
      <c r="G12" s="61"/>
      <c r="I12" s="63"/>
    </row>
    <row r="13" customFormat="false" ht="18.75" hidden="false" customHeight="true" outlineLevel="0" collapsed="false">
      <c r="A13" s="57" t="s">
        <v>1775</v>
      </c>
      <c r="B13" s="64"/>
      <c r="C13" s="58" t="n">
        <f aca="false">B13/B$22*B$24</f>
        <v>0</v>
      </c>
      <c r="D13" s="57" t="s">
        <v>434</v>
      </c>
      <c r="E13" s="59" t="n">
        <f aca="false">IFERROR(INDEX(Correspondance!$D$2:$D$3000,MATCH(A13,Correspondance!$A$2:$A$3000,0)),0)</f>
        <v>8</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50.7959514170041</v>
      </c>
      <c r="G19" s="61"/>
      <c r="I19" s="63"/>
    </row>
    <row r="20" customFormat="false" ht="18.75" hidden="false" customHeight="true" outlineLevel="0" collapsed="false">
      <c r="A20" s="68" t="s">
        <v>2628</v>
      </c>
      <c r="B20" s="69" t="n">
        <f aca="false">F19/B24</f>
        <v>0.461781376518219</v>
      </c>
      <c r="C20" s="70"/>
      <c r="G20" s="61"/>
      <c r="I20" s="63"/>
    </row>
    <row r="21" customFormat="false" ht="15.75" hidden="false" customHeight="false" outlineLevel="0" collapsed="false">
      <c r="A21" s="71" t="s">
        <v>2629</v>
      </c>
      <c r="B21" s="71" t="n">
        <f aca="false">SUM(B3:B18)</f>
        <v>8.398</v>
      </c>
      <c r="C21" s="66"/>
      <c r="G21" s="61"/>
      <c r="I21" s="63"/>
    </row>
    <row r="22" customFormat="false" ht="15.75" hidden="false" customHeight="false" outlineLevel="0" collapsed="false">
      <c r="A22" s="0" t="s">
        <v>2630</v>
      </c>
      <c r="B22" s="72" t="n">
        <f aca="false">B21/B23</f>
        <v>69.9833333333333</v>
      </c>
      <c r="C22" s="66"/>
      <c r="G22" s="61"/>
      <c r="I22" s="63"/>
    </row>
    <row r="23" customFormat="false" ht="15.75" hidden="false" customHeight="false" outlineLevel="0" collapsed="false">
      <c r="A23" s="0" t="s">
        <v>2631</v>
      </c>
      <c r="B23" s="0" t="n">
        <v>0.12</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72</v>
      </c>
      <c r="B1" s="50"/>
      <c r="C1" s="50"/>
      <c r="D1" s="50"/>
      <c r="E1" s="51" t="s">
        <v>2619</v>
      </c>
      <c r="F1" s="51"/>
      <c r="G1" s="52" t="s">
        <v>2710</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1151</v>
      </c>
      <c r="B4" s="57" t="n">
        <v>0.893</v>
      </c>
      <c r="C4" s="58" t="n">
        <f aca="false">B4/B$22*B$24</f>
        <v>1.40408805031447</v>
      </c>
      <c r="D4" s="57" t="s">
        <v>434</v>
      </c>
      <c r="E4" s="59" t="n">
        <f aca="false">IFERROR(INDEX(Correspondance!$D$2:$D$3000,MATCH(A4,Correspondance!$A$2:$A$3000,0)),0)</f>
        <v>2.5</v>
      </c>
      <c r="F4" s="60" t="n">
        <f aca="false">C4*E4</f>
        <v>3.51022012578616</v>
      </c>
      <c r="G4" s="61" t="s">
        <v>2711</v>
      </c>
    </row>
    <row r="5" customFormat="false" ht="15.75" hidden="false" customHeight="false" outlineLevel="0" collapsed="false">
      <c r="A5" s="57" t="s">
        <v>1459</v>
      </c>
      <c r="B5" s="57" t="n">
        <v>4.46</v>
      </c>
      <c r="C5" s="58" t="n">
        <f aca="false">B5/B$22*B$24</f>
        <v>7.0125786163522</v>
      </c>
      <c r="D5" s="57" t="s">
        <v>682</v>
      </c>
      <c r="E5" s="59" t="n">
        <f aca="false">IFERROR(INDEX(Correspondance!$D$2:$D$3000,MATCH(A5,Correspondance!$A$2:$A$3000,0)),0)</f>
        <v>0</v>
      </c>
      <c r="F5" s="60" t="n">
        <f aca="false">C5*E5</f>
        <v>0</v>
      </c>
      <c r="G5" s="61"/>
      <c r="I5" s="62"/>
    </row>
    <row r="6" customFormat="false" ht="15.75" hidden="false" customHeight="false" outlineLevel="0" collapsed="false">
      <c r="A6" s="57" t="s">
        <v>1928</v>
      </c>
      <c r="B6" s="57" t="n">
        <v>0.045</v>
      </c>
      <c r="C6" s="58" t="n">
        <f aca="false">B6/B$22*B$24</f>
        <v>0.0707547169811321</v>
      </c>
      <c r="D6" s="57" t="s">
        <v>434</v>
      </c>
      <c r="E6" s="59" t="n">
        <f aca="false">IFERROR(INDEX(Correspondance!$D$2:$D$3000,MATCH(A6,Correspondance!$A$2:$A$3000,0)),0)</f>
        <v>0.8</v>
      </c>
      <c r="F6" s="60" t="n">
        <f aca="false">C6*E6</f>
        <v>0.0566037735849057</v>
      </c>
      <c r="G6" s="61"/>
      <c r="I6" s="63"/>
    </row>
    <row r="7" customFormat="false" ht="15.75" hidden="false" customHeight="false" outlineLevel="0" collapsed="false">
      <c r="A7" s="57" t="s">
        <v>887</v>
      </c>
      <c r="B7" s="57" t="n">
        <v>0.446</v>
      </c>
      <c r="C7" s="58" t="n">
        <f aca="false">B7/B$22*B$24</f>
        <v>0.70125786163522</v>
      </c>
      <c r="D7" s="57" t="s">
        <v>434</v>
      </c>
      <c r="E7" s="59" t="n">
        <f aca="false">IFERROR(INDEX(Correspondance!$D$2:$D$3000,MATCH(A7,Correspondance!$A$2:$A$3000,0)),0)</f>
        <v>4.5</v>
      </c>
      <c r="F7" s="60" t="n">
        <f aca="false">C7*E7</f>
        <v>3.15566037735849</v>
      </c>
      <c r="G7" s="61"/>
      <c r="I7" s="63"/>
    </row>
    <row r="8" customFormat="false" ht="15.75" hidden="false" customHeight="false" outlineLevel="0" collapsed="false">
      <c r="A8" s="57" t="s">
        <v>801</v>
      </c>
      <c r="B8" s="57" t="n">
        <v>0.446</v>
      </c>
      <c r="C8" s="58" t="n">
        <f aca="false">B8/B$22*B$24</f>
        <v>0.70125786163522</v>
      </c>
      <c r="D8" s="57" t="s">
        <v>434</v>
      </c>
      <c r="E8" s="59" t="n">
        <f aca="false">IFERROR(INDEX(Correspondance!$D$2:$D$3000,MATCH(A8,Correspondance!$A$2:$A$3000,0)),0)</f>
        <v>2.25</v>
      </c>
      <c r="F8" s="60" t="n">
        <f aca="false">C8*E8</f>
        <v>1.57783018867925</v>
      </c>
      <c r="G8" s="61"/>
      <c r="I8" s="63"/>
    </row>
    <row r="9" customFormat="false" ht="15.75" hidden="false" customHeight="false" outlineLevel="0" collapsed="false">
      <c r="A9" s="57" t="s">
        <v>1820</v>
      </c>
      <c r="B9" s="57" t="n">
        <v>0.238</v>
      </c>
      <c r="C9" s="58" t="n">
        <f aca="false">B9/B$22*B$24</f>
        <v>0.374213836477987</v>
      </c>
      <c r="D9" s="57" t="s">
        <v>434</v>
      </c>
      <c r="E9" s="59" t="n">
        <f aca="false">IFERROR(INDEX(Correspondance!$D$2:$D$3000,MATCH(A9,Correspondance!$A$2:$A$3000,0)),0)</f>
        <v>3</v>
      </c>
      <c r="F9" s="60" t="n">
        <f aca="false">C9*E9</f>
        <v>1.12264150943396</v>
      </c>
      <c r="G9" s="61"/>
      <c r="I9" s="63"/>
    </row>
    <row r="10" customFormat="false" ht="15.75" hidden="false" customHeight="false" outlineLevel="0" collapsed="false">
      <c r="A10" s="57" t="s">
        <v>724</v>
      </c>
      <c r="B10" s="57" t="n">
        <v>0.298</v>
      </c>
      <c r="C10" s="58" t="n">
        <f aca="false">B10/B$22*B$24</f>
        <v>0.468553459119497</v>
      </c>
      <c r="D10" s="57" t="s">
        <v>434</v>
      </c>
      <c r="E10" s="59" t="n">
        <f aca="false">IFERROR(INDEX(Correspondance!$D$2:$D$3000,MATCH(A10,Correspondance!$A$2:$A$3000,0)),0)</f>
        <v>9</v>
      </c>
      <c r="F10" s="60" t="n">
        <f aca="false">C10*E10</f>
        <v>4.21698113207547</v>
      </c>
      <c r="G10" s="61"/>
      <c r="I10" s="63"/>
    </row>
    <row r="11" customFormat="false" ht="15.75" hidden="false" customHeight="false" outlineLevel="0" collapsed="false">
      <c r="A11" s="57" t="s">
        <v>1120</v>
      </c>
      <c r="B11" s="57" t="n">
        <v>0.119</v>
      </c>
      <c r="C11" s="58" t="n">
        <f aca="false">B11/B$22*B$24</f>
        <v>0.187106918238994</v>
      </c>
      <c r="D11" s="57" t="s">
        <v>682</v>
      </c>
      <c r="E11" s="59" t="n">
        <f aca="false">IFERROR(INDEX(Correspondance!$D$2:$D$3000,MATCH(A11,Correspondance!$A$2:$A$3000,0)),0)</f>
        <v>7.5</v>
      </c>
      <c r="F11" s="60" t="n">
        <f aca="false">C11*E11</f>
        <v>1.40330188679245</v>
      </c>
      <c r="G11" s="61"/>
      <c r="I11" s="63"/>
    </row>
    <row r="12" customFormat="false" ht="18.75" hidden="false" customHeight="true" outlineLevel="0" collapsed="false">
      <c r="A12" s="57" t="s">
        <v>1336</v>
      </c>
      <c r="B12" s="64" t="n">
        <v>0.03</v>
      </c>
      <c r="C12" s="58" t="n">
        <f aca="false">B12/B$22*B$24</f>
        <v>0.0471698113207547</v>
      </c>
      <c r="D12" s="57" t="s">
        <v>682</v>
      </c>
      <c r="E12" s="59" t="n">
        <f aca="false">IFERROR(INDEX(Correspondance!$D$2:$D$3000,MATCH(A12,Correspondance!$A$2:$A$3000,0)),0)</f>
        <v>3.5</v>
      </c>
      <c r="F12" s="60" t="n">
        <f aca="false">C12*E12</f>
        <v>0.165094339622642</v>
      </c>
      <c r="G12" s="61"/>
      <c r="I12" s="63"/>
    </row>
    <row r="13" customFormat="false" ht="18.75" hidden="false" customHeight="true" outlineLevel="0" collapsed="false">
      <c r="A13" s="57" t="s">
        <v>905</v>
      </c>
      <c r="B13" s="64" t="n">
        <v>0.009</v>
      </c>
      <c r="C13" s="58" t="n">
        <f aca="false">B13/B$22*B$24</f>
        <v>0.0141509433962264</v>
      </c>
      <c r="D13" s="57" t="s">
        <v>434</v>
      </c>
      <c r="E13" s="59" t="n">
        <f aca="false">IFERROR(INDEX(Correspondance!$D$2:$D$3000,MATCH(A13,Correspondance!$A$2:$A$3000,0)),0)</f>
        <v>12</v>
      </c>
      <c r="F13" s="60" t="n">
        <f aca="false">C13*E13</f>
        <v>0.169811320754717</v>
      </c>
      <c r="G13" s="61"/>
      <c r="I13" s="63"/>
    </row>
    <row r="14" customFormat="false" ht="15.75" hidden="false" customHeight="false" outlineLevel="0" collapsed="false">
      <c r="A14" s="57" t="s">
        <v>1332</v>
      </c>
      <c r="B14" s="57" t="n">
        <v>0.012</v>
      </c>
      <c r="C14" s="58" t="n">
        <f aca="false">B14/B$22*B$24</f>
        <v>0.0188679245283019</v>
      </c>
      <c r="D14" s="57" t="s">
        <v>434</v>
      </c>
      <c r="E14" s="59" t="n">
        <f aca="false">IFERROR(INDEX(Correspondance!$D$2:$D$3000,MATCH(A14,Correspondance!$A$2:$A$3000,0)),0)</f>
        <v>2</v>
      </c>
      <c r="F14" s="60" t="n">
        <f aca="false">C14*E14</f>
        <v>0.0377358490566038</v>
      </c>
      <c r="G14" s="61"/>
      <c r="I14" s="63"/>
    </row>
    <row r="15" customFormat="false" ht="15.75" hidden="false" customHeight="false" outlineLevel="0" collapsed="false">
      <c r="A15" s="57" t="s">
        <v>1814</v>
      </c>
      <c r="B15" s="57"/>
      <c r="C15" s="58" t="n">
        <f aca="false">B15/B$22*B$24</f>
        <v>0</v>
      </c>
      <c r="D15" s="57" t="s">
        <v>434</v>
      </c>
      <c r="E15" s="59" t="n">
        <f aca="false">IFERROR(INDEX(Correspondance!$D$2:$D$3000,MATCH(A15,Correspondance!$A$2:$A$3000,0)),0)</f>
        <v>18</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15.4158805031447</v>
      </c>
      <c r="G19" s="61"/>
      <c r="I19" s="63"/>
    </row>
    <row r="20" customFormat="false" ht="18.75" hidden="false" customHeight="true" outlineLevel="0" collapsed="false">
      <c r="A20" s="68" t="s">
        <v>2628</v>
      </c>
      <c r="B20" s="69" t="n">
        <f aca="false">F19/B24</f>
        <v>0.140144368210406</v>
      </c>
      <c r="C20" s="70"/>
      <c r="G20" s="61"/>
      <c r="I20" s="63"/>
    </row>
    <row r="21" customFormat="false" ht="15.75" hidden="false" customHeight="false" outlineLevel="0" collapsed="false">
      <c r="A21" s="71" t="s">
        <v>2629</v>
      </c>
      <c r="B21" s="71" t="n">
        <f aca="false">SUM(B3:B18)</f>
        <v>6.996</v>
      </c>
      <c r="C21" s="66"/>
      <c r="G21" s="61"/>
      <c r="I21" s="63"/>
    </row>
    <row r="22" customFormat="false" ht="15.75" hidden="false" customHeight="false" outlineLevel="0" collapsed="false">
      <c r="A22" s="0" t="s">
        <v>2630</v>
      </c>
      <c r="B22" s="72" t="n">
        <f aca="false">B21/B23</f>
        <v>69.96</v>
      </c>
      <c r="C22" s="66"/>
      <c r="G22" s="61"/>
      <c r="I22" s="63"/>
    </row>
    <row r="23" customFormat="false" ht="15.75" hidden="false" customHeight="false" outlineLevel="0" collapsed="false">
      <c r="A23" s="0" t="s">
        <v>2631</v>
      </c>
      <c r="B23" s="0" t="n">
        <v>0.1</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73</v>
      </c>
      <c r="B1" s="50"/>
      <c r="C1" s="50"/>
      <c r="D1" s="50"/>
      <c r="E1" s="51" t="s">
        <v>2619</v>
      </c>
      <c r="F1" s="51"/>
      <c r="G1" s="52" t="s">
        <v>2710</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1500</v>
      </c>
      <c r="B4" s="57" t="n">
        <v>0.998</v>
      </c>
      <c r="C4" s="58" t="n">
        <f aca="false">B4/B$22*B$24</f>
        <v>1.56873392397828</v>
      </c>
      <c r="D4" s="57" t="s">
        <v>434</v>
      </c>
      <c r="E4" s="59" t="n">
        <f aca="false">IFERROR(INDEX(Correspondance!$D$2:$D$3000,MATCH(A4,Correspondance!$A$2:$A$3000,0)),0)</f>
        <v>2.8</v>
      </c>
      <c r="F4" s="60" t="n">
        <f aca="false">C4*E4</f>
        <v>4.39245498713918</v>
      </c>
      <c r="G4" s="61" t="s">
        <v>2712</v>
      </c>
    </row>
    <row r="5" customFormat="false" ht="15.75" hidden="false" customHeight="false" outlineLevel="0" collapsed="false">
      <c r="A5" s="57" t="s">
        <v>1459</v>
      </c>
      <c r="B5" s="57" t="n">
        <v>3.99</v>
      </c>
      <c r="C5" s="58" t="n">
        <f aca="false">B5/B$22*B$24</f>
        <v>6.27179194055444</v>
      </c>
      <c r="D5" s="57" t="s">
        <v>682</v>
      </c>
      <c r="E5" s="59" t="n">
        <f aca="false">IFERROR(INDEX(Correspondance!$D$2:$D$3000,MATCH(A5,Correspondance!$A$2:$A$3000,0)),0)</f>
        <v>0</v>
      </c>
      <c r="F5" s="60" t="n">
        <f aca="false">C5*E5</f>
        <v>0</v>
      </c>
      <c r="G5" s="61"/>
      <c r="I5" s="62"/>
    </row>
    <row r="6" customFormat="false" ht="15.75" hidden="false" customHeight="false" outlineLevel="0" collapsed="false">
      <c r="A6" s="57" t="s">
        <v>1928</v>
      </c>
      <c r="B6" s="57" t="n">
        <v>0.04</v>
      </c>
      <c r="C6" s="58" t="n">
        <f aca="false">B6/B$22*B$24</f>
        <v>0.0628751071734781</v>
      </c>
      <c r="D6" s="57" t="s">
        <v>434</v>
      </c>
      <c r="E6" s="59" t="n">
        <f aca="false">IFERROR(INDEX(Correspondance!$D$2:$D$3000,MATCH(A6,Correspondance!$A$2:$A$3000,0)),0)</f>
        <v>0.8</v>
      </c>
      <c r="F6" s="60" t="n">
        <f aca="false">C6*E6</f>
        <v>0.0503000857387825</v>
      </c>
      <c r="G6" s="61"/>
      <c r="I6" s="63"/>
    </row>
    <row r="7" customFormat="false" ht="15.75" hidden="false" customHeight="false" outlineLevel="0" collapsed="false">
      <c r="A7" s="57" t="s">
        <v>1944</v>
      </c>
      <c r="B7" s="57" t="n">
        <v>0.499</v>
      </c>
      <c r="C7" s="58" t="n">
        <f aca="false">B7/B$22*B$24</f>
        <v>0.78436696198914</v>
      </c>
      <c r="D7" s="57" t="s">
        <v>434</v>
      </c>
      <c r="E7" s="59" t="n">
        <f aca="false">IFERROR(INDEX(Correspondance!$D$2:$D$3000,MATCH(A7,Correspondance!$A$2:$A$3000,0)),0)</f>
        <v>9.5</v>
      </c>
      <c r="F7" s="60" t="n">
        <f aca="false">C7*E7</f>
        <v>7.45148613889683</v>
      </c>
      <c r="G7" s="61"/>
      <c r="I7" s="63"/>
    </row>
    <row r="8" customFormat="false" ht="15.75" hidden="false" customHeight="false" outlineLevel="0" collapsed="false">
      <c r="A8" s="57" t="s">
        <v>1714</v>
      </c>
      <c r="B8" s="57" t="n">
        <v>0.333</v>
      </c>
      <c r="C8" s="58" t="n">
        <f aca="false">B8/B$22*B$24</f>
        <v>0.523435267219206</v>
      </c>
      <c r="D8" s="57" t="s">
        <v>434</v>
      </c>
      <c r="E8" s="59" t="n">
        <f aca="false">IFERROR(INDEX(Correspondance!$D$2:$D$3000,MATCH(A8,Correspondance!$A$2:$A$3000,0)),0)</f>
        <v>2.2</v>
      </c>
      <c r="F8" s="60" t="n">
        <f aca="false">C8*E8</f>
        <v>1.15155758788225</v>
      </c>
      <c r="G8" s="61"/>
      <c r="I8" s="63"/>
    </row>
    <row r="9" customFormat="false" ht="15.75" hidden="false" customHeight="false" outlineLevel="0" collapsed="false">
      <c r="A9" s="57" t="s">
        <v>1960</v>
      </c>
      <c r="B9" s="57" t="n">
        <v>0.499</v>
      </c>
      <c r="C9" s="58" t="n">
        <f aca="false">B9/B$22*B$24</f>
        <v>0.78436696198914</v>
      </c>
      <c r="D9" s="57" t="s">
        <v>434</v>
      </c>
      <c r="E9" s="59" t="n">
        <f aca="false">IFERROR(INDEX(Correspondance!$D$2:$D$3000,MATCH(A9,Correspondance!$A$2:$A$3000,0)),0)</f>
        <v>2.4</v>
      </c>
      <c r="F9" s="60" t="n">
        <f aca="false">C9*E9</f>
        <v>1.88248070877394</v>
      </c>
      <c r="G9" s="61"/>
      <c r="I9" s="63"/>
    </row>
    <row r="10" customFormat="false" ht="15.75" hidden="false" customHeight="false" outlineLevel="0" collapsed="false">
      <c r="A10" s="57" t="s">
        <v>801</v>
      </c>
      <c r="B10" s="57" t="n">
        <v>0.333</v>
      </c>
      <c r="C10" s="58" t="n">
        <f aca="false">B10/B$22*B$24</f>
        <v>0.523435267219206</v>
      </c>
      <c r="D10" s="57" t="s">
        <v>434</v>
      </c>
      <c r="E10" s="59" t="n">
        <f aca="false">IFERROR(INDEX(Correspondance!$D$2:$D$3000,MATCH(A10,Correspondance!$A$2:$A$3000,0)),0)</f>
        <v>2.25</v>
      </c>
      <c r="F10" s="60" t="n">
        <f aca="false">C10*E10</f>
        <v>1.17772935124321</v>
      </c>
      <c r="G10" s="61"/>
      <c r="I10" s="63"/>
    </row>
    <row r="11" customFormat="false" ht="15.75" hidden="false" customHeight="false" outlineLevel="0" collapsed="false">
      <c r="A11" s="57" t="s">
        <v>1747</v>
      </c>
      <c r="B11" s="57" t="n">
        <v>0.1</v>
      </c>
      <c r="C11" s="58" t="n">
        <f aca="false">B11/B$22*B$24</f>
        <v>0.157187767933695</v>
      </c>
      <c r="D11" s="57" t="s">
        <v>434</v>
      </c>
      <c r="E11" s="59" t="n">
        <f aca="false">IFERROR(INDEX(Correspondance!$D$2:$D$3000,MATCH(A11,Correspondance!$A$2:$A$3000,0)),0)</f>
        <v>1.8</v>
      </c>
      <c r="F11" s="60" t="n">
        <f aca="false">C11*E11</f>
        <v>0.282937982280652</v>
      </c>
      <c r="G11" s="61"/>
      <c r="I11" s="63"/>
    </row>
    <row r="12" customFormat="false" ht="18.75" hidden="false" customHeight="true" outlineLevel="0" collapsed="false">
      <c r="A12" s="57" t="s">
        <v>1131</v>
      </c>
      <c r="B12" s="64" t="n">
        <v>0.133</v>
      </c>
      <c r="C12" s="58" t="n">
        <f aca="false">B12/B$22*B$24</f>
        <v>0.209059731351815</v>
      </c>
      <c r="D12" s="57" t="s">
        <v>682</v>
      </c>
      <c r="E12" s="59" t="n">
        <f aca="false">IFERROR(INDEX(Correspondance!$D$2:$D$3000,MATCH(A12,Correspondance!$A$2:$A$3000,0)),0)</f>
        <v>2.2</v>
      </c>
      <c r="F12" s="60" t="n">
        <f aca="false">C12*E12</f>
        <v>0.459931408973993</v>
      </c>
      <c r="G12" s="61"/>
      <c r="I12" s="63"/>
    </row>
    <row r="13" customFormat="false" ht="18.75" hidden="false" customHeight="true" outlineLevel="0" collapsed="false">
      <c r="A13" s="57" t="s">
        <v>1340</v>
      </c>
      <c r="B13" s="64" t="n">
        <v>0.04</v>
      </c>
      <c r="C13" s="58" t="n">
        <f aca="false">B13/B$22*B$24</f>
        <v>0.0628751071734781</v>
      </c>
      <c r="D13" s="57" t="s">
        <v>682</v>
      </c>
      <c r="E13" s="59" t="n">
        <f aca="false">IFERROR(INDEX(Correspondance!$D$2:$D$3000,MATCH(A13,Correspondance!$A$2:$A$3000,0)),0)</f>
        <v>1.8</v>
      </c>
      <c r="F13" s="60" t="n">
        <f aca="false">C13*E13</f>
        <v>0.113175192912261</v>
      </c>
      <c r="G13" s="61"/>
      <c r="I13" s="63"/>
    </row>
    <row r="14" customFormat="false" ht="15.75" hidden="false" customHeight="false" outlineLevel="0" collapsed="false">
      <c r="A14" s="57" t="s">
        <v>1725</v>
      </c>
      <c r="B14" s="57" t="n">
        <v>0.02</v>
      </c>
      <c r="C14" s="58" t="n">
        <f aca="false">B14/B$22*B$24</f>
        <v>0.0314375535867391</v>
      </c>
      <c r="D14" s="57" t="s">
        <v>434</v>
      </c>
      <c r="E14" s="59" t="n">
        <f aca="false">IFERROR(INDEX(Correspondance!$D$2:$D$3000,MATCH(A14,Correspondance!$A$2:$A$3000,0)),0)</f>
        <v>9</v>
      </c>
      <c r="F14" s="60" t="n">
        <f aca="false">C14*E14</f>
        <v>0.282937982280652</v>
      </c>
      <c r="G14" s="61"/>
      <c r="I14" s="63"/>
    </row>
    <row r="15" customFormat="false" ht="15.75" hidden="false" customHeight="false" outlineLevel="0" collapsed="false">
      <c r="A15" s="57" t="s">
        <v>1332</v>
      </c>
      <c r="B15" s="57" t="n">
        <v>0.013</v>
      </c>
      <c r="C15" s="58" t="n">
        <f aca="false">B15/B$22*B$24</f>
        <v>0.0204344098313804</v>
      </c>
      <c r="D15" s="57" t="s">
        <v>434</v>
      </c>
      <c r="E15" s="59" t="n">
        <f aca="false">IFERROR(INDEX(Correspondance!$D$2:$D$3000,MATCH(A15,Correspondance!$A$2:$A$3000,0)),0)</f>
        <v>2</v>
      </c>
      <c r="F15" s="60" t="n">
        <f aca="false">C15*E15</f>
        <v>0.0408688196627608</v>
      </c>
      <c r="G15" s="61"/>
      <c r="I15" s="63"/>
    </row>
    <row r="16" customFormat="false" ht="15.75" hidden="false" customHeight="false" outlineLevel="0" collapsed="false">
      <c r="A16" s="57" t="s">
        <v>1540</v>
      </c>
      <c r="B16" s="57"/>
      <c r="C16" s="58" t="n">
        <f aca="false">B16/B$22*B$24</f>
        <v>0</v>
      </c>
      <c r="D16" s="57" t="s">
        <v>434</v>
      </c>
      <c r="E16" s="59" t="n">
        <f aca="false">IFERROR(INDEX(Correspondance!$D$2:$D$3000,MATCH(A16,Correspondance!$A$2:$A$3000,0)),0)</f>
        <v>13</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17.2858602457845</v>
      </c>
      <c r="G19" s="61"/>
      <c r="I19" s="63"/>
    </row>
    <row r="20" customFormat="false" ht="18.75" hidden="false" customHeight="true" outlineLevel="0" collapsed="false">
      <c r="A20" s="68" t="s">
        <v>2628</v>
      </c>
      <c r="B20" s="69" t="n">
        <f aca="false">F19/B24</f>
        <v>0.157144184052586</v>
      </c>
      <c r="C20" s="70"/>
      <c r="G20" s="61"/>
      <c r="I20" s="63"/>
    </row>
    <row r="21" customFormat="false" ht="15.75" hidden="false" customHeight="false" outlineLevel="0" collapsed="false">
      <c r="A21" s="71" t="s">
        <v>2629</v>
      </c>
      <c r="B21" s="71" t="n">
        <f aca="false">SUM(B3:B18)</f>
        <v>6.998</v>
      </c>
      <c r="C21" s="66"/>
      <c r="G21" s="61"/>
      <c r="I21" s="63"/>
    </row>
    <row r="22" customFormat="false" ht="15.75" hidden="false" customHeight="false" outlineLevel="0" collapsed="false">
      <c r="A22" s="0" t="s">
        <v>2630</v>
      </c>
      <c r="B22" s="72" t="n">
        <f aca="false">B21/B23</f>
        <v>69.98</v>
      </c>
      <c r="C22" s="66"/>
      <c r="G22" s="61"/>
      <c r="I22" s="63"/>
    </row>
    <row r="23" customFormat="false" ht="15.75" hidden="false" customHeight="false" outlineLevel="0" collapsed="false">
      <c r="A23" s="0" t="s">
        <v>2631</v>
      </c>
      <c r="B23" s="0" t="n">
        <v>0.1</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74</v>
      </c>
      <c r="B1" s="50"/>
      <c r="C1" s="50"/>
      <c r="D1" s="50"/>
      <c r="E1" s="51" t="s">
        <v>2619</v>
      </c>
      <c r="F1" s="51"/>
      <c r="G1" s="52" t="s">
        <v>2710</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1135</v>
      </c>
      <c r="B4" s="57" t="n">
        <v>1.04</v>
      </c>
      <c r="C4" s="58" t="n">
        <f aca="false">B4/B$22*B$24</f>
        <v>1.63615560640732</v>
      </c>
      <c r="D4" s="57" t="s">
        <v>434</v>
      </c>
      <c r="E4" s="59" t="n">
        <f aca="false">IFERROR(INDEX(Correspondance!$D$2:$D$3000,MATCH(A4,Correspondance!$A$2:$A$3000,0)),0)</f>
        <v>4.5</v>
      </c>
      <c r="F4" s="60" t="n">
        <f aca="false">C4*E4</f>
        <v>7.36270022883295</v>
      </c>
      <c r="G4" s="61" t="s">
        <v>2713</v>
      </c>
    </row>
    <row r="5" customFormat="false" ht="15.75" hidden="false" customHeight="false" outlineLevel="0" collapsed="false">
      <c r="A5" s="57" t="s">
        <v>1459</v>
      </c>
      <c r="B5" s="57" t="n">
        <v>4.17</v>
      </c>
      <c r="C5" s="58" t="n">
        <f aca="false">B5/B$22*B$24</f>
        <v>6.56035469107551</v>
      </c>
      <c r="D5" s="57" t="s">
        <v>682</v>
      </c>
      <c r="E5" s="59" t="n">
        <f aca="false">IFERROR(INDEX(Correspondance!$D$2:$D$3000,MATCH(A5,Correspondance!$A$2:$A$3000,0)),0)</f>
        <v>0</v>
      </c>
      <c r="F5" s="60" t="n">
        <f aca="false">C5*E5</f>
        <v>0</v>
      </c>
      <c r="G5" s="61"/>
      <c r="I5" s="62"/>
    </row>
    <row r="6" customFormat="false" ht="15.75" hidden="false" customHeight="false" outlineLevel="0" collapsed="false">
      <c r="A6" s="57" t="s">
        <v>1928</v>
      </c>
      <c r="B6" s="57" t="n">
        <v>0.042</v>
      </c>
      <c r="C6" s="58" t="n">
        <f aca="false">B6/B$22*B$24</f>
        <v>0.0660755148741419</v>
      </c>
      <c r="D6" s="57" t="s">
        <v>434</v>
      </c>
      <c r="E6" s="59" t="n">
        <f aca="false">IFERROR(INDEX(Correspondance!$D$2:$D$3000,MATCH(A6,Correspondance!$A$2:$A$3000,0)),0)</f>
        <v>0.8</v>
      </c>
      <c r="F6" s="60" t="n">
        <f aca="false">C6*E6</f>
        <v>0.0528604118993135</v>
      </c>
      <c r="G6" s="61"/>
      <c r="I6" s="63"/>
    </row>
    <row r="7" customFormat="false" ht="15.75" hidden="false" customHeight="false" outlineLevel="0" collapsed="false">
      <c r="A7" s="57" t="s">
        <v>780</v>
      </c>
      <c r="B7" s="57" t="n">
        <v>0.522</v>
      </c>
      <c r="C7" s="58" t="n">
        <f aca="false">B7/B$22*B$24</f>
        <v>0.821224256292906</v>
      </c>
      <c r="D7" s="57" t="s">
        <v>434</v>
      </c>
      <c r="E7" s="59" t="n">
        <f aca="false">IFERROR(INDEX(Correspondance!$D$2:$D$3000,MATCH(A7,Correspondance!$A$2:$A$3000,0)),0)</f>
        <v>3.2</v>
      </c>
      <c r="F7" s="60" t="n">
        <f aca="false">C7*E7</f>
        <v>2.6279176201373</v>
      </c>
      <c r="G7" s="61"/>
      <c r="I7" s="63"/>
    </row>
    <row r="8" customFormat="false" ht="15.75" hidden="false" customHeight="false" outlineLevel="0" collapsed="false">
      <c r="A8" s="57" t="s">
        <v>1795</v>
      </c>
      <c r="B8" s="57" t="n">
        <v>0.348</v>
      </c>
      <c r="C8" s="58" t="n">
        <f aca="false">B8/B$22*B$24</f>
        <v>0.547482837528604</v>
      </c>
      <c r="D8" s="57" t="s">
        <v>434</v>
      </c>
      <c r="E8" s="59" t="n">
        <f aca="false">IFERROR(INDEX(Correspondance!$D$2:$D$3000,MATCH(A8,Correspondance!$A$2:$A$3000,0)),0)</f>
        <v>2</v>
      </c>
      <c r="F8" s="60" t="n">
        <f aca="false">C8*E8</f>
        <v>1.09496567505721</v>
      </c>
      <c r="G8" s="61"/>
      <c r="I8" s="63"/>
    </row>
    <row r="9" customFormat="false" ht="15.75" hidden="false" customHeight="false" outlineLevel="0" collapsed="false">
      <c r="A9" s="57" t="s">
        <v>1169</v>
      </c>
      <c r="B9" s="57" t="n">
        <v>0.104</v>
      </c>
      <c r="C9" s="58" t="n">
        <f aca="false">B9/B$22*B$24</f>
        <v>0.163615560640732</v>
      </c>
      <c r="D9" s="57" t="s">
        <v>434</v>
      </c>
      <c r="E9" s="59" t="n">
        <f aca="false">IFERROR(INDEX(Correspondance!$D$2:$D$3000,MATCH(A9,Correspondance!$A$2:$A$3000,0)),0)</f>
        <v>5</v>
      </c>
      <c r="F9" s="60" t="n">
        <f aca="false">C9*E9</f>
        <v>0.818077803203661</v>
      </c>
      <c r="G9" s="61"/>
      <c r="I9" s="63"/>
    </row>
    <row r="10" customFormat="false" ht="15.75" hidden="false" customHeight="false" outlineLevel="0" collapsed="false">
      <c r="A10" s="57" t="s">
        <v>1820</v>
      </c>
      <c r="B10" s="57" t="n">
        <v>0.278</v>
      </c>
      <c r="C10" s="58" t="n">
        <f aca="false">B10/B$22*B$24</f>
        <v>0.437356979405034</v>
      </c>
      <c r="D10" s="57" t="s">
        <v>434</v>
      </c>
      <c r="E10" s="59" t="n">
        <f aca="false">IFERROR(INDEX(Correspondance!$D$2:$D$3000,MATCH(A10,Correspondance!$A$2:$A$3000,0)),0)</f>
        <v>3</v>
      </c>
      <c r="F10" s="60" t="n">
        <f aca="false">C10*E10</f>
        <v>1.3120709382151</v>
      </c>
      <c r="G10" s="61"/>
      <c r="I10" s="63"/>
    </row>
    <row r="11" customFormat="false" ht="15.75" hidden="false" customHeight="false" outlineLevel="0" collapsed="false">
      <c r="A11" s="57" t="s">
        <v>1620</v>
      </c>
      <c r="B11" s="57" t="n">
        <v>0.278</v>
      </c>
      <c r="C11" s="58" t="n">
        <f aca="false">B11/B$22*B$24</f>
        <v>0.437356979405034</v>
      </c>
      <c r="D11" s="57" t="s">
        <v>434</v>
      </c>
      <c r="E11" s="59" t="n">
        <f aca="false">IFERROR(INDEX(Correspondance!$D$2:$D$3000,MATCH(A11,Correspondance!$A$2:$A$3000,0)),0)</f>
        <v>9</v>
      </c>
      <c r="F11" s="60" t="n">
        <f aca="false">C11*E11</f>
        <v>3.93621281464531</v>
      </c>
      <c r="G11" s="61"/>
      <c r="I11" s="63"/>
    </row>
    <row r="12" customFormat="false" ht="18.75" hidden="false" customHeight="true" outlineLevel="0" collapsed="false">
      <c r="A12" s="57" t="s">
        <v>1120</v>
      </c>
      <c r="B12" s="64" t="n">
        <v>0.139</v>
      </c>
      <c r="C12" s="58" t="n">
        <f aca="false">B12/B$22*B$24</f>
        <v>0.218678489702517</v>
      </c>
      <c r="D12" s="57" t="s">
        <v>682</v>
      </c>
      <c r="E12" s="59" t="n">
        <f aca="false">IFERROR(INDEX(Correspondance!$D$2:$D$3000,MATCH(A12,Correspondance!$A$2:$A$3000,0)),0)</f>
        <v>7.5</v>
      </c>
      <c r="F12" s="60" t="n">
        <f aca="false">C12*E12</f>
        <v>1.64008867276888</v>
      </c>
      <c r="G12" s="61"/>
      <c r="I12" s="63"/>
    </row>
    <row r="13" customFormat="false" ht="18.75" hidden="false" customHeight="true" outlineLevel="0" collapsed="false">
      <c r="A13" s="57" t="s">
        <v>1291</v>
      </c>
      <c r="B13" s="64" t="n">
        <v>0.052</v>
      </c>
      <c r="C13" s="58" t="n">
        <f aca="false">B13/B$22*B$24</f>
        <v>0.0818077803203661</v>
      </c>
      <c r="D13" s="57" t="s">
        <v>682</v>
      </c>
      <c r="E13" s="59" t="n">
        <f aca="false">IFERROR(INDEX(Correspondance!$D$2:$D$3000,MATCH(A13,Correspondance!$A$2:$A$3000,0)),0)</f>
        <v>2.5</v>
      </c>
      <c r="F13" s="60" t="n">
        <f aca="false">C13*E13</f>
        <v>0.204519450800915</v>
      </c>
      <c r="G13" s="61"/>
      <c r="I13" s="63"/>
    </row>
    <row r="14" customFormat="false" ht="15.75" hidden="false" customHeight="false" outlineLevel="0" collapsed="false">
      <c r="A14" s="57" t="s">
        <v>1269</v>
      </c>
      <c r="B14" s="57" t="n">
        <v>0.005</v>
      </c>
      <c r="C14" s="58" t="n">
        <f aca="false">B14/B$22*B$24</f>
        <v>0.00786613272311213</v>
      </c>
      <c r="D14" s="57" t="s">
        <v>434</v>
      </c>
      <c r="E14" s="59" t="n">
        <f aca="false">IFERROR(INDEX(Correspondance!$D$2:$D$3000,MATCH(A14,Correspondance!$A$2:$A$3000,0)),0)</f>
        <v>13</v>
      </c>
      <c r="F14" s="60" t="n">
        <f aca="false">C14*E14</f>
        <v>0.102259725400458</v>
      </c>
      <c r="G14" s="61"/>
      <c r="I14" s="63"/>
    </row>
    <row r="15" customFormat="false" ht="15.75" hidden="false" customHeight="false" outlineLevel="0" collapsed="false">
      <c r="A15" s="57" t="s">
        <v>1332</v>
      </c>
      <c r="B15" s="57" t="n">
        <v>0.014</v>
      </c>
      <c r="C15" s="58" t="n">
        <f aca="false">B15/B$22*B$24</f>
        <v>0.022025171624714</v>
      </c>
      <c r="D15" s="57" t="s">
        <v>434</v>
      </c>
      <c r="E15" s="59" t="n">
        <f aca="false">IFERROR(INDEX(Correspondance!$D$2:$D$3000,MATCH(A15,Correspondance!$A$2:$A$3000,0)),0)</f>
        <v>2</v>
      </c>
      <c r="F15" s="60" t="n">
        <f aca="false">C15*E15</f>
        <v>0.0440503432494279</v>
      </c>
      <c r="G15" s="61"/>
      <c r="I15" s="63"/>
    </row>
    <row r="16" customFormat="false" ht="15.75" hidden="false" customHeight="false" outlineLevel="0" collapsed="false">
      <c r="A16" s="57" t="s">
        <v>1719</v>
      </c>
      <c r="B16" s="57"/>
      <c r="C16" s="58" t="n">
        <f aca="false">B16/B$22*B$24</f>
        <v>0</v>
      </c>
      <c r="D16" s="57" t="s">
        <v>434</v>
      </c>
      <c r="E16" s="59" t="n">
        <f aca="false">IFERROR(INDEX(Correspondance!$D$2:$D$3000,MATCH(A16,Correspondance!$A$2:$A$3000,0)),0)</f>
        <v>13</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19.1957236842105</v>
      </c>
      <c r="G19" s="61"/>
      <c r="I19" s="63"/>
    </row>
    <row r="20" customFormat="false" ht="18.75" hidden="false" customHeight="true" outlineLevel="0" collapsed="false">
      <c r="A20" s="68" t="s">
        <v>2628</v>
      </c>
      <c r="B20" s="69" t="n">
        <f aca="false">F19/B24</f>
        <v>0.174506578947368</v>
      </c>
      <c r="C20" s="70"/>
      <c r="G20" s="61"/>
      <c r="I20" s="63"/>
    </row>
    <row r="21" customFormat="false" ht="15.75" hidden="false" customHeight="false" outlineLevel="0" collapsed="false">
      <c r="A21" s="71" t="s">
        <v>2629</v>
      </c>
      <c r="B21" s="71" t="n">
        <f aca="false">SUM(B3:B18)</f>
        <v>6.992</v>
      </c>
      <c r="C21" s="66"/>
      <c r="G21" s="61"/>
      <c r="I21" s="63"/>
    </row>
    <row r="22" customFormat="false" ht="15.75" hidden="false" customHeight="false" outlineLevel="0" collapsed="false">
      <c r="A22" s="0" t="s">
        <v>2630</v>
      </c>
      <c r="B22" s="72" t="n">
        <f aca="false">B21/B23</f>
        <v>69.92</v>
      </c>
      <c r="C22" s="66"/>
      <c r="G22" s="61"/>
      <c r="I22" s="63"/>
    </row>
    <row r="23" customFormat="false" ht="15.75" hidden="false" customHeight="false" outlineLevel="0" collapsed="false">
      <c r="A23" s="0" t="s">
        <v>2631</v>
      </c>
      <c r="B23" s="0" t="n">
        <v>0.1</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75</v>
      </c>
      <c r="B1" s="50"/>
      <c r="C1" s="50"/>
      <c r="D1" s="50"/>
      <c r="E1" s="51" t="s">
        <v>2619</v>
      </c>
      <c r="F1" s="51"/>
      <c r="G1" s="52" t="s">
        <v>2714</v>
      </c>
    </row>
    <row r="2" customFormat="false" ht="24.75" hidden="false" customHeight="true" outlineLevel="0" collapsed="false">
      <c r="A2" s="50"/>
      <c r="B2" s="50"/>
      <c r="C2" s="50"/>
      <c r="D2" s="50"/>
      <c r="E2" s="53" t="s">
        <v>2621</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1724</v>
      </c>
      <c r="B4" s="57" t="n">
        <v>2.63</v>
      </c>
      <c r="C4" s="58" t="n">
        <f aca="false">B4/B$22*B$24</f>
        <v>4.13138164941092</v>
      </c>
      <c r="D4" s="57" t="s">
        <v>434</v>
      </c>
      <c r="E4" s="59" t="n">
        <f aca="false">IFERROR(INDEX(Correspondance!$D$2:$D$3000,MATCH(A4,Correspondance!$A$2:$A$3000,0)),0)</f>
        <v>9</v>
      </c>
      <c r="F4" s="60" t="n">
        <f aca="false">C4*E4</f>
        <v>37.1824348446983</v>
      </c>
      <c r="G4" s="61" t="s">
        <v>2715</v>
      </c>
    </row>
    <row r="5" customFormat="false" ht="15.75" hidden="false" customHeight="false" outlineLevel="0" collapsed="false">
      <c r="A5" s="57" t="s">
        <v>1567</v>
      </c>
      <c r="B5" s="57" t="n">
        <v>0.328</v>
      </c>
      <c r="C5" s="58" t="n">
        <f aca="false">B5/B$22*B$24</f>
        <v>0.515244555515887</v>
      </c>
      <c r="D5" s="57" t="s">
        <v>434</v>
      </c>
      <c r="E5" s="59" t="n">
        <f aca="false">IFERROR(INDEX(Correspondance!$D$2:$D$3000,MATCH(A5,Correspondance!$A$2:$A$3000,0)),0)</f>
        <v>6.5</v>
      </c>
      <c r="F5" s="60" t="n">
        <f aca="false">C5*E5</f>
        <v>3.34908961085327</v>
      </c>
      <c r="G5" s="61"/>
      <c r="I5" s="62"/>
    </row>
    <row r="6" customFormat="false" ht="15.75" hidden="false" customHeight="false" outlineLevel="0" collapsed="false">
      <c r="A6" s="57" t="s">
        <v>1899</v>
      </c>
      <c r="B6" s="57" t="n">
        <v>0.657</v>
      </c>
      <c r="C6" s="58" t="n">
        <f aca="false">B6/B$22*B$24</f>
        <v>1.03205997857908</v>
      </c>
      <c r="D6" s="57" t="s">
        <v>434</v>
      </c>
      <c r="E6" s="59" t="n">
        <f aca="false">IFERROR(INDEX(Correspondance!$D$2:$D$3000,MATCH(A6,Correspondance!$A$2:$A$3000,0)),0)</f>
        <v>7</v>
      </c>
      <c r="F6" s="60" t="n">
        <f aca="false">C6*E6</f>
        <v>7.22441985005355</v>
      </c>
      <c r="G6" s="61"/>
      <c r="I6" s="63"/>
    </row>
    <row r="7" customFormat="false" ht="15.75" hidden="false" customHeight="false" outlineLevel="0" collapsed="false">
      <c r="A7" s="57" t="s">
        <v>1755</v>
      </c>
      <c r="B7" s="57" t="n">
        <v>1.31</v>
      </c>
      <c r="C7" s="58" t="n">
        <f aca="false">B7/B$22*B$24</f>
        <v>2.05783648696894</v>
      </c>
      <c r="D7" s="57" t="s">
        <v>434</v>
      </c>
      <c r="E7" s="59" t="n">
        <f aca="false">IFERROR(INDEX(Correspondance!$D$2:$D$3000,MATCH(A7,Correspondance!$A$2:$A$3000,0)),0)</f>
        <v>2.8</v>
      </c>
      <c r="F7" s="60" t="n">
        <f aca="false">C7*E7</f>
        <v>5.76194216351303</v>
      </c>
      <c r="G7" s="61"/>
      <c r="I7" s="63"/>
    </row>
    <row r="8" customFormat="false" ht="15.75" hidden="false" customHeight="false" outlineLevel="0" collapsed="false">
      <c r="A8" s="57" t="s">
        <v>1494</v>
      </c>
      <c r="B8" s="57" t="n">
        <v>0.328</v>
      </c>
      <c r="C8" s="58" t="n">
        <f aca="false">B8/B$22*B$24</f>
        <v>0.515244555515887</v>
      </c>
      <c r="D8" s="57" t="s">
        <v>434</v>
      </c>
      <c r="E8" s="59" t="n">
        <f aca="false">IFERROR(INDEX(Correspondance!$D$2:$D$3000,MATCH(A8,Correspondance!$A$2:$A$3000,0)),0)</f>
        <v>10.5</v>
      </c>
      <c r="F8" s="60" t="n">
        <f aca="false">C8*E8</f>
        <v>5.41006783291682</v>
      </c>
      <c r="G8" s="61"/>
      <c r="I8" s="63"/>
    </row>
    <row r="9" customFormat="false" ht="15.75" hidden="false" customHeight="false" outlineLevel="0" collapsed="false">
      <c r="A9" s="57" t="s">
        <v>1560</v>
      </c>
      <c r="B9" s="57" t="n">
        <v>0.263</v>
      </c>
      <c r="C9" s="58" t="n">
        <f aca="false">B9/B$22*B$24</f>
        <v>0.413138164941092</v>
      </c>
      <c r="D9" s="57" t="s">
        <v>434</v>
      </c>
      <c r="E9" s="59" t="n">
        <f aca="false">IFERROR(INDEX(Correspondance!$D$2:$D$3000,MATCH(A9,Correspondance!$A$2:$A$3000,0)),0)</f>
        <v>8.5</v>
      </c>
      <c r="F9" s="60" t="n">
        <f aca="false">C9*E9</f>
        <v>3.51167440199929</v>
      </c>
      <c r="G9" s="61"/>
      <c r="I9" s="63"/>
    </row>
    <row r="10" customFormat="false" ht="15.75" hidden="false" customHeight="false" outlineLevel="0" collapsed="false">
      <c r="A10" s="57" t="s">
        <v>1131</v>
      </c>
      <c r="B10" s="57" t="n">
        <v>0.066</v>
      </c>
      <c r="C10" s="58" t="n">
        <f aca="false">B10/B$22*B$24</f>
        <v>0.103677258122099</v>
      </c>
      <c r="D10" s="57" t="s">
        <v>682</v>
      </c>
      <c r="E10" s="59" t="n">
        <f aca="false">IFERROR(INDEX(Correspondance!$D$2:$D$3000,MATCH(A10,Correspondance!$A$2:$A$3000,0)),0)</f>
        <v>2.2</v>
      </c>
      <c r="F10" s="60" t="n">
        <f aca="false">C10*E10</f>
        <v>0.228089967868618</v>
      </c>
      <c r="G10" s="61"/>
      <c r="I10" s="63"/>
    </row>
    <row r="11" customFormat="false" ht="15.75" hidden="false" customHeight="false" outlineLevel="0" collapsed="false">
      <c r="A11" s="57" t="s">
        <v>1978</v>
      </c>
      <c r="B11" s="57" t="n">
        <v>0.02</v>
      </c>
      <c r="C11" s="58" t="n">
        <f aca="false">B11/B$22*B$24</f>
        <v>0.0314173509460907</v>
      </c>
      <c r="D11" s="57" t="s">
        <v>682</v>
      </c>
      <c r="E11" s="59" t="n">
        <f aca="false">IFERROR(INDEX(Correspondance!$D$2:$D$3000,MATCH(A11,Correspondance!$A$2:$A$3000,0)),0)</f>
        <v>1.5</v>
      </c>
      <c r="F11" s="60" t="n">
        <f aca="false">C11*E11</f>
        <v>0.047126026419136</v>
      </c>
      <c r="G11" s="61"/>
      <c r="I11" s="63"/>
    </row>
    <row r="12" customFormat="false" ht="18.75" hidden="false" customHeight="true" outlineLevel="0" collapsed="false">
      <c r="A12" s="57" t="s">
        <v>1926</v>
      </c>
      <c r="B12" s="64"/>
      <c r="C12" s="58" t="n">
        <f aca="false">B12/B$22*B$24</f>
        <v>0</v>
      </c>
      <c r="D12" s="57" t="s">
        <v>434</v>
      </c>
      <c r="E12" s="59" t="n">
        <f aca="false">IFERROR(INDEX(Correspondance!$D$2:$D$3000,MATCH(A12,Correspondance!$A$2:$A$3000,0)),0)</f>
        <v>2</v>
      </c>
      <c r="F12" s="60" t="n">
        <f aca="false">C12*E12</f>
        <v>0</v>
      </c>
      <c r="G12" s="61"/>
      <c r="I12" s="63"/>
    </row>
    <row r="13" customFormat="false" ht="18.75" hidden="false" customHeight="true" outlineLevel="0" collapsed="false">
      <c r="A13" s="57"/>
      <c r="B13" s="64"/>
      <c r="C13" s="58" t="n">
        <f aca="false">B13/B$22*B$24</f>
        <v>0</v>
      </c>
      <c r="D13" s="57"/>
      <c r="E13" s="65" t="n">
        <f aca="false">IFERROR(INDEX(Correspondance!$D$2:$D$3000,MATCH(A13,Correspondance!$A$2:$A$3000,0)),0)</f>
        <v>0</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62.714844698322</v>
      </c>
      <c r="G19" s="61"/>
      <c r="I19" s="63"/>
    </row>
    <row r="20" customFormat="false" ht="18.75" hidden="false" customHeight="true" outlineLevel="0" collapsed="false">
      <c r="A20" s="68" t="s">
        <v>2628</v>
      </c>
      <c r="B20" s="69" t="n">
        <f aca="false">F19/B24</f>
        <v>0.570134951802928</v>
      </c>
      <c r="C20" s="70"/>
      <c r="G20" s="61"/>
      <c r="I20" s="63"/>
    </row>
    <row r="21" customFormat="false" ht="15.75" hidden="false" customHeight="false" outlineLevel="0" collapsed="false">
      <c r="A21" s="71" t="s">
        <v>2629</v>
      </c>
      <c r="B21" s="71" t="n">
        <f aca="false">SUM(B3:B18)</f>
        <v>5.602</v>
      </c>
      <c r="C21" s="66"/>
      <c r="G21" s="61"/>
      <c r="I21" s="63"/>
    </row>
    <row r="22" customFormat="false" ht="15.75" hidden="false" customHeight="false" outlineLevel="0" collapsed="false">
      <c r="A22" s="0" t="s">
        <v>2630</v>
      </c>
      <c r="B22" s="72" t="n">
        <f aca="false">B21/B23</f>
        <v>70.025</v>
      </c>
      <c r="C22" s="66"/>
      <c r="G22" s="61"/>
      <c r="I22" s="63"/>
    </row>
    <row r="23" customFormat="false" ht="15.75" hidden="false" customHeight="false" outlineLevel="0" collapsed="false">
      <c r="A23" s="0" t="s">
        <v>2631</v>
      </c>
      <c r="B23" s="0" t="n">
        <v>0.08</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77</v>
      </c>
      <c r="B1" s="50"/>
      <c r="C1" s="50"/>
      <c r="D1" s="50"/>
      <c r="E1" s="51" t="s">
        <v>2619</v>
      </c>
      <c r="F1" s="51"/>
      <c r="G1" s="52" t="s">
        <v>2716</v>
      </c>
    </row>
    <row r="2" customFormat="false" ht="24.75" hidden="false" customHeight="true" outlineLevel="0" collapsed="false">
      <c r="A2" s="50"/>
      <c r="B2" s="50"/>
      <c r="C2" s="50"/>
      <c r="D2" s="50"/>
      <c r="E2" s="53" t="s">
        <v>2717</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523</v>
      </c>
      <c r="B4" s="57" t="n">
        <v>4.22</v>
      </c>
      <c r="C4" s="58" t="n">
        <f aca="false">B4/B$22*B$24</f>
        <v>6.63261296660118</v>
      </c>
      <c r="D4" s="57" t="s">
        <v>434</v>
      </c>
      <c r="E4" s="59" t="n">
        <f aca="false">IFERROR(INDEX(Correspondance!$D$2:$D$3000,MATCH(A4,Correspondance!$A$2:$A$3000,0)),0)</f>
        <v>7.5</v>
      </c>
      <c r="F4" s="60" t="n">
        <f aca="false">C4*E4</f>
        <v>49.7445972495088</v>
      </c>
      <c r="G4" s="61" t="s">
        <v>2718</v>
      </c>
    </row>
    <row r="5" customFormat="false" ht="15.75" hidden="false" customHeight="false" outlineLevel="0" collapsed="false">
      <c r="A5" s="57" t="s">
        <v>1113</v>
      </c>
      <c r="B5" s="57" t="n">
        <v>0.633</v>
      </c>
      <c r="C5" s="58" t="n">
        <f aca="false">B5/B$22*B$24</f>
        <v>0.994891944990177</v>
      </c>
      <c r="D5" s="57" t="s">
        <v>434</v>
      </c>
      <c r="E5" s="59" t="n">
        <f aca="false">IFERROR(INDEX(Correspondance!$D$2:$D$3000,MATCH(A5,Correspondance!$A$2:$A$3000,0)),0)</f>
        <v>6</v>
      </c>
      <c r="F5" s="60" t="n">
        <f aca="false">C5*E5</f>
        <v>5.96935166994106</v>
      </c>
      <c r="G5" s="61"/>
      <c r="I5" s="62"/>
    </row>
    <row r="6" customFormat="false" ht="15.75" hidden="false" customHeight="false" outlineLevel="0" collapsed="false">
      <c r="A6" s="57" t="s">
        <v>1973</v>
      </c>
      <c r="B6" s="57" t="n">
        <v>0.211</v>
      </c>
      <c r="C6" s="58" t="n">
        <f aca="false">B6/B$22*B$24</f>
        <v>0.331630648330059</v>
      </c>
      <c r="D6" s="57" t="s">
        <v>682</v>
      </c>
      <c r="E6" s="59" t="n">
        <f aca="false">IFERROR(INDEX(Correspondance!$D$2:$D$3000,MATCH(A6,Correspondance!$A$2:$A$3000,0)),0)</f>
        <v>2</v>
      </c>
      <c r="F6" s="60" t="n">
        <f aca="false">C6*E6</f>
        <v>0.663261296660118</v>
      </c>
      <c r="G6" s="61"/>
      <c r="I6" s="63"/>
    </row>
    <row r="7" customFormat="false" ht="15.75" hidden="false" customHeight="false" outlineLevel="0" collapsed="false">
      <c r="A7" s="57" t="s">
        <v>1001</v>
      </c>
      <c r="B7" s="57" t="n">
        <v>0.253</v>
      </c>
      <c r="C7" s="58" t="n">
        <f aca="false">B7/B$22*B$24</f>
        <v>0.397642436149312</v>
      </c>
      <c r="D7" s="57" t="s">
        <v>434</v>
      </c>
      <c r="E7" s="59" t="n">
        <f aca="false">IFERROR(INDEX(Correspondance!$D$2:$D$3000,MATCH(A7,Correspondance!$A$2:$A$3000,0)),0)</f>
        <v>1.8</v>
      </c>
      <c r="F7" s="60" t="n">
        <f aca="false">C7*E7</f>
        <v>0.715756385068762</v>
      </c>
      <c r="G7" s="61"/>
      <c r="I7" s="63"/>
    </row>
    <row r="8" customFormat="false" ht="15.75" hidden="false" customHeight="false" outlineLevel="0" collapsed="false">
      <c r="A8" s="57" t="s">
        <v>894</v>
      </c>
      <c r="B8" s="57" t="n">
        <v>0.021</v>
      </c>
      <c r="C8" s="58" t="n">
        <f aca="false">B8/B$22*B$24</f>
        <v>0.0330058939096267</v>
      </c>
      <c r="D8" s="57" t="s">
        <v>434</v>
      </c>
      <c r="E8" s="59" t="n">
        <f aca="false">IFERROR(INDEX(Correspondance!$D$2:$D$3000,MATCH(A8,Correspondance!$A$2:$A$3000,0)),0)</f>
        <v>5.5</v>
      </c>
      <c r="F8" s="60" t="n">
        <f aca="false">C8*E8</f>
        <v>0.181532416502947</v>
      </c>
      <c r="G8" s="61"/>
      <c r="I8" s="63"/>
    </row>
    <row r="9" customFormat="false" ht="15.75" hidden="false" customHeight="false" outlineLevel="0" collapsed="false">
      <c r="A9" s="57" t="s">
        <v>1919</v>
      </c>
      <c r="B9" s="57" t="n">
        <v>0.042</v>
      </c>
      <c r="C9" s="58" t="n">
        <f aca="false">B9/B$22*B$24</f>
        <v>0.0660117878192535</v>
      </c>
      <c r="D9" s="57" t="s">
        <v>434</v>
      </c>
      <c r="E9" s="59" t="n">
        <f aca="false">IFERROR(INDEX(Correspondance!$D$2:$D$3000,MATCH(A9,Correspondance!$A$2:$A$3000,0)),0)</f>
        <v>2</v>
      </c>
      <c r="F9" s="60" t="n">
        <f aca="false">C9*E9</f>
        <v>0.132023575638507</v>
      </c>
      <c r="G9" s="61"/>
      <c r="I9" s="63"/>
    </row>
    <row r="10" customFormat="false" ht="15.75" hidden="false" customHeight="false" outlineLevel="0" collapsed="false">
      <c r="A10" s="57" t="s">
        <v>1796</v>
      </c>
      <c r="B10" s="57" t="n">
        <v>0.005</v>
      </c>
      <c r="C10" s="58" t="n">
        <f aca="false">B10/B$22*B$24</f>
        <v>0.00785854616895874</v>
      </c>
      <c r="D10" s="57" t="s">
        <v>434</v>
      </c>
      <c r="E10" s="59" t="n">
        <f aca="false">IFERROR(INDEX(Correspondance!$D$2:$D$3000,MATCH(A10,Correspondance!$A$2:$A$3000,0)),0)</f>
        <v>18</v>
      </c>
      <c r="F10" s="60" t="n">
        <f aca="false">C10*E10</f>
        <v>0.141453831041257</v>
      </c>
      <c r="G10" s="61"/>
      <c r="I10" s="63"/>
    </row>
    <row r="11" customFormat="false" ht="15.75" hidden="false" customHeight="false" outlineLevel="0" collapsed="false">
      <c r="A11" s="57" t="s">
        <v>1325</v>
      </c>
      <c r="B11" s="57" t="n">
        <v>0.003</v>
      </c>
      <c r="C11" s="58" t="n">
        <f aca="false">B11/B$22*B$24</f>
        <v>0.00471512770137525</v>
      </c>
      <c r="D11" s="57" t="s">
        <v>434</v>
      </c>
      <c r="E11" s="59" t="n">
        <f aca="false">IFERROR(INDEX(Correspondance!$D$2:$D$3000,MATCH(A11,Correspondance!$A$2:$A$3000,0)),0)</f>
        <v>16</v>
      </c>
      <c r="F11" s="60" t="n">
        <f aca="false">C11*E11</f>
        <v>0.0754420432220039</v>
      </c>
      <c r="G11" s="61"/>
      <c r="I11" s="63"/>
    </row>
    <row r="12" customFormat="false" ht="18.75" hidden="false" customHeight="true" outlineLevel="0" collapsed="false">
      <c r="A12" s="57" t="s">
        <v>1702</v>
      </c>
      <c r="B12" s="64"/>
      <c r="C12" s="58" t="n">
        <f aca="false">B12/B$22*B$24</f>
        <v>0</v>
      </c>
      <c r="D12" s="57" t="s">
        <v>434</v>
      </c>
      <c r="E12" s="59" t="n">
        <f aca="false">IFERROR(INDEX(Correspondance!$D$2:$D$3000,MATCH(A12,Correspondance!$A$2:$A$3000,0)),0)</f>
        <v>16</v>
      </c>
      <c r="F12" s="60" t="n">
        <f aca="false">C12*E12</f>
        <v>0</v>
      </c>
      <c r="G12" s="61"/>
      <c r="I12" s="63"/>
    </row>
    <row r="13" customFormat="false" ht="18.75" hidden="false" customHeight="true" outlineLevel="0" collapsed="false">
      <c r="A13" s="57" t="s">
        <v>1568</v>
      </c>
      <c r="B13" s="64" t="n">
        <v>0.211</v>
      </c>
      <c r="C13" s="58" t="n">
        <f aca="false">B13/B$22*B$24</f>
        <v>0.331630648330059</v>
      </c>
      <c r="D13" s="57" t="s">
        <v>434</v>
      </c>
      <c r="E13" s="59" t="n">
        <f aca="false">IFERROR(INDEX(Correspondance!$D$2:$D$3000,MATCH(A13,Correspondance!$A$2:$A$3000,0)),0)</f>
        <v>6.5</v>
      </c>
      <c r="F13" s="60" t="n">
        <f aca="false">C13*E13</f>
        <v>2.15559921414538</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59.7790176817289</v>
      </c>
      <c r="G19" s="61"/>
      <c r="I19" s="63"/>
    </row>
    <row r="20" customFormat="false" ht="18.75" hidden="false" customHeight="true" outlineLevel="0" collapsed="false">
      <c r="A20" s="68" t="s">
        <v>2628</v>
      </c>
      <c r="B20" s="69" t="n">
        <f aca="false">F19/B24</f>
        <v>0.543445615288444</v>
      </c>
      <c r="C20" s="70"/>
      <c r="G20" s="61"/>
      <c r="I20" s="63"/>
    </row>
    <row r="21" customFormat="false" ht="15.75" hidden="false" customHeight="false" outlineLevel="0" collapsed="false">
      <c r="A21" s="71" t="s">
        <v>2629</v>
      </c>
      <c r="B21" s="71" t="n">
        <f aca="false">SUM(B3:B18)</f>
        <v>5.599</v>
      </c>
      <c r="C21" s="66"/>
      <c r="G21" s="61"/>
      <c r="I21" s="63"/>
    </row>
    <row r="22" customFormat="false" ht="15.75" hidden="false" customHeight="false" outlineLevel="0" collapsed="false">
      <c r="A22" s="0" t="s">
        <v>2630</v>
      </c>
      <c r="B22" s="72" t="n">
        <f aca="false">B21/B23</f>
        <v>69.9875</v>
      </c>
      <c r="C22" s="66"/>
      <c r="G22" s="61"/>
      <c r="I22" s="63"/>
    </row>
    <row r="23" customFormat="false" ht="15.75" hidden="false" customHeight="false" outlineLevel="0" collapsed="false">
      <c r="A23" s="0" t="s">
        <v>2631</v>
      </c>
      <c r="B23" s="0" t="n">
        <v>0.08</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78</v>
      </c>
      <c r="B1" s="50"/>
      <c r="C1" s="50"/>
      <c r="D1" s="50"/>
      <c r="E1" s="51" t="s">
        <v>2619</v>
      </c>
      <c r="F1" s="51"/>
      <c r="G1" s="52" t="s">
        <v>2719</v>
      </c>
    </row>
    <row r="2" customFormat="false" ht="24.75" hidden="false" customHeight="true" outlineLevel="0" collapsed="false">
      <c r="A2" s="50"/>
      <c r="B2" s="50"/>
      <c r="C2" s="50"/>
      <c r="D2" s="50"/>
      <c r="E2" s="53" t="s">
        <v>2621</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559</v>
      </c>
      <c r="B4" s="57" t="n">
        <v>2.32</v>
      </c>
      <c r="C4" s="58" t="n">
        <f aca="false">B4/B$22*B$24</f>
        <v>3.64506338153901</v>
      </c>
      <c r="D4" s="57" t="s">
        <v>434</v>
      </c>
      <c r="E4" s="59" t="n">
        <f aca="false">IFERROR(INDEX(Correspondance!$D$2:$D$3000,MATCH(A4,Correspondance!$A$2:$A$3000,0)),0)</f>
        <v>45</v>
      </c>
      <c r="F4" s="60" t="n">
        <f aca="false">C4*E4</f>
        <v>164.027852169255</v>
      </c>
      <c r="G4" s="61" t="s">
        <v>2720</v>
      </c>
    </row>
    <row r="5" customFormat="false" ht="15.75" hidden="false" customHeight="false" outlineLevel="0" collapsed="false">
      <c r="A5" s="57" t="s">
        <v>1751</v>
      </c>
      <c r="B5" s="57" t="n">
        <v>1.86</v>
      </c>
      <c r="C5" s="58" t="n">
        <f aca="false">B5/B$22*B$24</f>
        <v>2.92233529726835</v>
      </c>
      <c r="D5" s="57" t="s">
        <v>434</v>
      </c>
      <c r="E5" s="59" t="n">
        <f aca="false">IFERROR(INDEX(Correspondance!$D$2:$D$3000,MATCH(A5,Correspondance!$A$2:$A$3000,0)),0)</f>
        <v>3</v>
      </c>
      <c r="F5" s="60" t="n">
        <f aca="false">C5*E5</f>
        <v>8.76700589180503</v>
      </c>
      <c r="G5" s="61"/>
      <c r="I5" s="62"/>
    </row>
    <row r="6" customFormat="false" ht="15.75" hidden="false" customHeight="false" outlineLevel="0" collapsed="false">
      <c r="A6" s="57" t="s">
        <v>1561</v>
      </c>
      <c r="B6" s="57" t="n">
        <v>0.557</v>
      </c>
      <c r="C6" s="58" t="n">
        <f aca="false">B6/B$22*B$24</f>
        <v>0.87512944117122</v>
      </c>
      <c r="D6" s="57" t="s">
        <v>434</v>
      </c>
      <c r="E6" s="59" t="n">
        <f aca="false">IFERROR(INDEX(Correspondance!$D$2:$D$3000,MATCH(A6,Correspondance!$A$2:$A$3000,0)),0)</f>
        <v>10</v>
      </c>
      <c r="F6" s="60" t="n">
        <f aca="false">C6*E6</f>
        <v>8.7512944117122</v>
      </c>
      <c r="G6" s="61"/>
      <c r="I6" s="63"/>
    </row>
    <row r="7" customFormat="false" ht="15.75" hidden="false" customHeight="false" outlineLevel="0" collapsed="false">
      <c r="A7" s="57" t="s">
        <v>1738</v>
      </c>
      <c r="B7" s="57" t="n">
        <v>0.743</v>
      </c>
      <c r="C7" s="58" t="n">
        <f aca="false">B7/B$22*B$24</f>
        <v>1.16736297089805</v>
      </c>
      <c r="D7" s="57" t="s">
        <v>434</v>
      </c>
      <c r="E7" s="59" t="n">
        <f aca="false">IFERROR(INDEX(Correspondance!$D$2:$D$3000,MATCH(A7,Correspondance!$A$2:$A$3000,0)),0)</f>
        <v>9.5</v>
      </c>
      <c r="F7" s="60" t="n">
        <f aca="false">C7*E7</f>
        <v>11.0899482235315</v>
      </c>
      <c r="G7" s="61"/>
      <c r="I7" s="63"/>
    </row>
    <row r="8" customFormat="false" ht="15.75" hidden="false" customHeight="false" outlineLevel="0" collapsed="false">
      <c r="A8" s="57" t="s">
        <v>1125</v>
      </c>
      <c r="B8" s="57" t="n">
        <v>0.093</v>
      </c>
      <c r="C8" s="58" t="n">
        <f aca="false">B8/B$22*B$24</f>
        <v>0.146116764863417</v>
      </c>
      <c r="D8" s="57" t="s">
        <v>682</v>
      </c>
      <c r="E8" s="59" t="n">
        <f aca="false">IFERROR(INDEX(Correspondance!$D$2:$D$3000,MATCH(A8,Correspondance!$A$2:$A$3000,0)),0)</f>
        <v>12</v>
      </c>
      <c r="F8" s="60" t="n">
        <f aca="false">C8*E8</f>
        <v>1.75340117836101</v>
      </c>
      <c r="G8" s="61"/>
      <c r="I8" s="63"/>
    </row>
    <row r="9" customFormat="false" ht="15.75" hidden="false" customHeight="false" outlineLevel="0" collapsed="false">
      <c r="A9" s="57" t="s">
        <v>1336</v>
      </c>
      <c r="B9" s="57" t="n">
        <v>0.028</v>
      </c>
      <c r="C9" s="58" t="n">
        <f aca="false">B9/B$22*B$24</f>
        <v>0.0439921442599536</v>
      </c>
      <c r="D9" s="57" t="s">
        <v>682</v>
      </c>
      <c r="E9" s="59" t="n">
        <f aca="false">IFERROR(INDEX(Correspondance!$D$2:$D$3000,MATCH(A9,Correspondance!$A$2:$A$3000,0)),0)</f>
        <v>3.5</v>
      </c>
      <c r="F9" s="60" t="n">
        <f aca="false">C9*E9</f>
        <v>0.153972504909838</v>
      </c>
      <c r="G9" s="61"/>
      <c r="I9" s="63"/>
    </row>
    <row r="10" customFormat="false" ht="15.75" hidden="false" customHeight="false" outlineLevel="0" collapsed="false">
      <c r="A10" s="57" t="s">
        <v>1628</v>
      </c>
      <c r="B10" s="57"/>
      <c r="C10" s="58" t="n">
        <f aca="false">B10/B$22*B$24</f>
        <v>0</v>
      </c>
      <c r="D10" s="57" t="s">
        <v>434</v>
      </c>
      <c r="E10" s="59" t="n">
        <f aca="false">IFERROR(INDEX(Correspondance!$D$2:$D$3000,MATCH(A10,Correspondance!$A$2:$A$3000,0)),0)</f>
        <v>8</v>
      </c>
      <c r="F10" s="60" t="n">
        <f aca="false">C10*E10</f>
        <v>0</v>
      </c>
      <c r="G10" s="61"/>
      <c r="I10" s="63"/>
    </row>
    <row r="11" customFormat="false" ht="15.75" hidden="false" customHeight="false" outlineLevel="0" collapsed="false">
      <c r="A11" s="57" t="s">
        <v>1812</v>
      </c>
      <c r="B11" s="57"/>
      <c r="C11" s="58" t="n">
        <f aca="false">B11/B$22*B$24</f>
        <v>0</v>
      </c>
      <c r="D11" s="57" t="s">
        <v>434</v>
      </c>
      <c r="E11" s="59" t="n">
        <f aca="false">IFERROR(INDEX(Correspondance!$D$2:$D$3000,MATCH(A11,Correspondance!$A$2:$A$3000,0)),0)</f>
        <v>18</v>
      </c>
      <c r="F11" s="60" t="n">
        <f aca="false">C11*E11</f>
        <v>0</v>
      </c>
      <c r="G11" s="61"/>
      <c r="I11" s="63"/>
    </row>
    <row r="12" customFormat="false" ht="18.75" hidden="false" customHeight="true" outlineLevel="0" collapsed="false">
      <c r="A12" s="57"/>
      <c r="B12" s="64"/>
      <c r="C12" s="58" t="n">
        <f aca="false">B12/B$22*B$24</f>
        <v>0</v>
      </c>
      <c r="D12" s="57"/>
      <c r="E12" s="65" t="n">
        <f aca="false">IFERROR(INDEX(Correspondance!$D$2:$D$3000,MATCH(A12,Correspondance!$A$2:$A$3000,0)),0)</f>
        <v>0</v>
      </c>
      <c r="F12" s="60" t="n">
        <f aca="false">C12*E12</f>
        <v>0</v>
      </c>
      <c r="G12" s="61"/>
      <c r="I12" s="63"/>
    </row>
    <row r="13" customFormat="false" ht="18.75" hidden="false" customHeight="true" outlineLevel="0" collapsed="false">
      <c r="A13" s="57"/>
      <c r="B13" s="64"/>
      <c r="C13" s="58" t="n">
        <f aca="false">B13/B$22*B$24</f>
        <v>0</v>
      </c>
      <c r="D13" s="57"/>
      <c r="E13" s="65" t="n">
        <f aca="false">IFERROR(INDEX(Correspondance!$D$2:$D$3000,MATCH(A13,Correspondance!$A$2:$A$3000,0)),0)</f>
        <v>0</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194.543474379575</v>
      </c>
      <c r="G19" s="61"/>
      <c r="I19" s="63"/>
    </row>
    <row r="20" customFormat="false" ht="18.75" hidden="false" customHeight="true" outlineLevel="0" collapsed="false">
      <c r="A20" s="68" t="s">
        <v>2628</v>
      </c>
      <c r="B20" s="69" t="n">
        <f aca="false">F19/B24</f>
        <v>1.76857703981432</v>
      </c>
      <c r="C20" s="70"/>
      <c r="G20" s="61"/>
      <c r="I20" s="63"/>
    </row>
    <row r="21" customFormat="false" ht="15.75" hidden="false" customHeight="false" outlineLevel="0" collapsed="false">
      <c r="A21" s="71" t="s">
        <v>2629</v>
      </c>
      <c r="B21" s="71" t="n">
        <f aca="false">SUM(B3:B18)</f>
        <v>5.601</v>
      </c>
      <c r="C21" s="66"/>
      <c r="G21" s="61"/>
      <c r="I21" s="63"/>
    </row>
    <row r="22" customFormat="false" ht="15.75" hidden="false" customHeight="false" outlineLevel="0" collapsed="false">
      <c r="A22" s="0" t="s">
        <v>2630</v>
      </c>
      <c r="B22" s="72" t="n">
        <f aca="false">B21/B23</f>
        <v>70.0125</v>
      </c>
      <c r="C22" s="66"/>
      <c r="G22" s="61"/>
      <c r="I22" s="63"/>
    </row>
    <row r="23" customFormat="false" ht="15.75" hidden="false" customHeight="false" outlineLevel="0" collapsed="false">
      <c r="A23" s="0" t="s">
        <v>2631</v>
      </c>
      <c r="B23" s="0" t="n">
        <v>0.08</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79</v>
      </c>
      <c r="B1" s="50"/>
      <c r="C1" s="50"/>
      <c r="D1" s="50"/>
      <c r="E1" s="51" t="s">
        <v>2619</v>
      </c>
      <c r="F1" s="51"/>
      <c r="G1" s="52" t="s">
        <v>2645</v>
      </c>
    </row>
    <row r="2" customFormat="false" ht="24.75" hidden="false" customHeight="true" outlineLevel="0" collapsed="false">
      <c r="A2" s="50"/>
      <c r="B2" s="50"/>
      <c r="C2" s="50"/>
      <c r="D2" s="50"/>
      <c r="E2" s="53" t="s">
        <v>2621</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785</v>
      </c>
      <c r="B4" s="57" t="n">
        <v>5.09</v>
      </c>
      <c r="C4" s="58" t="n">
        <f aca="false">B4/B$22*B$24</f>
        <v>7.99628677520708</v>
      </c>
      <c r="D4" s="57" t="s">
        <v>434</v>
      </c>
      <c r="E4" s="59" t="n">
        <f aca="false">IFERROR(INDEX(Correspondance!$D$2:$D$3000,MATCH(A4,Correspondance!$A$2:$A$3000,0)),0)</f>
        <v>3.5</v>
      </c>
      <c r="F4" s="60" t="n">
        <f aca="false">C4*E4</f>
        <v>27.9870037132248</v>
      </c>
      <c r="G4" s="61" t="s">
        <v>2721</v>
      </c>
    </row>
    <row r="5" customFormat="false" ht="15.75" hidden="false" customHeight="false" outlineLevel="0" collapsed="false">
      <c r="A5" s="57" t="s">
        <v>1223</v>
      </c>
      <c r="B5" s="57" t="n">
        <v>1.27</v>
      </c>
      <c r="C5" s="58" t="n">
        <f aca="false">B5/B$22*B$24</f>
        <v>1.99514424450157</v>
      </c>
      <c r="D5" s="57" t="s">
        <v>434</v>
      </c>
      <c r="E5" s="59" t="n">
        <f aca="false">IFERROR(INDEX(Correspondance!$D$2:$D$3000,MATCH(A5,Correspondance!$A$2:$A$3000,0)),0)</f>
        <v>4.5</v>
      </c>
      <c r="F5" s="60" t="n">
        <f aca="false">C5*E5</f>
        <v>8.97814910025707</v>
      </c>
      <c r="G5" s="61"/>
      <c r="I5" s="62"/>
    </row>
    <row r="6" customFormat="false" ht="15.75" hidden="false" customHeight="false" outlineLevel="0" collapsed="false">
      <c r="A6" s="57" t="s">
        <v>1728</v>
      </c>
      <c r="B6" s="57" t="n">
        <v>0.191</v>
      </c>
      <c r="C6" s="58" t="n">
        <f aca="false">B6/B$22*B$24</f>
        <v>0.300057126535276</v>
      </c>
      <c r="D6" s="57" t="s">
        <v>434</v>
      </c>
      <c r="E6" s="59" t="n">
        <f aca="false">IFERROR(INDEX(Correspondance!$D$2:$D$3000,MATCH(A6,Correspondance!$A$2:$A$3000,0)),0)</f>
        <v>9</v>
      </c>
      <c r="F6" s="60" t="n">
        <f aca="false">C6*E6</f>
        <v>2.70051413881748</v>
      </c>
      <c r="G6" s="61"/>
      <c r="I6" s="63"/>
    </row>
    <row r="7" customFormat="false" ht="15.75" hidden="false" customHeight="false" outlineLevel="0" collapsed="false">
      <c r="A7" s="57" t="s">
        <v>1291</v>
      </c>
      <c r="B7" s="57" t="n">
        <v>0.095</v>
      </c>
      <c r="C7" s="58" t="n">
        <f aca="false">B7/B$22*B$24</f>
        <v>0.149243073407598</v>
      </c>
      <c r="D7" s="57" t="s">
        <v>682</v>
      </c>
      <c r="E7" s="59" t="n">
        <f aca="false">IFERROR(INDEX(Correspondance!$D$2:$D$3000,MATCH(A7,Correspondance!$A$2:$A$3000,0)),0)</f>
        <v>2.5</v>
      </c>
      <c r="F7" s="60" t="n">
        <f aca="false">C7*E7</f>
        <v>0.373107683518995</v>
      </c>
      <c r="G7" s="61"/>
      <c r="I7" s="63"/>
    </row>
    <row r="8" customFormat="false" ht="15.75" hidden="false" customHeight="false" outlineLevel="0" collapsed="false">
      <c r="A8" s="57" t="s">
        <v>1579</v>
      </c>
      <c r="B8" s="57" t="n">
        <v>0.318</v>
      </c>
      <c r="C8" s="58" t="n">
        <f aca="false">B8/B$22*B$24</f>
        <v>0.499571550985433</v>
      </c>
      <c r="D8" s="57" t="s">
        <v>434</v>
      </c>
      <c r="E8" s="59" t="n">
        <f aca="false">IFERROR(INDEX(Correspondance!$D$2:$D$3000,MATCH(A8,Correspondance!$A$2:$A$3000,0)),0)</f>
        <v>5</v>
      </c>
      <c r="F8" s="60" t="n">
        <f aca="false">C8*E8</f>
        <v>2.49785775492716</v>
      </c>
      <c r="G8" s="61"/>
      <c r="I8" s="63"/>
    </row>
    <row r="9" customFormat="false" ht="15.75" hidden="false" customHeight="false" outlineLevel="0" collapsed="false">
      <c r="A9" s="57" t="s">
        <v>1919</v>
      </c>
      <c r="B9" s="57" t="n">
        <v>0.038</v>
      </c>
      <c r="C9" s="58" t="n">
        <f aca="false">B9/B$22*B$24</f>
        <v>0.0596972293630391</v>
      </c>
      <c r="D9" s="57" t="s">
        <v>434</v>
      </c>
      <c r="E9" s="59" t="n">
        <f aca="false">IFERROR(INDEX(Correspondance!$D$2:$D$3000,MATCH(A9,Correspondance!$A$2:$A$3000,0)),0)</f>
        <v>2</v>
      </c>
      <c r="F9" s="60" t="n">
        <f aca="false">C9*E9</f>
        <v>0.119394458726078</v>
      </c>
      <c r="G9" s="61"/>
      <c r="I9" s="63"/>
    </row>
    <row r="10" customFormat="false" ht="15.75" hidden="false" customHeight="false" outlineLevel="0" collapsed="false">
      <c r="A10" s="57" t="s">
        <v>1814</v>
      </c>
      <c r="B10" s="57"/>
      <c r="C10" s="58" t="n">
        <f aca="false">B10/B$22*B$24</f>
        <v>0</v>
      </c>
      <c r="D10" s="57" t="s">
        <v>434</v>
      </c>
      <c r="E10" s="59" t="n">
        <f aca="false">IFERROR(INDEX(Correspondance!$D$2:$D$3000,MATCH(A10,Correspondance!$A$2:$A$3000,0)),0)</f>
        <v>18</v>
      </c>
      <c r="F10" s="60" t="n">
        <f aca="false">C10*E10</f>
        <v>0</v>
      </c>
      <c r="G10" s="61"/>
      <c r="I10" s="63"/>
    </row>
    <row r="11" customFormat="false" ht="15.75" hidden="false" customHeight="false" outlineLevel="0" collapsed="false">
      <c r="A11" s="57" t="s">
        <v>1775</v>
      </c>
      <c r="B11" s="57"/>
      <c r="C11" s="58" t="n">
        <f aca="false">B11/B$22*B$24</f>
        <v>0</v>
      </c>
      <c r="D11" s="57" t="s">
        <v>434</v>
      </c>
      <c r="E11" s="59" t="n">
        <f aca="false">IFERROR(INDEX(Correspondance!$D$2:$D$3000,MATCH(A11,Correspondance!$A$2:$A$3000,0)),0)</f>
        <v>8</v>
      </c>
      <c r="F11" s="60" t="n">
        <f aca="false">C11*E11</f>
        <v>0</v>
      </c>
      <c r="G11" s="61"/>
      <c r="I11" s="63"/>
    </row>
    <row r="12" customFormat="false" ht="18.75" hidden="false" customHeight="true" outlineLevel="0" collapsed="false">
      <c r="A12" s="57"/>
      <c r="B12" s="64"/>
      <c r="C12" s="58" t="n">
        <f aca="false">B12/B$22*B$24</f>
        <v>0</v>
      </c>
      <c r="D12" s="57"/>
      <c r="E12" s="65" t="n">
        <f aca="false">IFERROR(INDEX(Correspondance!$D$2:$D$3000,MATCH(A12,Correspondance!$A$2:$A$3000,0)),0)</f>
        <v>0</v>
      </c>
      <c r="F12" s="60" t="n">
        <f aca="false">C12*E12</f>
        <v>0</v>
      </c>
      <c r="G12" s="61"/>
      <c r="I12" s="63"/>
    </row>
    <row r="13" customFormat="false" ht="18.75" hidden="false" customHeight="true" outlineLevel="0" collapsed="false">
      <c r="A13" s="57"/>
      <c r="B13" s="64"/>
      <c r="C13" s="58" t="n">
        <f aca="false">B13/B$22*B$24</f>
        <v>0</v>
      </c>
      <c r="D13" s="57"/>
      <c r="E13" s="65" t="n">
        <f aca="false">IFERROR(INDEX(Correspondance!$D$2:$D$3000,MATCH(A13,Correspondance!$A$2:$A$3000,0)),0)</f>
        <v>0</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42.6560268494716</v>
      </c>
      <c r="G19" s="61"/>
      <c r="I19" s="63"/>
    </row>
    <row r="20" customFormat="false" ht="18.75" hidden="false" customHeight="true" outlineLevel="0" collapsed="false">
      <c r="A20" s="68" t="s">
        <v>2628</v>
      </c>
      <c r="B20" s="69" t="n">
        <f aca="false">F19/B24</f>
        <v>0.387782062267923</v>
      </c>
      <c r="C20" s="70"/>
      <c r="G20" s="61"/>
      <c r="I20" s="63"/>
    </row>
    <row r="21" customFormat="false" ht="15.75" hidden="false" customHeight="false" outlineLevel="0" collapsed="false">
      <c r="A21" s="71" t="s">
        <v>2629</v>
      </c>
      <c r="B21" s="71" t="n">
        <f aca="false">SUM(B3:B18)</f>
        <v>7.002</v>
      </c>
      <c r="C21" s="66"/>
      <c r="G21" s="61"/>
      <c r="I21" s="63"/>
    </row>
    <row r="22" customFormat="false" ht="15.75" hidden="false" customHeight="false" outlineLevel="0" collapsed="false">
      <c r="A22" s="0" t="s">
        <v>2630</v>
      </c>
      <c r="B22" s="72" t="n">
        <f aca="false">B21/B23</f>
        <v>70.02</v>
      </c>
      <c r="C22" s="66"/>
      <c r="G22" s="61"/>
      <c r="I22" s="63"/>
    </row>
    <row r="23" customFormat="false" ht="15.75" hidden="false" customHeight="false" outlineLevel="0" collapsed="false">
      <c r="A23" s="0" t="s">
        <v>2631</v>
      </c>
      <c r="B23" s="0" t="n">
        <v>0.1</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80</v>
      </c>
      <c r="B1" s="50"/>
      <c r="C1" s="50"/>
      <c r="D1" s="50"/>
      <c r="E1" s="51" t="s">
        <v>2619</v>
      </c>
      <c r="F1" s="51"/>
      <c r="G1" s="52" t="s">
        <v>2722</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661</v>
      </c>
      <c r="B4" s="57" t="n">
        <v>3.27</v>
      </c>
      <c r="C4" s="58" t="n">
        <f aca="false">B4/B$22*B$24</f>
        <v>5.13124108416548</v>
      </c>
      <c r="D4" s="57" t="s">
        <v>434</v>
      </c>
      <c r="E4" s="59" t="n">
        <f aca="false">IFERROR(INDEX(Correspondance!$D$2:$D$3000,MATCH(A4,Correspondance!$A$2:$A$3000,0)),0)</f>
        <v>24</v>
      </c>
      <c r="F4" s="60" t="n">
        <f aca="false">C4*E4</f>
        <v>123.149786019971</v>
      </c>
      <c r="G4" s="61" t="s">
        <v>2723</v>
      </c>
    </row>
    <row r="5" customFormat="false" ht="15.75" hidden="false" customHeight="false" outlineLevel="0" collapsed="false">
      <c r="A5" s="57" t="s">
        <v>1530</v>
      </c>
      <c r="B5" s="57" t="n">
        <v>1.31</v>
      </c>
      <c r="C5" s="58" t="n">
        <f aca="false">B5/B$22*B$24</f>
        <v>2.05563480741797</v>
      </c>
      <c r="D5" s="57" t="s">
        <v>434</v>
      </c>
      <c r="E5" s="59" t="n">
        <f aca="false">IFERROR(INDEX(Correspondance!$D$2:$D$3000,MATCH(A5,Correspondance!$A$2:$A$3000,0)),0)</f>
        <v>3.8</v>
      </c>
      <c r="F5" s="60" t="n">
        <f aca="false">C5*E5</f>
        <v>7.8114122681883</v>
      </c>
      <c r="G5" s="61"/>
      <c r="I5" s="62"/>
    </row>
    <row r="6" customFormat="false" ht="15.75" hidden="false" customHeight="false" outlineLevel="0" collapsed="false">
      <c r="A6" s="57" t="s">
        <v>1987</v>
      </c>
      <c r="B6" s="57" t="n">
        <v>0.196</v>
      </c>
      <c r="C6" s="58" t="n">
        <f aca="false">B6/B$22*B$24</f>
        <v>0.30756062767475</v>
      </c>
      <c r="D6" s="57" t="s">
        <v>434</v>
      </c>
      <c r="E6" s="59" t="n">
        <f aca="false">IFERROR(INDEX(Correspondance!$D$2:$D$3000,MATCH(A6,Correspondance!$A$2:$A$3000,0)),0)</f>
        <v>4.5</v>
      </c>
      <c r="F6" s="60" t="n">
        <f aca="false">C6*E6</f>
        <v>1.38402282453638</v>
      </c>
      <c r="G6" s="61"/>
      <c r="I6" s="63"/>
    </row>
    <row r="7" customFormat="false" ht="15.75" hidden="false" customHeight="false" outlineLevel="0" collapsed="false">
      <c r="A7" s="57" t="s">
        <v>1973</v>
      </c>
      <c r="B7" s="57" t="n">
        <v>0.392</v>
      </c>
      <c r="C7" s="58" t="n">
        <f aca="false">B7/B$22*B$24</f>
        <v>0.615121255349501</v>
      </c>
      <c r="D7" s="57" t="s">
        <v>682</v>
      </c>
      <c r="E7" s="59" t="n">
        <f aca="false">IFERROR(INDEX(Correspondance!$D$2:$D$3000,MATCH(A7,Correspondance!$A$2:$A$3000,0)),0)</f>
        <v>2</v>
      </c>
      <c r="F7" s="60" t="n">
        <f aca="false">C7*E7</f>
        <v>1.230242510699</v>
      </c>
      <c r="G7" s="61"/>
      <c r="I7" s="63"/>
    </row>
    <row r="8" customFormat="false" ht="15.75" hidden="false" customHeight="false" outlineLevel="0" collapsed="false">
      <c r="A8" s="57" t="s">
        <v>1104</v>
      </c>
      <c r="B8" s="57" t="n">
        <v>0.039</v>
      </c>
      <c r="C8" s="58" t="n">
        <f aca="false">B8/B$22*B$24</f>
        <v>0.0611982881597718</v>
      </c>
      <c r="D8" s="57" t="s">
        <v>434</v>
      </c>
      <c r="E8" s="59" t="n">
        <f aca="false">IFERROR(INDEX(Correspondance!$D$2:$D$3000,MATCH(A8,Correspondance!$A$2:$A$3000,0)),0)</f>
        <v>12</v>
      </c>
      <c r="F8" s="60" t="n">
        <f aca="false">C8*E8</f>
        <v>0.734379457917261</v>
      </c>
      <c r="G8" s="61"/>
      <c r="I8" s="63"/>
    </row>
    <row r="9" customFormat="false" ht="15.75" hidden="false" customHeight="false" outlineLevel="0" collapsed="false">
      <c r="A9" s="57" t="s">
        <v>1459</v>
      </c>
      <c r="B9" s="57" t="n">
        <v>0.98</v>
      </c>
      <c r="C9" s="58" t="n">
        <f aca="false">B9/B$22*B$24</f>
        <v>1.53780313837375</v>
      </c>
      <c r="D9" s="57" t="s">
        <v>682</v>
      </c>
      <c r="E9" s="59" t="n">
        <f aca="false">IFERROR(INDEX(Correspondance!$D$2:$D$3000,MATCH(A9,Correspondance!$A$2:$A$3000,0)),0)</f>
        <v>0</v>
      </c>
      <c r="F9" s="60" t="n">
        <f aca="false">C9*E9</f>
        <v>0</v>
      </c>
      <c r="G9" s="61"/>
      <c r="I9" s="63"/>
    </row>
    <row r="10" customFormat="false" ht="15.75" hidden="false" customHeight="false" outlineLevel="0" collapsed="false">
      <c r="A10" s="57" t="s">
        <v>1576</v>
      </c>
      <c r="B10" s="57" t="n">
        <v>1.31</v>
      </c>
      <c r="C10" s="58" t="n">
        <f aca="false">B10/B$22*B$24</f>
        <v>2.05563480741797</v>
      </c>
      <c r="D10" s="57" t="s">
        <v>434</v>
      </c>
      <c r="E10" s="59" t="n">
        <f aca="false">IFERROR(INDEX(Correspondance!$D$2:$D$3000,MATCH(A10,Correspondance!$A$2:$A$3000,0)),0)</f>
        <v>5.5</v>
      </c>
      <c r="F10" s="60" t="n">
        <f aca="false">C10*E10</f>
        <v>11.3059914407989</v>
      </c>
      <c r="G10" s="61"/>
      <c r="I10" s="63"/>
    </row>
    <row r="11" customFormat="false" ht="15.75" hidden="false" customHeight="false" outlineLevel="0" collapsed="false">
      <c r="A11" s="57" t="s">
        <v>1491</v>
      </c>
      <c r="B11" s="57" t="n">
        <v>0.196</v>
      </c>
      <c r="C11" s="58" t="n">
        <f aca="false">B11/B$22*B$24</f>
        <v>0.30756062767475</v>
      </c>
      <c r="D11" s="57" t="s">
        <v>434</v>
      </c>
      <c r="E11" s="59" t="n">
        <f aca="false">IFERROR(INDEX(Correspondance!$D$2:$D$3000,MATCH(A11,Correspondance!$A$2:$A$3000,0)),0)</f>
        <v>9</v>
      </c>
      <c r="F11" s="60" t="n">
        <f aca="false">C11*E11</f>
        <v>2.76804564907275</v>
      </c>
      <c r="G11" s="61"/>
      <c r="I11" s="63"/>
    </row>
    <row r="12" customFormat="false" ht="18.75" hidden="false" customHeight="true" outlineLevel="0" collapsed="false">
      <c r="A12" s="57" t="s">
        <v>1616</v>
      </c>
      <c r="B12" s="64" t="n">
        <v>0.163</v>
      </c>
      <c r="C12" s="58" t="n">
        <f aca="false">B12/B$22*B$24</f>
        <v>0.255777460770328</v>
      </c>
      <c r="D12" s="57" t="s">
        <v>434</v>
      </c>
      <c r="E12" s="59" t="n">
        <f aca="false">IFERROR(INDEX(Correspondance!$D$2:$D$3000,MATCH(A12,Correspondance!$A$2:$A$3000,0)),0)</f>
        <v>0.85</v>
      </c>
      <c r="F12" s="60" t="n">
        <f aca="false">C12*E12</f>
        <v>0.217410841654779</v>
      </c>
      <c r="G12" s="61"/>
      <c r="I12" s="63"/>
    </row>
    <row r="13" customFormat="false" ht="18.75" hidden="false" customHeight="true" outlineLevel="0" collapsed="false">
      <c r="A13" s="57" t="s">
        <v>1070</v>
      </c>
      <c r="B13" s="64" t="n">
        <v>0.196</v>
      </c>
      <c r="C13" s="58" t="n">
        <f aca="false">B13/B$22*B$24</f>
        <v>0.30756062767475</v>
      </c>
      <c r="D13" s="57" t="s">
        <v>434</v>
      </c>
      <c r="E13" s="59" t="n">
        <f aca="false">IFERROR(INDEX(Correspondance!$D$2:$D$3000,MATCH(A13,Correspondance!$A$2:$A$3000,0)),0)</f>
        <v>2</v>
      </c>
      <c r="F13" s="60" t="n">
        <f aca="false">C13*E13</f>
        <v>0.615121255349501</v>
      </c>
      <c r="G13" s="61"/>
      <c r="I13" s="63"/>
    </row>
    <row r="14" customFormat="false" ht="15.75" hidden="false" customHeight="false" outlineLevel="0" collapsed="false">
      <c r="A14" s="57" t="s">
        <v>706</v>
      </c>
      <c r="B14" s="57" t="n">
        <v>0.327</v>
      </c>
      <c r="C14" s="58" t="n">
        <f aca="false">B14/B$22*B$24</f>
        <v>0.513124108416548</v>
      </c>
      <c r="D14" s="57" t="s">
        <v>434</v>
      </c>
      <c r="E14" s="59" t="n">
        <f aca="false">IFERROR(INDEX(Correspondance!$D$2:$D$3000,MATCH(A14,Correspondance!$A$2:$A$3000,0)),0)</f>
        <v>7.5</v>
      </c>
      <c r="F14" s="60" t="n">
        <f aca="false">C14*E14</f>
        <v>3.84843081312411</v>
      </c>
      <c r="G14" s="61"/>
      <c r="I14" s="63"/>
    </row>
    <row r="15" customFormat="false" ht="15.75" hidden="false" customHeight="false" outlineLevel="0" collapsed="false">
      <c r="A15" s="57" t="s">
        <v>1919</v>
      </c>
      <c r="B15" s="57" t="n">
        <v>0.033</v>
      </c>
      <c r="C15" s="58" t="n">
        <f aca="false">B15/B$22*B$24</f>
        <v>0.0517831669044223</v>
      </c>
      <c r="D15" s="57" t="s">
        <v>434</v>
      </c>
      <c r="E15" s="59" t="n">
        <f aca="false">IFERROR(INDEX(Correspondance!$D$2:$D$3000,MATCH(A15,Correspondance!$A$2:$A$3000,0)),0)</f>
        <v>2</v>
      </c>
      <c r="F15" s="60" t="n">
        <f aca="false">C15*E15</f>
        <v>0.103566333808845</v>
      </c>
      <c r="G15" s="61"/>
      <c r="I15" s="63"/>
    </row>
    <row r="16" customFormat="false" ht="15.75" hidden="false" customHeight="false" outlineLevel="0" collapsed="false">
      <c r="A16" s="57" t="s">
        <v>1805</v>
      </c>
      <c r="B16" s="57"/>
      <c r="C16" s="58" t="n">
        <f aca="false">B16/B$22*B$24</f>
        <v>0</v>
      </c>
      <c r="D16" s="57" t="s">
        <v>434</v>
      </c>
      <c r="E16" s="59" t="n">
        <f aca="false">IFERROR(INDEX(Correspondance!$D$2:$D$3000,MATCH(A16,Correspondance!$A$2:$A$3000,0)),0)</f>
        <v>18</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153.168409415121</v>
      </c>
      <c r="G19" s="61"/>
      <c r="I19" s="63"/>
    </row>
    <row r="20" customFormat="false" ht="18.75" hidden="false" customHeight="true" outlineLevel="0" collapsed="false">
      <c r="A20" s="68" t="s">
        <v>2628</v>
      </c>
      <c r="B20" s="69" t="n">
        <f aca="false">F19/B24</f>
        <v>1.39244008559201</v>
      </c>
      <c r="C20" s="70"/>
      <c r="G20" s="61"/>
      <c r="I20" s="63"/>
    </row>
    <row r="21" customFormat="false" ht="15.75" hidden="false" customHeight="false" outlineLevel="0" collapsed="false">
      <c r="A21" s="71" t="s">
        <v>2629</v>
      </c>
      <c r="B21" s="71" t="n">
        <f aca="false">SUM(B3:B18)</f>
        <v>8.412</v>
      </c>
      <c r="C21" s="66"/>
      <c r="G21" s="61"/>
      <c r="I21" s="63"/>
    </row>
    <row r="22" customFormat="false" ht="15.75" hidden="false" customHeight="false" outlineLevel="0" collapsed="false">
      <c r="A22" s="0" t="s">
        <v>2630</v>
      </c>
      <c r="B22" s="72" t="n">
        <f aca="false">B21/B23</f>
        <v>70.1</v>
      </c>
      <c r="C22" s="66"/>
      <c r="G22" s="61"/>
      <c r="I22" s="63"/>
    </row>
    <row r="23" customFormat="false" ht="15.75" hidden="false" customHeight="false" outlineLevel="0" collapsed="false">
      <c r="A23" s="0" t="s">
        <v>2631</v>
      </c>
      <c r="B23" s="0" t="n">
        <v>0.12</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81</v>
      </c>
      <c r="B1" s="50"/>
      <c r="C1" s="50"/>
      <c r="D1" s="50"/>
      <c r="E1" s="51" t="s">
        <v>2619</v>
      </c>
      <c r="F1" s="51"/>
      <c r="G1" s="52" t="s">
        <v>2724</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661</v>
      </c>
      <c r="B4" s="57" t="n">
        <v>2.49</v>
      </c>
      <c r="C4" s="58" t="n">
        <f aca="false">B4/B$22*B$24</f>
        <v>3.9133230146446</v>
      </c>
      <c r="D4" s="57" t="s">
        <v>434</v>
      </c>
      <c r="E4" s="59" t="n">
        <f aca="false">IFERROR(INDEX(Correspondance!$D$2:$D$3000,MATCH(A4,Correspondance!$A$2:$A$3000,0)),0)</f>
        <v>24</v>
      </c>
      <c r="F4" s="60" t="n">
        <f aca="false">C4*E4</f>
        <v>93.9197523514704</v>
      </c>
      <c r="G4" s="61" t="s">
        <v>2725</v>
      </c>
    </row>
    <row r="5" customFormat="false" ht="15.75" hidden="false" customHeight="false" outlineLevel="0" collapsed="false">
      <c r="A5" s="57" t="s">
        <v>1501</v>
      </c>
      <c r="B5" s="57" t="n">
        <v>1.99</v>
      </c>
      <c r="C5" s="58" t="n">
        <f aca="false">B5/B$22*B$24</f>
        <v>3.12751518037862</v>
      </c>
      <c r="D5" s="57" t="s">
        <v>434</v>
      </c>
      <c r="E5" s="59" t="n">
        <f aca="false">IFERROR(INDEX(Correspondance!$D$2:$D$3000,MATCH(A5,Correspondance!$A$2:$A$3000,0)),0)</f>
        <v>8.75</v>
      </c>
      <c r="F5" s="60" t="n">
        <f aca="false">C5*E5</f>
        <v>27.3657578283129</v>
      </c>
      <c r="G5" s="61"/>
      <c r="I5" s="62"/>
    </row>
    <row r="6" customFormat="false" ht="15.75" hidden="false" customHeight="false" outlineLevel="0" collapsed="false">
      <c r="A6" s="57" t="s">
        <v>1016</v>
      </c>
      <c r="B6" s="57" t="n">
        <v>1.24</v>
      </c>
      <c r="C6" s="58" t="n">
        <f aca="false">B6/B$22*B$24</f>
        <v>1.94880342897964</v>
      </c>
      <c r="D6" s="57" t="s">
        <v>434</v>
      </c>
      <c r="E6" s="59" t="n">
        <f aca="false">IFERROR(INDEX(Correspondance!$D$2:$D$3000,MATCH(A6,Correspondance!$A$2:$A$3000,0)),0)</f>
        <v>2.6</v>
      </c>
      <c r="F6" s="60" t="n">
        <f aca="false">C6*E6</f>
        <v>5.06688891534707</v>
      </c>
      <c r="G6" s="61"/>
      <c r="I6" s="63"/>
    </row>
    <row r="7" customFormat="false" ht="15.75" hidden="false" customHeight="false" outlineLevel="0" collapsed="false">
      <c r="A7" s="57" t="s">
        <v>1987</v>
      </c>
      <c r="B7" s="57" t="n">
        <v>0.124</v>
      </c>
      <c r="C7" s="58" t="n">
        <f aca="false">B7/B$22*B$24</f>
        <v>0.194880342897964</v>
      </c>
      <c r="D7" s="57" t="s">
        <v>434</v>
      </c>
      <c r="E7" s="59" t="n">
        <f aca="false">IFERROR(INDEX(Correspondance!$D$2:$D$3000,MATCH(A7,Correspondance!$A$2:$A$3000,0)),0)</f>
        <v>4.5</v>
      </c>
      <c r="F7" s="60" t="n">
        <f aca="false">C7*E7</f>
        <v>0.876961543040838</v>
      </c>
      <c r="G7" s="61"/>
      <c r="I7" s="63"/>
    </row>
    <row r="8" customFormat="false" ht="15.75" hidden="false" customHeight="false" outlineLevel="0" collapsed="false">
      <c r="A8" s="57" t="s">
        <v>1973</v>
      </c>
      <c r="B8" s="57" t="n">
        <v>0.311</v>
      </c>
      <c r="C8" s="58" t="n">
        <f aca="false">B8/B$22*B$24</f>
        <v>0.488772472913442</v>
      </c>
      <c r="D8" s="57" t="s">
        <v>682</v>
      </c>
      <c r="E8" s="59" t="n">
        <f aca="false">IFERROR(INDEX(Correspondance!$D$2:$D$3000,MATCH(A8,Correspondance!$A$2:$A$3000,0)),0)</f>
        <v>2</v>
      </c>
      <c r="F8" s="60" t="n">
        <f aca="false">C8*E8</f>
        <v>0.977544945826884</v>
      </c>
      <c r="G8" s="61"/>
      <c r="I8" s="63"/>
    </row>
    <row r="9" customFormat="false" ht="15.75" hidden="false" customHeight="false" outlineLevel="0" collapsed="false">
      <c r="A9" s="57" t="s">
        <v>1104</v>
      </c>
      <c r="B9" s="57" t="n">
        <v>0.031</v>
      </c>
      <c r="C9" s="58" t="n">
        <f aca="false">B9/B$22*B$24</f>
        <v>0.048720085724491</v>
      </c>
      <c r="D9" s="57" t="s">
        <v>434</v>
      </c>
      <c r="E9" s="59" t="n">
        <f aca="false">IFERROR(INDEX(Correspondance!$D$2:$D$3000,MATCH(A9,Correspondance!$A$2:$A$3000,0)),0)</f>
        <v>12</v>
      </c>
      <c r="F9" s="60" t="n">
        <f aca="false">C9*E9</f>
        <v>0.584641028693892</v>
      </c>
      <c r="G9" s="61"/>
      <c r="I9" s="63"/>
    </row>
    <row r="10" customFormat="false" ht="15.75" hidden="false" customHeight="false" outlineLevel="0" collapsed="false">
      <c r="A10" s="57" t="s">
        <v>1459</v>
      </c>
      <c r="B10" s="57" t="n">
        <v>0.746</v>
      </c>
      <c r="C10" s="58" t="n">
        <f aca="false">B10/B$22*B$24</f>
        <v>1.17242528872485</v>
      </c>
      <c r="D10" s="57" t="s">
        <v>682</v>
      </c>
      <c r="E10" s="59" t="n">
        <f aca="false">IFERROR(INDEX(Correspondance!$D$2:$D$3000,MATCH(A10,Correspondance!$A$2:$A$3000,0)),0)</f>
        <v>0</v>
      </c>
      <c r="F10" s="60" t="n">
        <f aca="false">C10*E10</f>
        <v>0</v>
      </c>
      <c r="G10" s="61"/>
      <c r="I10" s="63"/>
    </row>
    <row r="11" customFormat="false" ht="15.75" hidden="false" customHeight="false" outlineLevel="0" collapsed="false">
      <c r="A11" s="57" t="s">
        <v>1576</v>
      </c>
      <c r="B11" s="57" t="n">
        <v>1.24</v>
      </c>
      <c r="C11" s="58" t="n">
        <f aca="false">B11/B$22*B$24</f>
        <v>1.94880342897964</v>
      </c>
      <c r="D11" s="57" t="s">
        <v>434</v>
      </c>
      <c r="E11" s="59" t="n">
        <f aca="false">IFERROR(INDEX(Correspondance!$D$2:$D$3000,MATCH(A11,Correspondance!$A$2:$A$3000,0)),0)</f>
        <v>5.5</v>
      </c>
      <c r="F11" s="60" t="n">
        <f aca="false">C11*E11</f>
        <v>10.718418859388</v>
      </c>
      <c r="G11" s="61"/>
      <c r="I11" s="63"/>
    </row>
    <row r="12" customFormat="false" ht="18.75" hidden="false" customHeight="true" outlineLevel="0" collapsed="false">
      <c r="A12" s="57" t="s">
        <v>1491</v>
      </c>
      <c r="B12" s="64" t="n">
        <v>0.124</v>
      </c>
      <c r="C12" s="58" t="n">
        <f aca="false">B12/B$22*B$24</f>
        <v>0.194880342897964</v>
      </c>
      <c r="D12" s="57" t="s">
        <v>434</v>
      </c>
      <c r="E12" s="59" t="n">
        <f aca="false">IFERROR(INDEX(Correspondance!$D$2:$D$3000,MATCH(A12,Correspondance!$A$2:$A$3000,0)),0)</f>
        <v>9</v>
      </c>
      <c r="F12" s="60" t="n">
        <f aca="false">C12*E12</f>
        <v>1.75392308608168</v>
      </c>
      <c r="G12" s="61"/>
      <c r="I12" s="63"/>
    </row>
    <row r="13" customFormat="false" ht="18.75" hidden="false" customHeight="true" outlineLevel="0" collapsed="false">
      <c r="A13" s="57" t="s">
        <v>1084</v>
      </c>
      <c r="B13" s="64" t="n">
        <v>0.075</v>
      </c>
      <c r="C13" s="58" t="n">
        <f aca="false">B13/B$22*B$24</f>
        <v>0.117871175139898</v>
      </c>
      <c r="D13" s="57" t="s">
        <v>434</v>
      </c>
      <c r="E13" s="59" t="n">
        <f aca="false">IFERROR(INDEX(Correspondance!$D$2:$D$3000,MATCH(A13,Correspondance!$A$2:$A$3000,0)),0)</f>
        <v>2.2</v>
      </c>
      <c r="F13" s="60" t="n">
        <f aca="false">C13*E13</f>
        <v>0.259316585307775</v>
      </c>
      <c r="G13" s="61"/>
      <c r="I13" s="63"/>
    </row>
    <row r="14" customFormat="false" ht="15.75" hidden="false" customHeight="false" outlineLevel="0" collapsed="false">
      <c r="A14" s="57" t="s">
        <v>1919</v>
      </c>
      <c r="B14" s="57" t="n">
        <v>0.028</v>
      </c>
      <c r="C14" s="58" t="n">
        <f aca="false">B14/B$22*B$24</f>
        <v>0.0440052387188951</v>
      </c>
      <c r="D14" s="57" t="s">
        <v>434</v>
      </c>
      <c r="E14" s="59" t="n">
        <f aca="false">IFERROR(INDEX(Correspondance!$D$2:$D$3000,MATCH(A14,Correspondance!$A$2:$A$3000,0)),0)</f>
        <v>2</v>
      </c>
      <c r="F14" s="60" t="n">
        <f aca="false">C14*E14</f>
        <v>0.0880104774377902</v>
      </c>
      <c r="G14" s="61"/>
      <c r="I14" s="63"/>
    </row>
    <row r="15" customFormat="false" ht="15.75" hidden="false" customHeight="false" outlineLevel="0" collapsed="false">
      <c r="A15" s="57" t="s">
        <v>1798</v>
      </c>
      <c r="B15" s="57"/>
      <c r="C15" s="58" t="n">
        <f aca="false">B15/B$22*B$24</f>
        <v>0</v>
      </c>
      <c r="D15" s="57" t="s">
        <v>434</v>
      </c>
      <c r="E15" s="59" t="n">
        <f aca="false">IFERROR(INDEX(Correspondance!$D$2:$D$3000,MATCH(A15,Correspondance!$A$2:$A$3000,0)),0)</f>
        <v>18</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141.611215620907</v>
      </c>
      <c r="G19" s="61"/>
      <c r="I19" s="63"/>
    </row>
    <row r="20" customFormat="false" ht="18.75" hidden="false" customHeight="true" outlineLevel="0" collapsed="false">
      <c r="A20" s="68" t="s">
        <v>2628</v>
      </c>
      <c r="B20" s="69" t="n">
        <f aca="false">F19/B24</f>
        <v>1.28737468746279</v>
      </c>
      <c r="C20" s="70"/>
      <c r="G20" s="61"/>
      <c r="I20" s="63"/>
    </row>
    <row r="21" customFormat="false" ht="15.75" hidden="false" customHeight="false" outlineLevel="0" collapsed="false">
      <c r="A21" s="71" t="s">
        <v>2629</v>
      </c>
      <c r="B21" s="71" t="n">
        <f aca="false">SUM(B3:B18)</f>
        <v>8.399</v>
      </c>
      <c r="C21" s="66"/>
      <c r="G21" s="61"/>
      <c r="I21" s="63"/>
    </row>
    <row r="22" customFormat="false" ht="15.75" hidden="false" customHeight="false" outlineLevel="0" collapsed="false">
      <c r="A22" s="0" t="s">
        <v>2630</v>
      </c>
      <c r="B22" s="72" t="n">
        <f aca="false">B21/B23</f>
        <v>69.9916666666667</v>
      </c>
      <c r="C22" s="66"/>
      <c r="G22" s="61"/>
      <c r="I22" s="63"/>
    </row>
    <row r="23" customFormat="false" ht="15.75" hidden="false" customHeight="false" outlineLevel="0" collapsed="false">
      <c r="A23" s="0" t="s">
        <v>2631</v>
      </c>
      <c r="B23" s="0" t="n">
        <v>0.12</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82</v>
      </c>
      <c r="B1" s="50"/>
      <c r="C1" s="50"/>
      <c r="D1" s="50"/>
      <c r="E1" s="51" t="s">
        <v>2619</v>
      </c>
      <c r="F1" s="51"/>
      <c r="G1" s="52" t="s">
        <v>2726</v>
      </c>
    </row>
    <row r="2" customFormat="false" ht="24.75" hidden="false" customHeight="true" outlineLevel="0" collapsed="false">
      <c r="A2" s="50"/>
      <c r="B2" s="50"/>
      <c r="C2" s="50"/>
      <c r="D2" s="50"/>
      <c r="E2" s="53" t="s">
        <v>2621</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1680</v>
      </c>
      <c r="B4" s="57" t="n">
        <v>1.47</v>
      </c>
      <c r="C4" s="58" t="n">
        <f aca="false">B4/B$22*B$24</f>
        <v>2.31</v>
      </c>
      <c r="D4" s="57" t="s">
        <v>434</v>
      </c>
      <c r="E4" s="59" t="n">
        <f aca="false">IFERROR(INDEX(Correspondance!$D$2:$D$3000,MATCH(A4,Correspondance!$A$2:$A$3000,0)),0)</f>
        <v>9.5</v>
      </c>
      <c r="F4" s="60" t="n">
        <f aca="false">C4*E4</f>
        <v>21.945</v>
      </c>
      <c r="G4" s="61" t="s">
        <v>2727</v>
      </c>
    </row>
    <row r="5" customFormat="false" ht="15.75" hidden="false" customHeight="false" outlineLevel="0" collapsed="false">
      <c r="A5" s="57" t="s">
        <v>1884</v>
      </c>
      <c r="B5" s="57" t="n">
        <v>0.884</v>
      </c>
      <c r="C5" s="58" t="n">
        <f aca="false">B5/B$22*B$24</f>
        <v>1.38914285714286</v>
      </c>
      <c r="D5" s="57" t="s">
        <v>434</v>
      </c>
      <c r="E5" s="59" t="n">
        <f aca="false">IFERROR(INDEX(Correspondance!$D$2:$D$3000,MATCH(A5,Correspondance!$A$2:$A$3000,0)),0)</f>
        <v>15</v>
      </c>
      <c r="F5" s="60" t="n">
        <f aca="false">C5*E5</f>
        <v>20.8371428571429</v>
      </c>
      <c r="G5" s="61"/>
      <c r="I5" s="62"/>
    </row>
    <row r="6" customFormat="false" ht="15.75" hidden="false" customHeight="false" outlineLevel="0" collapsed="false">
      <c r="A6" s="57" t="s">
        <v>62</v>
      </c>
      <c r="B6" s="57" t="n">
        <v>1.11</v>
      </c>
      <c r="C6" s="58" t="n">
        <f aca="false">B6/B$22*B$24</f>
        <v>1.74428571428571</v>
      </c>
      <c r="D6" s="57" t="s">
        <v>434</v>
      </c>
      <c r="E6" s="59" t="n">
        <f aca="false">IFERROR(INDEX(Correspondance!$D$2:$D$3000,MATCH(A6,Correspondance!$A$2:$A$3000,0)),0)</f>
        <v>7.5</v>
      </c>
      <c r="F6" s="60" t="n">
        <f aca="false">C6*E6</f>
        <v>13.0821428571429</v>
      </c>
      <c r="G6" s="61"/>
      <c r="I6" s="63"/>
    </row>
    <row r="7" customFormat="false" ht="15.75" hidden="false" customHeight="false" outlineLevel="0" collapsed="false">
      <c r="A7" s="57" t="s">
        <v>1684</v>
      </c>
      <c r="B7" s="57" t="n">
        <v>0.737</v>
      </c>
      <c r="C7" s="58" t="n">
        <f aca="false">B7/B$22*B$24</f>
        <v>1.15814285714286</v>
      </c>
      <c r="D7" s="57" t="s">
        <v>434</v>
      </c>
      <c r="E7" s="59" t="n">
        <f aca="false">IFERROR(INDEX(Correspondance!$D$2:$D$3000,MATCH(A7,Correspondance!$A$2:$A$3000,0)),0)</f>
        <v>22</v>
      </c>
      <c r="F7" s="60" t="n">
        <f aca="false">C7*E7</f>
        <v>25.4791428571429</v>
      </c>
      <c r="G7" s="61"/>
      <c r="I7" s="63"/>
    </row>
    <row r="8" customFormat="false" ht="15.75" hidden="false" customHeight="false" outlineLevel="0" collapsed="false">
      <c r="A8" s="57" t="s">
        <v>1567</v>
      </c>
      <c r="B8" s="57" t="n">
        <v>0.368</v>
      </c>
      <c r="C8" s="58" t="n">
        <f aca="false">B8/B$22*B$24</f>
        <v>0.578285714285714</v>
      </c>
      <c r="D8" s="57" t="s">
        <v>434</v>
      </c>
      <c r="E8" s="59" t="n">
        <f aca="false">IFERROR(INDEX(Correspondance!$D$2:$D$3000,MATCH(A8,Correspondance!$A$2:$A$3000,0)),0)</f>
        <v>6.5</v>
      </c>
      <c r="F8" s="60" t="n">
        <f aca="false">C8*E8</f>
        <v>3.75885714285714</v>
      </c>
      <c r="G8" s="61"/>
      <c r="I8" s="63"/>
    </row>
    <row r="9" customFormat="false" ht="15.75" hidden="false" customHeight="false" outlineLevel="0" collapsed="false">
      <c r="A9" s="57" t="s">
        <v>1494</v>
      </c>
      <c r="B9" s="57" t="n">
        <v>0.368</v>
      </c>
      <c r="C9" s="58" t="n">
        <f aca="false">B9/B$22*B$24</f>
        <v>0.578285714285714</v>
      </c>
      <c r="D9" s="57" t="s">
        <v>434</v>
      </c>
      <c r="E9" s="59" t="n">
        <f aca="false">IFERROR(INDEX(Correspondance!$D$2:$D$3000,MATCH(A9,Correspondance!$A$2:$A$3000,0)),0)</f>
        <v>10.5</v>
      </c>
      <c r="F9" s="60" t="n">
        <f aca="false">C9*E9</f>
        <v>6.072</v>
      </c>
      <c r="G9" s="61"/>
      <c r="I9" s="63"/>
    </row>
    <row r="10" customFormat="false" ht="15.75" hidden="false" customHeight="false" outlineLevel="0" collapsed="false">
      <c r="A10" s="57" t="s">
        <v>1898</v>
      </c>
      <c r="B10" s="57" t="n">
        <v>0.589</v>
      </c>
      <c r="C10" s="58" t="n">
        <f aca="false">B10/B$22*B$24</f>
        <v>0.925571428571429</v>
      </c>
      <c r="D10" s="57" t="s">
        <v>434</v>
      </c>
      <c r="E10" s="59" t="n">
        <f aca="false">IFERROR(INDEX(Correspondance!$D$2:$D$3000,MATCH(A10,Correspondance!$A$2:$A$3000,0)),0)</f>
        <v>5.5</v>
      </c>
      <c r="F10" s="60" t="n">
        <f aca="false">C10*E10</f>
        <v>5.09064285714286</v>
      </c>
      <c r="G10" s="61"/>
      <c r="I10" s="63"/>
    </row>
    <row r="11" customFormat="false" ht="15.75" hidden="false" customHeight="false" outlineLevel="0" collapsed="false">
      <c r="A11" s="57" t="s">
        <v>1674</v>
      </c>
      <c r="B11" s="57" t="n">
        <v>0.074</v>
      </c>
      <c r="C11" s="58" t="n">
        <f aca="false">B11/B$22*B$24</f>
        <v>0.116285714285714</v>
      </c>
      <c r="D11" s="57" t="s">
        <v>682</v>
      </c>
      <c r="E11" s="59" t="n">
        <f aca="false">IFERROR(INDEX(Correspondance!$D$2:$D$3000,MATCH(A11,Correspondance!$A$2:$A$3000,0)),0)</f>
        <v>2.2</v>
      </c>
      <c r="F11" s="60" t="n">
        <f aca="false">C11*E11</f>
        <v>0.255828571428571</v>
      </c>
      <c r="G11" s="61"/>
      <c r="I11" s="63"/>
    </row>
    <row r="12" customFormat="false" ht="18.75" hidden="false" customHeight="true" outlineLevel="0" collapsed="false">
      <c r="A12" s="57" t="s">
        <v>1926</v>
      </c>
      <c r="B12" s="64"/>
      <c r="C12" s="58" t="n">
        <f aca="false">B12/B$22*B$24</f>
        <v>0</v>
      </c>
      <c r="D12" s="57" t="s">
        <v>434</v>
      </c>
      <c r="E12" s="59" t="n">
        <f aca="false">IFERROR(INDEX(Correspondance!$D$2:$D$3000,MATCH(A12,Correspondance!$A$2:$A$3000,0)),0)</f>
        <v>2</v>
      </c>
      <c r="F12" s="60" t="n">
        <f aca="false">C12*E12</f>
        <v>0</v>
      </c>
      <c r="G12" s="61"/>
      <c r="I12" s="63"/>
    </row>
    <row r="13" customFormat="false" ht="18.75" hidden="false" customHeight="true" outlineLevel="0" collapsed="false">
      <c r="A13" s="57"/>
      <c r="B13" s="64"/>
      <c r="C13" s="58" t="n">
        <f aca="false">B13/B$22*B$24</f>
        <v>0</v>
      </c>
      <c r="D13" s="57"/>
      <c r="E13" s="65" t="n">
        <f aca="false">IFERROR(INDEX(Correspondance!$D$2:$D$3000,MATCH(A13,Correspondance!$A$2:$A$3000,0)),0)</f>
        <v>0</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96.5207571428571</v>
      </c>
      <c r="G19" s="61"/>
      <c r="I19" s="63"/>
    </row>
    <row r="20" customFormat="false" ht="18.75" hidden="false" customHeight="true" outlineLevel="0" collapsed="false">
      <c r="A20" s="68" t="s">
        <v>2628</v>
      </c>
      <c r="B20" s="69" t="n">
        <f aca="false">F19/B24</f>
        <v>0.877461428571429</v>
      </c>
      <c r="C20" s="70"/>
      <c r="G20" s="61"/>
      <c r="I20" s="63"/>
    </row>
    <row r="21" customFormat="false" ht="15.75" hidden="false" customHeight="false" outlineLevel="0" collapsed="false">
      <c r="A21" s="71" t="s">
        <v>2629</v>
      </c>
      <c r="B21" s="71" t="n">
        <f aca="false">SUM(B3:B18)</f>
        <v>5.6</v>
      </c>
      <c r="C21" s="66"/>
      <c r="G21" s="61"/>
      <c r="I21" s="63"/>
    </row>
    <row r="22" customFormat="false" ht="15.75" hidden="false" customHeight="false" outlineLevel="0" collapsed="false">
      <c r="A22" s="0" t="s">
        <v>2630</v>
      </c>
      <c r="B22" s="72" t="n">
        <f aca="false">B21/B23</f>
        <v>70</v>
      </c>
      <c r="C22" s="66"/>
      <c r="G22" s="61"/>
      <c r="I22" s="63"/>
    </row>
    <row r="23" customFormat="false" ht="15.75" hidden="false" customHeight="false" outlineLevel="0" collapsed="false">
      <c r="A23" s="0" t="s">
        <v>2631</v>
      </c>
      <c r="B23" s="0" t="n">
        <v>0.08</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83</v>
      </c>
      <c r="B1" s="50"/>
      <c r="C1" s="50"/>
      <c r="D1" s="50"/>
      <c r="E1" s="51" t="s">
        <v>2619</v>
      </c>
      <c r="F1" s="51"/>
      <c r="G1" s="52" t="s">
        <v>2728</v>
      </c>
    </row>
    <row r="2" customFormat="false" ht="24.75" hidden="false" customHeight="true" outlineLevel="0" collapsed="false">
      <c r="A2" s="50"/>
      <c r="B2" s="50"/>
      <c r="C2" s="50"/>
      <c r="D2" s="50"/>
      <c r="E2" s="53" t="s">
        <v>2621</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604</v>
      </c>
      <c r="B4" s="57" t="n">
        <v>4.04</v>
      </c>
      <c r="C4" s="58" t="n">
        <f aca="false">B4/B$22*B$24</f>
        <v>6.34970530451867</v>
      </c>
      <c r="D4" s="57" t="s">
        <v>434</v>
      </c>
      <c r="E4" s="59" t="n">
        <f aca="false">IFERROR(INDEX(Correspondance!$D$2:$D$3000,MATCH(A4,Correspondance!$A$2:$A$3000,0)),0)</f>
        <v>10</v>
      </c>
      <c r="F4" s="60" t="n">
        <f aca="false">C4*E4</f>
        <v>63.4970530451867</v>
      </c>
      <c r="G4" s="61" t="s">
        <v>2729</v>
      </c>
    </row>
    <row r="5" customFormat="false" ht="15.75" hidden="false" customHeight="false" outlineLevel="0" collapsed="false">
      <c r="A5" s="57" t="s">
        <v>1567</v>
      </c>
      <c r="B5" s="57" t="n">
        <v>0.404</v>
      </c>
      <c r="C5" s="58" t="n">
        <f aca="false">B5/B$22*B$24</f>
        <v>0.634970530451867</v>
      </c>
      <c r="D5" s="57" t="s">
        <v>434</v>
      </c>
      <c r="E5" s="59" t="n">
        <f aca="false">IFERROR(INDEX(Correspondance!$D$2:$D$3000,MATCH(A5,Correspondance!$A$2:$A$3000,0)),0)</f>
        <v>6.5</v>
      </c>
      <c r="F5" s="60" t="n">
        <f aca="false">C5*E5</f>
        <v>4.12730844793713</v>
      </c>
      <c r="G5" s="61"/>
      <c r="I5" s="62"/>
    </row>
    <row r="6" customFormat="false" ht="15.75" hidden="false" customHeight="false" outlineLevel="0" collapsed="false">
      <c r="A6" s="57" t="s">
        <v>1898</v>
      </c>
      <c r="B6" s="57" t="n">
        <v>0.808</v>
      </c>
      <c r="C6" s="58" t="n">
        <f aca="false">B6/B$22*B$24</f>
        <v>1.26994106090373</v>
      </c>
      <c r="D6" s="57" t="s">
        <v>434</v>
      </c>
      <c r="E6" s="59" t="n">
        <f aca="false">IFERROR(INDEX(Correspondance!$D$2:$D$3000,MATCH(A6,Correspondance!$A$2:$A$3000,0)),0)</f>
        <v>5.5</v>
      </c>
      <c r="F6" s="60" t="n">
        <f aca="false">C6*E6</f>
        <v>6.98467583497053</v>
      </c>
      <c r="G6" s="61"/>
      <c r="I6" s="63"/>
    </row>
    <row r="7" customFormat="false" ht="15.75" hidden="false" customHeight="false" outlineLevel="0" collapsed="false">
      <c r="A7" s="57" t="s">
        <v>1726</v>
      </c>
      <c r="B7" s="57" t="n">
        <v>0.242</v>
      </c>
      <c r="C7" s="58" t="n">
        <f aca="false">B7/B$22*B$24</f>
        <v>0.380353634577603</v>
      </c>
      <c r="D7" s="57" t="s">
        <v>434</v>
      </c>
      <c r="E7" s="59" t="n">
        <f aca="false">IFERROR(INDEX(Correspondance!$D$2:$D$3000,MATCH(A7,Correspondance!$A$2:$A$3000,0)),0)</f>
        <v>12</v>
      </c>
      <c r="F7" s="60" t="n">
        <f aca="false">C7*E7</f>
        <v>4.56424361493124</v>
      </c>
      <c r="G7" s="61"/>
      <c r="I7" s="63"/>
    </row>
    <row r="8" customFormat="false" ht="15.75" hidden="false" customHeight="false" outlineLevel="0" collapsed="false">
      <c r="A8" s="57" t="s">
        <v>1131</v>
      </c>
      <c r="B8" s="57" t="n">
        <v>0.081</v>
      </c>
      <c r="C8" s="58" t="n">
        <f aca="false">B8/B$22*B$24</f>
        <v>0.127308447937132</v>
      </c>
      <c r="D8" s="57" t="s">
        <v>682</v>
      </c>
      <c r="E8" s="59" t="n">
        <f aca="false">IFERROR(INDEX(Correspondance!$D$2:$D$3000,MATCH(A8,Correspondance!$A$2:$A$3000,0)),0)</f>
        <v>2.2</v>
      </c>
      <c r="F8" s="60" t="n">
        <f aca="false">C8*E8</f>
        <v>0.28007858546169</v>
      </c>
      <c r="G8" s="61"/>
      <c r="I8" s="63"/>
    </row>
    <row r="9" customFormat="false" ht="15.75" hidden="false" customHeight="false" outlineLevel="0" collapsed="false">
      <c r="A9" s="57" t="s">
        <v>1978</v>
      </c>
      <c r="B9" s="57" t="n">
        <v>0.024</v>
      </c>
      <c r="C9" s="58" t="n">
        <f aca="false">B9/B$22*B$24</f>
        <v>0.037721021611002</v>
      </c>
      <c r="D9" s="57" t="s">
        <v>682</v>
      </c>
      <c r="E9" s="59" t="n">
        <f aca="false">IFERROR(INDEX(Correspondance!$D$2:$D$3000,MATCH(A9,Correspondance!$A$2:$A$3000,0)),0)</f>
        <v>1.5</v>
      </c>
      <c r="F9" s="60" t="n">
        <f aca="false">C9*E9</f>
        <v>0.056581532416503</v>
      </c>
      <c r="G9" s="61"/>
      <c r="I9" s="63"/>
    </row>
    <row r="10" customFormat="false" ht="15.75" hidden="false" customHeight="false" outlineLevel="0" collapsed="false">
      <c r="A10" s="57" t="s">
        <v>1926</v>
      </c>
      <c r="B10" s="57"/>
      <c r="C10" s="58" t="n">
        <f aca="false">B10/B$22*B$24</f>
        <v>0</v>
      </c>
      <c r="D10" s="57" t="s">
        <v>434</v>
      </c>
      <c r="E10" s="59" t="n">
        <f aca="false">IFERROR(INDEX(Correspondance!$D$2:$D$3000,MATCH(A10,Correspondance!$A$2:$A$3000,0)),0)</f>
        <v>2</v>
      </c>
      <c r="F10" s="60" t="n">
        <f aca="false">C10*E10</f>
        <v>0</v>
      </c>
      <c r="G10" s="61"/>
      <c r="I10" s="63"/>
    </row>
    <row r="11" customFormat="false" ht="15.75" hidden="false" customHeight="false" outlineLevel="0" collapsed="false">
      <c r="A11" s="57"/>
      <c r="B11" s="57"/>
      <c r="C11" s="58" t="n">
        <f aca="false">B11/B$22*B$24</f>
        <v>0</v>
      </c>
      <c r="D11" s="57"/>
      <c r="E11" s="65" t="n">
        <f aca="false">IFERROR(INDEX(Correspondance!$D$2:$D$3000,MATCH(A11,Correspondance!$A$2:$A$3000,0)),0)</f>
        <v>0</v>
      </c>
      <c r="F11" s="60" t="n">
        <f aca="false">C11*E11</f>
        <v>0</v>
      </c>
      <c r="G11" s="61"/>
      <c r="I11" s="63"/>
    </row>
    <row r="12" customFormat="false" ht="18.75" hidden="false" customHeight="true" outlineLevel="0" collapsed="false">
      <c r="A12" s="57"/>
      <c r="B12" s="64"/>
      <c r="C12" s="58" t="n">
        <f aca="false">B12/B$22*B$24</f>
        <v>0</v>
      </c>
      <c r="D12" s="57"/>
      <c r="E12" s="65" t="n">
        <f aca="false">IFERROR(INDEX(Correspondance!$D$2:$D$3000,MATCH(A12,Correspondance!$A$2:$A$3000,0)),0)</f>
        <v>0</v>
      </c>
      <c r="F12" s="60" t="n">
        <f aca="false">C12*E12</f>
        <v>0</v>
      </c>
      <c r="G12" s="61"/>
      <c r="I12" s="63"/>
    </row>
    <row r="13" customFormat="false" ht="18.75" hidden="false" customHeight="true" outlineLevel="0" collapsed="false">
      <c r="A13" s="57"/>
      <c r="B13" s="64"/>
      <c r="C13" s="58" t="n">
        <f aca="false">B13/B$22*B$24</f>
        <v>0</v>
      </c>
      <c r="D13" s="57"/>
      <c r="E13" s="65" t="n">
        <f aca="false">IFERROR(INDEX(Correspondance!$D$2:$D$3000,MATCH(A13,Correspondance!$A$2:$A$3000,0)),0)</f>
        <v>0</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79.5099410609037</v>
      </c>
      <c r="G19" s="61"/>
      <c r="I19" s="63"/>
    </row>
    <row r="20" customFormat="false" ht="18.75" hidden="false" customHeight="true" outlineLevel="0" collapsed="false">
      <c r="A20" s="68" t="s">
        <v>2628</v>
      </c>
      <c r="B20" s="69" t="n">
        <f aca="false">F19/B24</f>
        <v>0.722817646008216</v>
      </c>
      <c r="C20" s="70"/>
      <c r="G20" s="61"/>
      <c r="I20" s="63"/>
    </row>
    <row r="21" customFormat="false" ht="15.75" hidden="false" customHeight="false" outlineLevel="0" collapsed="false">
      <c r="A21" s="71" t="s">
        <v>2629</v>
      </c>
      <c r="B21" s="71" t="n">
        <f aca="false">SUM(B3:B18)</f>
        <v>5.599</v>
      </c>
      <c r="C21" s="66"/>
      <c r="G21" s="61"/>
      <c r="I21" s="63"/>
    </row>
    <row r="22" customFormat="false" ht="15.75" hidden="false" customHeight="false" outlineLevel="0" collapsed="false">
      <c r="A22" s="0" t="s">
        <v>2630</v>
      </c>
      <c r="B22" s="72" t="n">
        <f aca="false">B21/B23</f>
        <v>69.9875</v>
      </c>
      <c r="C22" s="66"/>
      <c r="G22" s="61"/>
      <c r="I22" s="63"/>
    </row>
    <row r="23" customFormat="false" ht="15.75" hidden="false" customHeight="false" outlineLevel="0" collapsed="false">
      <c r="A23" s="0" t="s">
        <v>2631</v>
      </c>
      <c r="B23" s="0" t="n">
        <v>0.08</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84</v>
      </c>
      <c r="B1" s="50"/>
      <c r="C1" s="50"/>
      <c r="D1" s="50"/>
      <c r="E1" s="51" t="s">
        <v>2619</v>
      </c>
      <c r="F1" s="51"/>
      <c r="G1" s="52" t="s">
        <v>2730</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1583</v>
      </c>
      <c r="B4" s="57" t="n">
        <v>2.79</v>
      </c>
      <c r="C4" s="58" t="n">
        <f aca="false">B4/B$22*B$24</f>
        <v>4.3794731064764</v>
      </c>
      <c r="D4" s="57" t="s">
        <v>434</v>
      </c>
      <c r="E4" s="59" t="n">
        <f aca="false">IFERROR(INDEX(Correspondance!$D$2:$D$3000,MATCH(A4,Correspondance!$A$2:$A$3000,0)),0)</f>
        <v>6</v>
      </c>
      <c r="F4" s="60" t="n">
        <f aca="false">C4*E4</f>
        <v>26.2768386388584</v>
      </c>
      <c r="G4" s="61" t="s">
        <v>2731</v>
      </c>
    </row>
    <row r="5" customFormat="false" ht="15.75" hidden="false" customHeight="false" outlineLevel="0" collapsed="false">
      <c r="A5" s="57" t="s">
        <v>1680</v>
      </c>
      <c r="B5" s="57" t="n">
        <v>2.1</v>
      </c>
      <c r="C5" s="58" t="n">
        <f aca="false">B5/B$22*B$24</f>
        <v>3.29637760702525</v>
      </c>
      <c r="D5" s="57" t="s">
        <v>434</v>
      </c>
      <c r="E5" s="59" t="n">
        <f aca="false">IFERROR(INDEX(Correspondance!$D$2:$D$3000,MATCH(A5,Correspondance!$A$2:$A$3000,0)),0)</f>
        <v>9.5</v>
      </c>
      <c r="F5" s="60" t="n">
        <f aca="false">C5*E5</f>
        <v>31.3155872667399</v>
      </c>
      <c r="G5" s="61"/>
      <c r="I5" s="62"/>
    </row>
    <row r="6" customFormat="false" ht="15.75" hidden="false" customHeight="false" outlineLevel="0" collapsed="false">
      <c r="A6" s="57" t="s">
        <v>706</v>
      </c>
      <c r="B6" s="57" t="n">
        <v>1.4</v>
      </c>
      <c r="C6" s="58" t="n">
        <f aca="false">B6/B$22*B$24</f>
        <v>2.19758507135016</v>
      </c>
      <c r="D6" s="57" t="s">
        <v>434</v>
      </c>
      <c r="E6" s="59" t="n">
        <f aca="false">IFERROR(INDEX(Correspondance!$D$2:$D$3000,MATCH(A6,Correspondance!$A$2:$A$3000,0)),0)</f>
        <v>7.5</v>
      </c>
      <c r="F6" s="60" t="n">
        <f aca="false">C6*E6</f>
        <v>16.4818880351262</v>
      </c>
      <c r="G6" s="61"/>
      <c r="I6" s="63"/>
    </row>
    <row r="7" customFormat="false" ht="15.75" hidden="false" customHeight="false" outlineLevel="0" collapsed="false">
      <c r="A7" s="57" t="s">
        <v>1692</v>
      </c>
      <c r="B7" s="57" t="n">
        <v>2.1</v>
      </c>
      <c r="C7" s="58" t="n">
        <f aca="false">B7/B$22*B$24</f>
        <v>3.29637760702525</v>
      </c>
      <c r="D7" s="57" t="s">
        <v>682</v>
      </c>
      <c r="E7" s="59" t="n">
        <f aca="false">IFERROR(INDEX(Correspondance!$D$2:$D$3000,MATCH(A7,Correspondance!$A$2:$A$3000,0)),0)</f>
        <v>2.4</v>
      </c>
      <c r="F7" s="60" t="n">
        <f aca="false">C7*E7</f>
        <v>7.9113062568606</v>
      </c>
      <c r="G7" s="61"/>
      <c r="I7" s="63"/>
    </row>
    <row r="8" customFormat="false" ht="15.75" hidden="false" customHeight="false" outlineLevel="0" collapsed="false">
      <c r="A8" s="57" t="s">
        <v>1491</v>
      </c>
      <c r="B8" s="57" t="n">
        <v>0.175</v>
      </c>
      <c r="C8" s="58" t="n">
        <f aca="false">B8/B$22*B$24</f>
        <v>0.274698133918771</v>
      </c>
      <c r="D8" s="57" t="s">
        <v>434</v>
      </c>
      <c r="E8" s="59" t="n">
        <f aca="false">IFERROR(INDEX(Correspondance!$D$2:$D$3000,MATCH(A8,Correspondance!$A$2:$A$3000,0)),0)</f>
        <v>9</v>
      </c>
      <c r="F8" s="60" t="n">
        <f aca="false">C8*E8</f>
        <v>2.47228320526894</v>
      </c>
      <c r="G8" s="61"/>
      <c r="I8" s="63"/>
    </row>
    <row r="9" customFormat="false" ht="15.75" hidden="false" customHeight="false" outlineLevel="0" collapsed="false">
      <c r="A9" s="57" t="s">
        <v>1616</v>
      </c>
      <c r="B9" s="57" t="n">
        <v>0.175</v>
      </c>
      <c r="C9" s="58" t="n">
        <f aca="false">B9/B$22*B$24</f>
        <v>0.274698133918771</v>
      </c>
      <c r="D9" s="57" t="s">
        <v>434</v>
      </c>
      <c r="E9" s="59" t="n">
        <f aca="false">IFERROR(INDEX(Correspondance!$D$2:$D$3000,MATCH(A9,Correspondance!$A$2:$A$3000,0)),0)</f>
        <v>0.85</v>
      </c>
      <c r="F9" s="60" t="n">
        <f aca="false">C9*E9</f>
        <v>0.233493413830955</v>
      </c>
      <c r="G9" s="61"/>
      <c r="I9" s="63"/>
    </row>
    <row r="10" customFormat="false" ht="15.75" hidden="false" customHeight="false" outlineLevel="0" collapsed="false">
      <c r="A10" s="57" t="s">
        <v>1919</v>
      </c>
      <c r="B10" s="57" t="n">
        <v>0.021</v>
      </c>
      <c r="C10" s="58" t="n">
        <f aca="false">B10/B$22*B$24</f>
        <v>0.0329637760702525</v>
      </c>
      <c r="D10" s="57" t="s">
        <v>434</v>
      </c>
      <c r="E10" s="59" t="n">
        <f aca="false">IFERROR(INDEX(Correspondance!$D$2:$D$3000,MATCH(A10,Correspondance!$A$2:$A$3000,0)),0)</f>
        <v>2</v>
      </c>
      <c r="F10" s="60" t="n">
        <f aca="false">C10*E10</f>
        <v>0.0659275521405049</v>
      </c>
      <c r="G10" s="61"/>
      <c r="I10" s="63"/>
    </row>
    <row r="11" customFormat="false" ht="15.75" hidden="false" customHeight="false" outlineLevel="0" collapsed="false">
      <c r="A11" s="57" t="s">
        <v>1731</v>
      </c>
      <c r="B11" s="57"/>
      <c r="C11" s="58" t="n">
        <f aca="false">B11/B$22*B$24</f>
        <v>0</v>
      </c>
      <c r="D11" s="57" t="s">
        <v>434</v>
      </c>
      <c r="E11" s="59" t="n">
        <f aca="false">IFERROR(INDEX(Correspondance!$D$2:$D$3000,MATCH(A11,Correspondance!$A$2:$A$3000,0)),0)</f>
        <v>30</v>
      </c>
      <c r="F11" s="60" t="n">
        <f aca="false">C11*E11</f>
        <v>0</v>
      </c>
      <c r="G11" s="61"/>
      <c r="I11" s="63"/>
    </row>
    <row r="12" customFormat="false" ht="18.75" hidden="false" customHeight="true" outlineLevel="0" collapsed="false">
      <c r="A12" s="57" t="s">
        <v>1576</v>
      </c>
      <c r="B12" s="64" t="n">
        <v>0.349</v>
      </c>
      <c r="C12" s="58" t="n">
        <f aca="false">B12/B$22*B$24</f>
        <v>0.547826564215148</v>
      </c>
      <c r="D12" s="57" t="s">
        <v>434</v>
      </c>
      <c r="E12" s="59" t="n">
        <f aca="false">IFERROR(INDEX(Correspondance!$D$2:$D$3000,MATCH(A12,Correspondance!$A$2:$A$3000,0)),0)</f>
        <v>5.5</v>
      </c>
      <c r="F12" s="60" t="n">
        <f aca="false">C12*E12</f>
        <v>3.01304610318332</v>
      </c>
      <c r="G12" s="61"/>
      <c r="I12" s="63"/>
    </row>
    <row r="13" customFormat="false" ht="18.75" hidden="false" customHeight="true" outlineLevel="0" collapsed="false">
      <c r="A13" s="57"/>
      <c r="B13" s="64"/>
      <c r="C13" s="58" t="n">
        <f aca="false">B13/B$22*B$24</f>
        <v>0</v>
      </c>
      <c r="D13" s="57"/>
      <c r="E13" s="65" t="n">
        <f aca="false">IFERROR(INDEX(Correspondance!$D$2:$D$3000,MATCH(A13,Correspondance!$A$2:$A$3000,0)),0)</f>
        <v>0</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87.7703704720088</v>
      </c>
      <c r="G19" s="61"/>
      <c r="I19" s="63"/>
    </row>
    <row r="20" customFormat="false" ht="18.75" hidden="false" customHeight="true" outlineLevel="0" collapsed="false">
      <c r="A20" s="68" t="s">
        <v>2628</v>
      </c>
      <c r="B20" s="69" t="n">
        <f aca="false">F19/B24</f>
        <v>0.797912458836444</v>
      </c>
      <c r="C20" s="70"/>
      <c r="G20" s="61"/>
      <c r="I20" s="63"/>
    </row>
    <row r="21" customFormat="false" ht="15.75" hidden="false" customHeight="false" outlineLevel="0" collapsed="false">
      <c r="A21" s="71" t="s">
        <v>2629</v>
      </c>
      <c r="B21" s="71" t="n">
        <f aca="false">SUM(B3:B18)</f>
        <v>9.11</v>
      </c>
      <c r="C21" s="66"/>
      <c r="G21" s="61"/>
      <c r="I21" s="63"/>
    </row>
    <row r="22" customFormat="false" ht="15.75" hidden="false" customHeight="false" outlineLevel="0" collapsed="false">
      <c r="A22" s="0" t="s">
        <v>2630</v>
      </c>
      <c r="B22" s="72" t="n">
        <f aca="false">B21/B23</f>
        <v>70.0769230769231</v>
      </c>
      <c r="C22" s="66"/>
      <c r="G22" s="61"/>
      <c r="I22" s="63"/>
    </row>
    <row r="23" customFormat="false" ht="15.75" hidden="false" customHeight="false" outlineLevel="0" collapsed="false">
      <c r="A23" s="0" t="s">
        <v>2631</v>
      </c>
      <c r="B23" s="0" t="n">
        <v>0.13</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85</v>
      </c>
      <c r="B1" s="50"/>
      <c r="C1" s="50"/>
      <c r="D1" s="50"/>
      <c r="E1" s="51" t="s">
        <v>2619</v>
      </c>
      <c r="F1" s="51"/>
      <c r="G1" s="52" t="s">
        <v>2645</v>
      </c>
    </row>
    <row r="2" customFormat="false" ht="24.75" hidden="false" customHeight="true" outlineLevel="0" collapsed="false">
      <c r="A2" s="50"/>
      <c r="B2" s="50"/>
      <c r="C2" s="50"/>
      <c r="D2" s="50"/>
      <c r="E2" s="53" t="s">
        <v>2621</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808</v>
      </c>
      <c r="B4" s="57" t="n">
        <v>5.52</v>
      </c>
      <c r="C4" s="58" t="n">
        <f aca="false">B4/B$22*B$24</f>
        <v>8.67676478993998</v>
      </c>
      <c r="D4" s="57" t="s">
        <v>434</v>
      </c>
      <c r="E4" s="59" t="n">
        <f aca="false">IFERROR(INDEX(Correspondance!$D$2:$D$3000,MATCH(A4,Correspondance!$A$2:$A$3000,0)),0)</f>
        <v>2</v>
      </c>
      <c r="F4" s="60" t="n">
        <f aca="false">C4*E4</f>
        <v>17.35352957988</v>
      </c>
      <c r="G4" s="61" t="s">
        <v>2732</v>
      </c>
    </row>
    <row r="5" customFormat="false" ht="15.75" hidden="false" customHeight="false" outlineLevel="0" collapsed="false">
      <c r="A5" s="57" t="s">
        <v>1640</v>
      </c>
      <c r="B5" s="57" t="n">
        <v>1.03</v>
      </c>
      <c r="C5" s="58" t="n">
        <f aca="false">B5/B$22*B$24</f>
        <v>1.61903400971706</v>
      </c>
      <c r="D5" s="57" t="s">
        <v>434</v>
      </c>
      <c r="E5" s="59" t="n">
        <f aca="false">IFERROR(INDEX(Correspondance!$D$2:$D$3000,MATCH(A5,Correspondance!$A$2:$A$3000,0)),0)</f>
        <v>2.8</v>
      </c>
      <c r="F5" s="60" t="n">
        <f aca="false">C5*E5</f>
        <v>4.53329522720777</v>
      </c>
      <c r="G5" s="61"/>
      <c r="I5" s="62"/>
    </row>
    <row r="6" customFormat="false" ht="15.75" hidden="false" customHeight="false" outlineLevel="0" collapsed="false">
      <c r="A6" s="57" t="s">
        <v>1120</v>
      </c>
      <c r="B6" s="57" t="n">
        <v>0.207</v>
      </c>
      <c r="C6" s="58" t="n">
        <f aca="false">B6/B$22*B$24</f>
        <v>0.325378679622749</v>
      </c>
      <c r="D6" s="57" t="s">
        <v>682</v>
      </c>
      <c r="E6" s="59" t="n">
        <f aca="false">IFERROR(INDEX(Correspondance!$D$2:$D$3000,MATCH(A6,Correspondance!$A$2:$A$3000,0)),0)</f>
        <v>7.5</v>
      </c>
      <c r="F6" s="60" t="n">
        <f aca="false">C6*E6</f>
        <v>2.44034009717062</v>
      </c>
      <c r="G6" s="61"/>
      <c r="I6" s="63"/>
    </row>
    <row r="7" customFormat="false" ht="15.75" hidden="false" customHeight="false" outlineLevel="0" collapsed="false">
      <c r="A7" s="57" t="s">
        <v>1291</v>
      </c>
      <c r="B7" s="57" t="n">
        <v>0.103</v>
      </c>
      <c r="C7" s="58" t="n">
        <f aca="false">B7/B$22*B$24</f>
        <v>0.161903400971706</v>
      </c>
      <c r="D7" s="57" t="s">
        <v>682</v>
      </c>
      <c r="E7" s="59" t="n">
        <f aca="false">IFERROR(INDEX(Correspondance!$D$2:$D$3000,MATCH(A7,Correspondance!$A$2:$A$3000,0)),0)</f>
        <v>2.5</v>
      </c>
      <c r="F7" s="60" t="n">
        <f aca="false">C7*E7</f>
        <v>0.404758502429266</v>
      </c>
      <c r="G7" s="61"/>
      <c r="I7" s="63"/>
    </row>
    <row r="8" customFormat="false" ht="15.75" hidden="false" customHeight="false" outlineLevel="0" collapsed="false">
      <c r="A8" s="57" t="s">
        <v>1725</v>
      </c>
      <c r="B8" s="57" t="n">
        <v>0.055</v>
      </c>
      <c r="C8" s="58" t="n">
        <f aca="false">B8/B$22*B$24</f>
        <v>0.0864532723635325</v>
      </c>
      <c r="D8" s="57" t="s">
        <v>434</v>
      </c>
      <c r="E8" s="59" t="n">
        <f aca="false">IFERROR(INDEX(Correspondance!$D$2:$D$3000,MATCH(A8,Correspondance!$A$2:$A$3000,0)),0)</f>
        <v>9</v>
      </c>
      <c r="F8" s="60" t="n">
        <f aca="false">C8*E8</f>
        <v>0.778079451271792</v>
      </c>
      <c r="G8" s="61"/>
      <c r="I8" s="63"/>
    </row>
    <row r="9" customFormat="false" ht="15.75" hidden="false" customHeight="false" outlineLevel="0" collapsed="false">
      <c r="A9" s="57" t="s">
        <v>894</v>
      </c>
      <c r="B9" s="57" t="n">
        <v>0.014</v>
      </c>
      <c r="C9" s="58" t="n">
        <f aca="false">B9/B$22*B$24</f>
        <v>0.0220062875107174</v>
      </c>
      <c r="D9" s="57" t="s">
        <v>434</v>
      </c>
      <c r="E9" s="59" t="n">
        <f aca="false">IFERROR(INDEX(Correspondance!$D$2:$D$3000,MATCH(A9,Correspondance!$A$2:$A$3000,0)),0)</f>
        <v>5.5</v>
      </c>
      <c r="F9" s="60" t="n">
        <f aca="false">C9*E9</f>
        <v>0.121034581308945</v>
      </c>
      <c r="G9" s="61"/>
      <c r="I9" s="63"/>
    </row>
    <row r="10" customFormat="false" ht="15.75" hidden="false" customHeight="false" outlineLevel="0" collapsed="false">
      <c r="A10" s="57" t="s">
        <v>1718</v>
      </c>
      <c r="B10" s="57" t="n">
        <v>0.021</v>
      </c>
      <c r="C10" s="58" t="n">
        <f aca="false">B10/B$22*B$24</f>
        <v>0.033009431266076</v>
      </c>
      <c r="D10" s="57" t="s">
        <v>434</v>
      </c>
      <c r="E10" s="59" t="n">
        <f aca="false">IFERROR(INDEX(Correspondance!$D$2:$D$3000,MATCH(A10,Correspondance!$A$2:$A$3000,0)),0)</f>
        <v>13</v>
      </c>
      <c r="F10" s="60" t="n">
        <f aca="false">C10*E10</f>
        <v>0.429122606458988</v>
      </c>
      <c r="G10" s="61"/>
      <c r="I10" s="63"/>
    </row>
    <row r="11" customFormat="false" ht="15.75" hidden="false" customHeight="false" outlineLevel="0" collapsed="false">
      <c r="A11" s="57" t="s">
        <v>1919</v>
      </c>
      <c r="B11" s="57" t="n">
        <v>0.048</v>
      </c>
      <c r="C11" s="58" t="n">
        <f aca="false">B11/B$22*B$24</f>
        <v>0.0754501286081738</v>
      </c>
      <c r="D11" s="57" t="s">
        <v>434</v>
      </c>
      <c r="E11" s="59" t="n">
        <f aca="false">IFERROR(INDEX(Correspondance!$D$2:$D$3000,MATCH(A11,Correspondance!$A$2:$A$3000,0)),0)</f>
        <v>2</v>
      </c>
      <c r="F11" s="60" t="n">
        <f aca="false">C11*E11</f>
        <v>0.150900257216348</v>
      </c>
      <c r="G11" s="61"/>
      <c r="I11" s="63"/>
    </row>
    <row r="12" customFormat="false" ht="18.75" hidden="false" customHeight="true" outlineLevel="0" collapsed="false">
      <c r="A12" s="57" t="s">
        <v>1814</v>
      </c>
      <c r="B12" s="64"/>
      <c r="C12" s="58" t="n">
        <f aca="false">B12/B$22*B$24</f>
        <v>0</v>
      </c>
      <c r="D12" s="57" t="s">
        <v>434</v>
      </c>
      <c r="E12" s="59" t="n">
        <f aca="false">IFERROR(INDEX(Correspondance!$D$2:$D$3000,MATCH(A12,Correspondance!$A$2:$A$3000,0)),0)</f>
        <v>18</v>
      </c>
      <c r="F12" s="60" t="n">
        <f aca="false">C12*E12</f>
        <v>0</v>
      </c>
      <c r="G12" s="61"/>
      <c r="I12" s="63"/>
    </row>
    <row r="13" customFormat="false" ht="18.75" hidden="false" customHeight="true" outlineLevel="0" collapsed="false">
      <c r="A13" s="57"/>
      <c r="B13" s="64"/>
      <c r="C13" s="58" t="n">
        <f aca="false">B13/B$22*B$24</f>
        <v>0</v>
      </c>
      <c r="D13" s="57"/>
      <c r="E13" s="65" t="n">
        <f aca="false">IFERROR(INDEX(Correspondance!$D$2:$D$3000,MATCH(A13,Correspondance!$A$2:$A$3000,0)),0)</f>
        <v>0</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26.2110603029437</v>
      </c>
      <c r="G19" s="61"/>
      <c r="I19" s="63"/>
    </row>
    <row r="20" customFormat="false" ht="18.75" hidden="false" customHeight="true" outlineLevel="0" collapsed="false">
      <c r="A20" s="68" t="s">
        <v>2628</v>
      </c>
      <c r="B20" s="69" t="n">
        <f aca="false">F19/B24</f>
        <v>0.238282366390397</v>
      </c>
      <c r="C20" s="70"/>
      <c r="G20" s="61"/>
      <c r="I20" s="63"/>
    </row>
    <row r="21" customFormat="false" ht="15.75" hidden="false" customHeight="false" outlineLevel="0" collapsed="false">
      <c r="A21" s="71" t="s">
        <v>2629</v>
      </c>
      <c r="B21" s="71" t="n">
        <f aca="false">SUM(B3:B18)</f>
        <v>6.998</v>
      </c>
      <c r="C21" s="66"/>
      <c r="G21" s="61"/>
      <c r="I21" s="63"/>
    </row>
    <row r="22" customFormat="false" ht="15.75" hidden="false" customHeight="false" outlineLevel="0" collapsed="false">
      <c r="A22" s="0" t="s">
        <v>2630</v>
      </c>
      <c r="B22" s="72" t="n">
        <f aca="false">B21/B23</f>
        <v>69.98</v>
      </c>
      <c r="C22" s="66"/>
      <c r="G22" s="61"/>
      <c r="I22" s="63"/>
    </row>
    <row r="23" customFormat="false" ht="15.75" hidden="false" customHeight="false" outlineLevel="0" collapsed="false">
      <c r="A23" s="0" t="s">
        <v>2631</v>
      </c>
      <c r="B23" s="0" t="n">
        <v>0.1</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86</v>
      </c>
      <c r="B1" s="50"/>
      <c r="C1" s="50"/>
      <c r="D1" s="50"/>
      <c r="E1" s="51" t="s">
        <v>2619</v>
      </c>
      <c r="F1" s="51"/>
      <c r="G1" s="52" t="s">
        <v>2733</v>
      </c>
    </row>
    <row r="2" customFormat="false" ht="24.75" hidden="false" customHeight="true" outlineLevel="0" collapsed="false">
      <c r="A2" s="50"/>
      <c r="B2" s="50"/>
      <c r="C2" s="50"/>
      <c r="D2" s="50"/>
      <c r="E2" s="53" t="s">
        <v>2621</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1900</v>
      </c>
      <c r="B4" s="57" t="n">
        <v>4.02</v>
      </c>
      <c r="C4" s="58" t="n">
        <f aca="false">B4/B$22*B$24</f>
        <v>6.31714285714286</v>
      </c>
      <c r="D4" s="57" t="s">
        <v>434</v>
      </c>
      <c r="E4" s="59" t="n">
        <f aca="false">IFERROR(INDEX(Correspondance!$D$2:$D$3000,MATCH(A4,Correspondance!$A$2:$A$3000,0)),0)</f>
        <v>9</v>
      </c>
      <c r="F4" s="60" t="n">
        <f aca="false">C4*E4</f>
        <v>56.8542857142857</v>
      </c>
      <c r="G4" s="61" t="s">
        <v>2734</v>
      </c>
    </row>
    <row r="5" customFormat="false" ht="15.75" hidden="false" customHeight="false" outlineLevel="0" collapsed="false">
      <c r="A5" s="57" t="s">
        <v>1494</v>
      </c>
      <c r="B5" s="57" t="n">
        <v>0.201</v>
      </c>
      <c r="C5" s="58" t="n">
        <f aca="false">B5/B$22*B$24</f>
        <v>0.315857142857143</v>
      </c>
      <c r="D5" s="57" t="s">
        <v>434</v>
      </c>
      <c r="E5" s="59" t="n">
        <f aca="false">IFERROR(INDEX(Correspondance!$D$2:$D$3000,MATCH(A5,Correspondance!$A$2:$A$3000,0)),0)</f>
        <v>10.5</v>
      </c>
      <c r="F5" s="60" t="n">
        <f aca="false">C5*E5</f>
        <v>3.3165</v>
      </c>
      <c r="G5" s="61"/>
      <c r="I5" s="62"/>
    </row>
    <row r="6" customFormat="false" ht="15.75" hidden="false" customHeight="false" outlineLevel="0" collapsed="false">
      <c r="A6" s="57" t="s">
        <v>1549</v>
      </c>
      <c r="B6" s="57" t="n">
        <v>0.402</v>
      </c>
      <c r="C6" s="58" t="n">
        <f aca="false">B6/B$22*B$24</f>
        <v>0.631714285714286</v>
      </c>
      <c r="D6" s="57" t="s">
        <v>434</v>
      </c>
      <c r="E6" s="59" t="n">
        <f aca="false">IFERROR(INDEX(Correspondance!$D$2:$D$3000,MATCH(A6,Correspondance!$A$2:$A$3000,0)),0)</f>
        <v>2.2</v>
      </c>
      <c r="F6" s="60" t="n">
        <f aca="false">C6*E6</f>
        <v>1.38977142857143</v>
      </c>
      <c r="G6" s="61"/>
      <c r="I6" s="63"/>
    </row>
    <row r="7" customFormat="false" ht="15.75" hidden="false" customHeight="false" outlineLevel="0" collapsed="false">
      <c r="A7" s="57" t="s">
        <v>1898</v>
      </c>
      <c r="B7" s="57" t="n">
        <v>0.322</v>
      </c>
      <c r="C7" s="58" t="n">
        <f aca="false">B7/B$22*B$24</f>
        <v>0.506</v>
      </c>
      <c r="D7" s="57" t="s">
        <v>434</v>
      </c>
      <c r="E7" s="59" t="n">
        <f aca="false">IFERROR(INDEX(Correspondance!$D$2:$D$3000,MATCH(A7,Correspondance!$A$2:$A$3000,0)),0)</f>
        <v>5.5</v>
      </c>
      <c r="F7" s="60" t="n">
        <f aca="false">C7*E7</f>
        <v>2.783</v>
      </c>
      <c r="G7" s="61"/>
      <c r="I7" s="63"/>
    </row>
    <row r="8" customFormat="false" ht="15.75" hidden="false" customHeight="false" outlineLevel="0" collapsed="false">
      <c r="A8" s="57" t="s">
        <v>1960</v>
      </c>
      <c r="B8" s="57" t="n">
        <v>0.603</v>
      </c>
      <c r="C8" s="58" t="n">
        <f aca="false">B8/B$22*B$24</f>
        <v>0.947571428571429</v>
      </c>
      <c r="D8" s="57" t="s">
        <v>434</v>
      </c>
      <c r="E8" s="59" t="n">
        <f aca="false">IFERROR(INDEX(Correspondance!$D$2:$D$3000,MATCH(A8,Correspondance!$A$2:$A$3000,0)),0)</f>
        <v>2.4</v>
      </c>
      <c r="F8" s="60" t="n">
        <f aca="false">C8*E8</f>
        <v>2.27417142857143</v>
      </c>
      <c r="G8" s="61"/>
      <c r="I8" s="63"/>
    </row>
    <row r="9" customFormat="false" ht="15.75" hidden="false" customHeight="false" outlineLevel="0" collapsed="false">
      <c r="A9" s="57" t="s">
        <v>1131</v>
      </c>
      <c r="B9" s="57" t="n">
        <v>0.04</v>
      </c>
      <c r="C9" s="58" t="n">
        <f aca="false">B9/B$22*B$24</f>
        <v>0.0628571428571429</v>
      </c>
      <c r="D9" s="57" t="s">
        <v>682</v>
      </c>
      <c r="E9" s="59" t="n">
        <f aca="false">IFERROR(INDEX(Correspondance!$D$2:$D$3000,MATCH(A9,Correspondance!$A$2:$A$3000,0)),0)</f>
        <v>2.2</v>
      </c>
      <c r="F9" s="60" t="n">
        <f aca="false">C9*E9</f>
        <v>0.138285714285714</v>
      </c>
      <c r="G9" s="61"/>
      <c r="I9" s="63"/>
    </row>
    <row r="10" customFormat="false" ht="15.75" hidden="false" customHeight="false" outlineLevel="0" collapsed="false">
      <c r="A10" s="57" t="s">
        <v>1978</v>
      </c>
      <c r="B10" s="57" t="n">
        <v>0.012</v>
      </c>
      <c r="C10" s="58" t="n">
        <f aca="false">B10/B$22*B$24</f>
        <v>0.0188571428571429</v>
      </c>
      <c r="D10" s="57" t="s">
        <v>682</v>
      </c>
      <c r="E10" s="59" t="n">
        <f aca="false">IFERROR(INDEX(Correspondance!$D$2:$D$3000,MATCH(A10,Correspondance!$A$2:$A$3000,0)),0)</f>
        <v>1.5</v>
      </c>
      <c r="F10" s="60" t="n">
        <f aca="false">C10*E10</f>
        <v>0.0282857142857143</v>
      </c>
      <c r="G10" s="61"/>
      <c r="I10" s="63"/>
    </row>
    <row r="11" customFormat="false" ht="15.75" hidden="false" customHeight="false" outlineLevel="0" collapsed="false">
      <c r="A11" s="57" t="s">
        <v>1775</v>
      </c>
      <c r="B11" s="57"/>
      <c r="C11" s="58" t="n">
        <f aca="false">B11/B$22*B$24</f>
        <v>0</v>
      </c>
      <c r="D11" s="57" t="s">
        <v>434</v>
      </c>
      <c r="E11" s="59" t="n">
        <f aca="false">IFERROR(INDEX(Correspondance!$D$2:$D$3000,MATCH(A11,Correspondance!$A$2:$A$3000,0)),0)</f>
        <v>8</v>
      </c>
      <c r="F11" s="60" t="n">
        <f aca="false">C11*E11</f>
        <v>0</v>
      </c>
      <c r="G11" s="61"/>
      <c r="I11" s="63"/>
    </row>
    <row r="12" customFormat="false" ht="18.75" hidden="false" customHeight="true" outlineLevel="0" collapsed="false">
      <c r="A12" s="57" t="s">
        <v>1926</v>
      </c>
      <c r="B12" s="64"/>
      <c r="C12" s="58" t="n">
        <f aca="false">B12/B$22*B$24</f>
        <v>0</v>
      </c>
      <c r="D12" s="57" t="s">
        <v>434</v>
      </c>
      <c r="E12" s="59" t="n">
        <f aca="false">IFERROR(INDEX(Correspondance!$D$2:$D$3000,MATCH(A12,Correspondance!$A$2:$A$3000,0)),0)</f>
        <v>2</v>
      </c>
      <c r="F12" s="60" t="n">
        <f aca="false">C12*E12</f>
        <v>0</v>
      </c>
      <c r="G12" s="61"/>
      <c r="I12" s="63"/>
    </row>
    <row r="13" customFormat="false" ht="18.75" hidden="false" customHeight="true" outlineLevel="0" collapsed="false">
      <c r="A13" s="57"/>
      <c r="B13" s="64"/>
      <c r="C13" s="58" t="n">
        <f aca="false">B13/B$22*B$24</f>
        <v>0</v>
      </c>
      <c r="D13" s="57"/>
      <c r="E13" s="65" t="n">
        <f aca="false">IFERROR(INDEX(Correspondance!$D$2:$D$3000,MATCH(A13,Correspondance!$A$2:$A$3000,0)),0)</f>
        <v>0</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66.7843</v>
      </c>
      <c r="G19" s="61"/>
      <c r="I19" s="63"/>
    </row>
    <row r="20" customFormat="false" ht="18.75" hidden="false" customHeight="true" outlineLevel="0" collapsed="false">
      <c r="A20" s="68" t="s">
        <v>2628</v>
      </c>
      <c r="B20" s="69" t="n">
        <f aca="false">F19/B24</f>
        <v>0.60713</v>
      </c>
      <c r="C20" s="70"/>
      <c r="G20" s="61"/>
      <c r="I20" s="63"/>
    </row>
    <row r="21" customFormat="false" ht="15.75" hidden="false" customHeight="false" outlineLevel="0" collapsed="false">
      <c r="A21" s="71" t="s">
        <v>2629</v>
      </c>
      <c r="B21" s="71" t="n">
        <f aca="false">SUM(B3:B18)</f>
        <v>5.6</v>
      </c>
      <c r="C21" s="66"/>
      <c r="G21" s="61"/>
      <c r="I21" s="63"/>
    </row>
    <row r="22" customFormat="false" ht="15.75" hidden="false" customHeight="false" outlineLevel="0" collapsed="false">
      <c r="A22" s="0" t="s">
        <v>2630</v>
      </c>
      <c r="B22" s="72" t="n">
        <f aca="false">B21/B23</f>
        <v>70</v>
      </c>
      <c r="C22" s="66"/>
      <c r="G22" s="61"/>
      <c r="I22" s="63"/>
    </row>
    <row r="23" customFormat="false" ht="15.75" hidden="false" customHeight="false" outlineLevel="0" collapsed="false">
      <c r="A23" s="0" t="s">
        <v>2631</v>
      </c>
      <c r="B23" s="0" t="n">
        <v>0.08</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88</v>
      </c>
      <c r="B1" s="50"/>
      <c r="C1" s="50"/>
      <c r="D1" s="50"/>
      <c r="E1" s="51" t="s">
        <v>2619</v>
      </c>
      <c r="F1" s="51"/>
      <c r="G1" s="52" t="s">
        <v>2735</v>
      </c>
    </row>
    <row r="2" customFormat="false" ht="24.75" hidden="false" customHeight="true" outlineLevel="0" collapsed="false">
      <c r="A2" s="50"/>
      <c r="B2" s="50"/>
      <c r="C2" s="50"/>
      <c r="D2" s="50"/>
      <c r="E2" s="53" t="s">
        <v>2692</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1624</v>
      </c>
      <c r="B4" s="57" t="n">
        <v>4.97</v>
      </c>
      <c r="C4" s="58" t="n">
        <f aca="false">B4/B$22*B$24</f>
        <v>7.81223206630466</v>
      </c>
      <c r="D4" s="57" t="s">
        <v>434</v>
      </c>
      <c r="E4" s="59" t="n">
        <f aca="false">IFERROR(INDEX(Correspondance!$D$2:$D$3000,MATCH(A4,Correspondance!$A$2:$A$3000,0)),0)</f>
        <v>7.5</v>
      </c>
      <c r="F4" s="60" t="n">
        <f aca="false">C4*E4</f>
        <v>58.5917404972849</v>
      </c>
      <c r="G4" s="61" t="s">
        <v>2736</v>
      </c>
    </row>
    <row r="5" customFormat="false" ht="15.75" hidden="false" customHeight="false" outlineLevel="0" collapsed="false">
      <c r="A5" s="57" t="s">
        <v>1296</v>
      </c>
      <c r="B5" s="57" t="n">
        <v>0.373</v>
      </c>
      <c r="C5" s="58" t="n">
        <f aca="false">B5/B$22*B$24</f>
        <v>0.586310374392684</v>
      </c>
      <c r="D5" s="57" t="s">
        <v>434</v>
      </c>
      <c r="E5" s="59" t="n">
        <f aca="false">IFERROR(INDEX(Correspondance!$D$2:$D$3000,MATCH(A5,Correspondance!$A$2:$A$3000,0)),0)</f>
        <v>9.5</v>
      </c>
      <c r="F5" s="60" t="n">
        <f aca="false">C5*E5</f>
        <v>5.5699485567305</v>
      </c>
      <c r="G5" s="61"/>
      <c r="I5" s="62"/>
    </row>
    <row r="6" customFormat="false" ht="15.75" hidden="false" customHeight="false" outlineLevel="0" collapsed="false">
      <c r="A6" s="57" t="s">
        <v>1728</v>
      </c>
      <c r="B6" s="57" t="n">
        <v>0.187</v>
      </c>
      <c r="C6" s="58" t="n">
        <f aca="false">B6/B$22*B$24</f>
        <v>0.29394112603601</v>
      </c>
      <c r="D6" s="57" t="s">
        <v>434</v>
      </c>
      <c r="E6" s="59" t="n">
        <f aca="false">IFERROR(INDEX(Correspondance!$D$2:$D$3000,MATCH(A6,Correspondance!$A$2:$A$3000,0)),0)</f>
        <v>9</v>
      </c>
      <c r="F6" s="60" t="n">
        <f aca="false">C6*E6</f>
        <v>2.64547013432409</v>
      </c>
      <c r="G6" s="61"/>
      <c r="I6" s="63"/>
    </row>
    <row r="7" customFormat="false" ht="15.75" hidden="false" customHeight="false" outlineLevel="0" collapsed="false">
      <c r="A7" s="57" t="s">
        <v>1576</v>
      </c>
      <c r="B7" s="57" t="n">
        <v>0.622</v>
      </c>
      <c r="C7" s="58" t="n">
        <f aca="false">B7/B$22*B$24</f>
        <v>0.977707916547585</v>
      </c>
      <c r="D7" s="57" t="s">
        <v>434</v>
      </c>
      <c r="E7" s="59" t="n">
        <f aca="false">IFERROR(INDEX(Correspondance!$D$2:$D$3000,MATCH(A7,Correspondance!$A$2:$A$3000,0)),0)</f>
        <v>5.5</v>
      </c>
      <c r="F7" s="60" t="n">
        <f aca="false">C7*E7</f>
        <v>5.37739354101172</v>
      </c>
      <c r="G7" s="61"/>
      <c r="I7" s="63"/>
    </row>
    <row r="8" customFormat="false" ht="15.75" hidden="false" customHeight="false" outlineLevel="0" collapsed="false">
      <c r="A8" s="57" t="s">
        <v>1973</v>
      </c>
      <c r="B8" s="57" t="n">
        <v>0.249</v>
      </c>
      <c r="C8" s="58" t="n">
        <f aca="false">B8/B$22*B$24</f>
        <v>0.391397542154901</v>
      </c>
      <c r="D8" s="57" t="s">
        <v>682</v>
      </c>
      <c r="E8" s="59" t="n">
        <f aca="false">IFERROR(INDEX(Correspondance!$D$2:$D$3000,MATCH(A8,Correspondance!$A$2:$A$3000,0)),0)</f>
        <v>2</v>
      </c>
      <c r="F8" s="60" t="n">
        <f aca="false">C8*E8</f>
        <v>0.782795084309803</v>
      </c>
      <c r="G8" s="61"/>
      <c r="I8" s="63"/>
    </row>
    <row r="9" customFormat="false" ht="15.75" hidden="false" customHeight="false" outlineLevel="0" collapsed="false">
      <c r="A9" s="57" t="s">
        <v>1987</v>
      </c>
      <c r="B9" s="57" t="n">
        <v>0.187</v>
      </c>
      <c r="C9" s="58" t="n">
        <f aca="false">B9/B$22*B$24</f>
        <v>0.29394112603601</v>
      </c>
      <c r="D9" s="57" t="s">
        <v>434</v>
      </c>
      <c r="E9" s="59" t="n">
        <f aca="false">IFERROR(INDEX(Correspondance!$D$2:$D$3000,MATCH(A9,Correspondance!$A$2:$A$3000,0)),0)</f>
        <v>4.5</v>
      </c>
      <c r="F9" s="60" t="n">
        <f aca="false">C9*E9</f>
        <v>1.32273506716205</v>
      </c>
      <c r="G9" s="61"/>
      <c r="I9" s="63"/>
    </row>
    <row r="10" customFormat="false" ht="15.75" hidden="false" customHeight="false" outlineLevel="0" collapsed="false">
      <c r="A10" s="57" t="s">
        <v>917</v>
      </c>
      <c r="B10" s="57" t="n">
        <v>0.311</v>
      </c>
      <c r="C10" s="58" t="n">
        <f aca="false">B10/B$22*B$24</f>
        <v>0.488853958273793</v>
      </c>
      <c r="D10" s="57" t="s">
        <v>434</v>
      </c>
      <c r="E10" s="59" t="n">
        <f aca="false">IFERROR(INDEX(Correspondance!$D$2:$D$3000,MATCH(A10,Correspondance!$A$2:$A$3000,0)),0)</f>
        <v>1.8</v>
      </c>
      <c r="F10" s="60" t="n">
        <f aca="false">C10*E10</f>
        <v>0.879937124892827</v>
      </c>
      <c r="G10" s="61"/>
      <c r="I10" s="63"/>
    </row>
    <row r="11" customFormat="false" ht="15.75" hidden="false" customHeight="false" outlineLevel="0" collapsed="false">
      <c r="A11" s="57" t="s">
        <v>1291</v>
      </c>
      <c r="B11" s="57" t="n">
        <v>0.062</v>
      </c>
      <c r="C11" s="58" t="n">
        <f aca="false">B11/B$22*B$24</f>
        <v>0.0974564161188911</v>
      </c>
      <c r="D11" s="57" t="s">
        <v>682</v>
      </c>
      <c r="E11" s="59" t="n">
        <f aca="false">IFERROR(INDEX(Correspondance!$D$2:$D$3000,MATCH(A11,Correspondance!$A$2:$A$3000,0)),0)</f>
        <v>2.5</v>
      </c>
      <c r="F11" s="60" t="n">
        <f aca="false">C11*E11</f>
        <v>0.243641040297228</v>
      </c>
      <c r="G11" s="61"/>
      <c r="I11" s="63"/>
    </row>
    <row r="12" customFormat="false" ht="18.75" hidden="false" customHeight="true" outlineLevel="0" collapsed="false">
      <c r="A12" s="57" t="s">
        <v>1919</v>
      </c>
      <c r="B12" s="64" t="n">
        <v>0.037</v>
      </c>
      <c r="C12" s="58" t="n">
        <f aca="false">B12/B$22*B$24</f>
        <v>0.0581594741354673</v>
      </c>
      <c r="D12" s="57" t="s">
        <v>434</v>
      </c>
      <c r="E12" s="59" t="n">
        <f aca="false">IFERROR(INDEX(Correspondance!$D$2:$D$3000,MATCH(A12,Correspondance!$A$2:$A$3000,0)),0)</f>
        <v>2</v>
      </c>
      <c r="F12" s="60" t="n">
        <f aca="false">C12*E12</f>
        <v>0.116318948270935</v>
      </c>
      <c r="G12" s="61"/>
      <c r="I12" s="63"/>
    </row>
    <row r="13" customFormat="false" ht="18.75" hidden="false" customHeight="true" outlineLevel="0" collapsed="false">
      <c r="A13" s="57" t="s">
        <v>1801</v>
      </c>
      <c r="B13" s="64"/>
      <c r="C13" s="58" t="n">
        <f aca="false">B13/B$22*B$24</f>
        <v>0</v>
      </c>
      <c r="D13" s="57" t="s">
        <v>434</v>
      </c>
      <c r="E13" s="59" t="n">
        <f aca="false">IFERROR(INDEX(Correspondance!$D$2:$D$3000,MATCH(A13,Correspondance!$A$2:$A$3000,0)),0)</f>
        <v>18</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75.5299799942841</v>
      </c>
      <c r="G19" s="61"/>
      <c r="I19" s="63"/>
    </row>
    <row r="20" customFormat="false" ht="18.75" hidden="false" customHeight="true" outlineLevel="0" collapsed="false">
      <c r="A20" s="68" t="s">
        <v>2628</v>
      </c>
      <c r="B20" s="69" t="n">
        <f aca="false">F19/B24</f>
        <v>0.686636181766219</v>
      </c>
      <c r="C20" s="70"/>
      <c r="G20" s="61"/>
      <c r="I20" s="63"/>
    </row>
    <row r="21" customFormat="false" ht="15.75" hidden="false" customHeight="false" outlineLevel="0" collapsed="false">
      <c r="A21" s="71" t="s">
        <v>2629</v>
      </c>
      <c r="B21" s="71" t="n">
        <f aca="false">SUM(B3:B18)</f>
        <v>6.998</v>
      </c>
      <c r="C21" s="66"/>
      <c r="G21" s="61"/>
      <c r="I21" s="63"/>
    </row>
    <row r="22" customFormat="false" ht="15.75" hidden="false" customHeight="false" outlineLevel="0" collapsed="false">
      <c r="A22" s="0" t="s">
        <v>2630</v>
      </c>
      <c r="B22" s="72" t="n">
        <f aca="false">B21/B23</f>
        <v>69.98</v>
      </c>
      <c r="C22" s="66"/>
      <c r="G22" s="61"/>
      <c r="I22" s="63"/>
    </row>
    <row r="23" customFormat="false" ht="15.75" hidden="false" customHeight="false" outlineLevel="0" collapsed="false">
      <c r="A23" s="0" t="s">
        <v>2631</v>
      </c>
      <c r="B23" s="0" t="n">
        <v>0.1</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89</v>
      </c>
      <c r="B1" s="50"/>
      <c r="C1" s="50"/>
      <c r="D1" s="50"/>
      <c r="E1" s="51" t="s">
        <v>2619</v>
      </c>
      <c r="F1" s="51"/>
      <c r="G1" s="52" t="s">
        <v>2737</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1859</v>
      </c>
      <c r="B4" s="57" t="n">
        <v>2.38</v>
      </c>
      <c r="C4" s="58" t="n">
        <f aca="false">B4/B$22*B$24</f>
        <v>3.74401144082946</v>
      </c>
      <c r="D4" s="57" t="s">
        <v>434</v>
      </c>
      <c r="E4" s="59" t="n">
        <f aca="false">IFERROR(INDEX(Correspondance!$D$2:$D$3000,MATCH(A4,Correspondance!$A$2:$A$3000,0)),0)</f>
        <v>3.89</v>
      </c>
      <c r="F4" s="60" t="n">
        <f aca="false">C4*E4</f>
        <v>14.5642045048266</v>
      </c>
      <c r="G4" s="61" t="s">
        <v>2738</v>
      </c>
    </row>
    <row r="5" customFormat="false" ht="15.75" hidden="false" customHeight="false" outlineLevel="0" collapsed="false">
      <c r="A5" s="57" t="s">
        <v>1960</v>
      </c>
      <c r="B5" s="57" t="n">
        <v>3.97</v>
      </c>
      <c r="C5" s="58" t="n">
        <f aca="false">B5/B$22*B$24</f>
        <v>6.24526278155166</v>
      </c>
      <c r="D5" s="57" t="s">
        <v>434</v>
      </c>
      <c r="E5" s="59" t="n">
        <f aca="false">IFERROR(INDEX(Correspondance!$D$2:$D$3000,MATCH(A5,Correspondance!$A$2:$A$3000,0)),0)</f>
        <v>2.4</v>
      </c>
      <c r="F5" s="60" t="n">
        <f aca="false">C5*E5</f>
        <v>14.988630675724</v>
      </c>
      <c r="G5" s="61"/>
      <c r="I5" s="62"/>
    </row>
    <row r="6" customFormat="false" ht="15.75" hidden="false" customHeight="false" outlineLevel="0" collapsed="false">
      <c r="A6" s="57" t="s">
        <v>688</v>
      </c>
      <c r="B6" s="57" t="n">
        <v>1.32</v>
      </c>
      <c r="C6" s="58" t="n">
        <f aca="false">B6/B$22*B$24</f>
        <v>2.07651054701466</v>
      </c>
      <c r="D6" s="57" t="s">
        <v>434</v>
      </c>
      <c r="E6" s="59" t="n">
        <f aca="false">IFERROR(INDEX(Correspondance!$D$2:$D$3000,MATCH(A6,Correspondance!$A$2:$A$3000,0)),0)</f>
        <v>11</v>
      </c>
      <c r="F6" s="60" t="n">
        <f aca="false">C6*E6</f>
        <v>22.8416160171612</v>
      </c>
      <c r="G6" s="61"/>
      <c r="I6" s="63"/>
    </row>
    <row r="7" customFormat="false" ht="15.75" hidden="false" customHeight="false" outlineLevel="0" collapsed="false">
      <c r="A7" s="57" t="s">
        <v>1725</v>
      </c>
      <c r="B7" s="57" t="n">
        <v>0.199</v>
      </c>
      <c r="C7" s="58" t="n">
        <f aca="false">B7/B$22*B$24</f>
        <v>0.313049696102967</v>
      </c>
      <c r="D7" s="57" t="s">
        <v>434</v>
      </c>
      <c r="E7" s="59" t="n">
        <f aca="false">IFERROR(INDEX(Correspondance!$D$2:$D$3000,MATCH(A7,Correspondance!$A$2:$A$3000,0)),0)</f>
        <v>9</v>
      </c>
      <c r="F7" s="60" t="n">
        <f aca="false">C7*E7</f>
        <v>2.81744726492671</v>
      </c>
      <c r="G7" s="61"/>
      <c r="I7" s="63"/>
    </row>
    <row r="8" customFormat="false" ht="15.75" hidden="false" customHeight="false" outlineLevel="0" collapsed="false">
      <c r="A8" s="57" t="s">
        <v>706</v>
      </c>
      <c r="B8" s="57" t="n">
        <v>0.397</v>
      </c>
      <c r="C8" s="58" t="n">
        <f aca="false">B8/B$22*B$24</f>
        <v>0.624526278155166</v>
      </c>
      <c r="D8" s="57" t="s">
        <v>434</v>
      </c>
      <c r="E8" s="59" t="n">
        <f aca="false">IFERROR(INDEX(Correspondance!$D$2:$D$3000,MATCH(A8,Correspondance!$A$2:$A$3000,0)),0)</f>
        <v>7.5</v>
      </c>
      <c r="F8" s="60" t="n">
        <f aca="false">C8*E8</f>
        <v>4.68394708616375</v>
      </c>
      <c r="G8" s="61"/>
      <c r="I8" s="63"/>
    </row>
    <row r="9" customFormat="false" ht="15.75" hidden="false" customHeight="false" outlineLevel="0" collapsed="false">
      <c r="A9" s="57" t="s">
        <v>1120</v>
      </c>
      <c r="B9" s="57" t="n">
        <v>0.099</v>
      </c>
      <c r="C9" s="58" t="n">
        <f aca="false">B9/B$22*B$24</f>
        <v>0.155738291026099</v>
      </c>
      <c r="D9" s="57" t="s">
        <v>682</v>
      </c>
      <c r="E9" s="59" t="n">
        <f aca="false">IFERROR(INDEX(Correspondance!$D$2:$D$3000,MATCH(A9,Correspondance!$A$2:$A$3000,0)),0)</f>
        <v>7.5</v>
      </c>
      <c r="F9" s="60" t="n">
        <f aca="false">C9*E9</f>
        <v>1.16803718269575</v>
      </c>
      <c r="G9" s="61"/>
      <c r="I9" s="63"/>
    </row>
    <row r="10" customFormat="false" ht="15.75" hidden="false" customHeight="false" outlineLevel="0" collapsed="false">
      <c r="A10" s="57" t="s">
        <v>1664</v>
      </c>
      <c r="B10" s="57"/>
      <c r="C10" s="58" t="n">
        <f aca="false">B10/B$22*B$24</f>
        <v>0</v>
      </c>
      <c r="D10" s="57" t="s">
        <v>434</v>
      </c>
      <c r="E10" s="59" t="n">
        <f aca="false">IFERROR(INDEX(Correspondance!$D$2:$D$3000,MATCH(A10,Correspondance!$A$2:$A$3000,0)),0)</f>
        <v>11</v>
      </c>
      <c r="F10" s="60" t="n">
        <f aca="false">C10*E10</f>
        <v>0</v>
      </c>
      <c r="G10" s="61"/>
      <c r="I10" s="63"/>
    </row>
    <row r="11" customFormat="false" ht="15.75" hidden="false" customHeight="false" outlineLevel="0" collapsed="false">
      <c r="A11" s="57" t="s">
        <v>1919</v>
      </c>
      <c r="B11" s="57" t="n">
        <v>0.026</v>
      </c>
      <c r="C11" s="58" t="n">
        <f aca="false">B11/B$22*B$24</f>
        <v>0.0409009653199857</v>
      </c>
      <c r="D11" s="57" t="s">
        <v>434</v>
      </c>
      <c r="E11" s="59" t="n">
        <f aca="false">IFERROR(INDEX(Correspondance!$D$2:$D$3000,MATCH(A11,Correspondance!$A$2:$A$3000,0)),0)</f>
        <v>2</v>
      </c>
      <c r="F11" s="60" t="n">
        <f aca="false">C11*E11</f>
        <v>0.0818019306399714</v>
      </c>
      <c r="G11" s="61"/>
      <c r="I11" s="63"/>
    </row>
    <row r="12" customFormat="false" ht="18.75" hidden="false" customHeight="true" outlineLevel="0" collapsed="false">
      <c r="A12" s="57" t="s">
        <v>1814</v>
      </c>
      <c r="B12" s="64"/>
      <c r="C12" s="58" t="n">
        <f aca="false">B12/B$22*B$24</f>
        <v>0</v>
      </c>
      <c r="D12" s="57" t="s">
        <v>434</v>
      </c>
      <c r="E12" s="59" t="n">
        <f aca="false">IFERROR(INDEX(Correspondance!$D$2:$D$3000,MATCH(A12,Correspondance!$A$2:$A$3000,0)),0)</f>
        <v>18</v>
      </c>
      <c r="F12" s="60" t="n">
        <f aca="false">C12*E12</f>
        <v>0</v>
      </c>
      <c r="G12" s="61"/>
      <c r="I12" s="63"/>
    </row>
    <row r="13" customFormat="false" ht="18.75" hidden="false" customHeight="true" outlineLevel="0" collapsed="false">
      <c r="A13" s="57"/>
      <c r="B13" s="64"/>
      <c r="C13" s="58" t="n">
        <f aca="false">B13/B$22*B$24</f>
        <v>0</v>
      </c>
      <c r="D13" s="57"/>
      <c r="E13" s="65" t="n">
        <f aca="false">IFERROR(INDEX(Correspondance!$D$2:$D$3000,MATCH(A13,Correspondance!$A$2:$A$3000,0)),0)</f>
        <v>0</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61.145684662138</v>
      </c>
      <c r="G19" s="61"/>
      <c r="I19" s="63"/>
    </row>
    <row r="20" customFormat="false" ht="18.75" hidden="false" customHeight="true" outlineLevel="0" collapsed="false">
      <c r="A20" s="68" t="s">
        <v>2628</v>
      </c>
      <c r="B20" s="69" t="n">
        <f aca="false">F19/B24</f>
        <v>0.555869860564891</v>
      </c>
      <c r="C20" s="70"/>
      <c r="G20" s="61"/>
      <c r="I20" s="63"/>
    </row>
    <row r="21" customFormat="false" ht="15.75" hidden="false" customHeight="false" outlineLevel="0" collapsed="false">
      <c r="A21" s="71" t="s">
        <v>2629</v>
      </c>
      <c r="B21" s="71" t="n">
        <f aca="false">SUM(B3:B18)</f>
        <v>8.391</v>
      </c>
      <c r="C21" s="66"/>
      <c r="G21" s="61"/>
      <c r="I21" s="63"/>
    </row>
    <row r="22" customFormat="false" ht="15.75" hidden="false" customHeight="false" outlineLevel="0" collapsed="false">
      <c r="A22" s="0" t="s">
        <v>2630</v>
      </c>
      <c r="B22" s="72" t="n">
        <f aca="false">B21/B23</f>
        <v>69.925</v>
      </c>
      <c r="C22" s="66"/>
      <c r="G22" s="61"/>
      <c r="I22" s="63"/>
    </row>
    <row r="23" customFormat="false" ht="15.75" hidden="false" customHeight="false" outlineLevel="0" collapsed="false">
      <c r="A23" s="0" t="s">
        <v>2631</v>
      </c>
      <c r="B23" s="0" t="n">
        <v>0.12</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90</v>
      </c>
      <c r="B1" s="50"/>
      <c r="C1" s="50"/>
      <c r="D1" s="50"/>
      <c r="E1" s="51" t="s">
        <v>2619</v>
      </c>
      <c r="F1" s="51"/>
      <c r="G1" s="52" t="s">
        <v>2739</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1858</v>
      </c>
      <c r="B4" s="57" t="n">
        <v>2.32</v>
      </c>
      <c r="C4" s="58" t="n">
        <f aca="false">B4/B$22*B$24</f>
        <v>3.64354550862582</v>
      </c>
      <c r="D4" s="57" t="s">
        <v>434</v>
      </c>
      <c r="E4" s="59" t="n">
        <f aca="false">IFERROR(INDEX(Correspondance!$D$2:$D$3000,MATCH(A4,Correspondance!$A$2:$A$3000,0)),0)</f>
        <v>3.33</v>
      </c>
      <c r="F4" s="60" t="n">
        <f aca="false">C4*E4</f>
        <v>12.133006543724</v>
      </c>
      <c r="G4" s="61" t="s">
        <v>2740</v>
      </c>
    </row>
    <row r="5" customFormat="false" ht="15.75" hidden="false" customHeight="false" outlineLevel="0" collapsed="false">
      <c r="A5" s="57" t="s">
        <v>1879</v>
      </c>
      <c r="B5" s="57" t="n">
        <v>3.22</v>
      </c>
      <c r="C5" s="58" t="n">
        <f aca="false">B5/B$22*B$24</f>
        <v>5.05698988697204</v>
      </c>
      <c r="D5" s="57" t="s">
        <v>434</v>
      </c>
      <c r="E5" s="59" t="n">
        <f aca="false">IFERROR(INDEX(Correspondance!$D$2:$D$3000,MATCH(A5,Correspondance!$A$2:$A$3000,0)),0)</f>
        <v>2.8</v>
      </c>
      <c r="F5" s="60" t="n">
        <f aca="false">C5*E5</f>
        <v>14.1595716835217</v>
      </c>
      <c r="G5" s="61"/>
      <c r="I5" s="62"/>
    </row>
    <row r="6" customFormat="false" ht="15.75" hidden="false" customHeight="false" outlineLevel="0" collapsed="false">
      <c r="A6" s="57" t="s">
        <v>2002</v>
      </c>
      <c r="B6" s="57" t="n">
        <v>0.966</v>
      </c>
      <c r="C6" s="58" t="n">
        <f aca="false">B6/B$22*B$24</f>
        <v>1.51709696609161</v>
      </c>
      <c r="D6" s="57" t="s">
        <v>682</v>
      </c>
      <c r="E6" s="59" t="n">
        <f aca="false">IFERROR(INDEX(Correspondance!$D$2:$D$3000,MATCH(A6,Correspondance!$A$2:$A$3000,0)),0)</f>
        <v>3.8</v>
      </c>
      <c r="F6" s="60" t="n">
        <f aca="false">C6*E6</f>
        <v>5.76496847114813</v>
      </c>
      <c r="G6" s="61"/>
      <c r="I6" s="63"/>
    </row>
    <row r="7" customFormat="false" ht="15.75" hidden="false" customHeight="false" outlineLevel="0" collapsed="false">
      <c r="A7" s="57" t="s">
        <v>1576</v>
      </c>
      <c r="B7" s="57" t="n">
        <v>0.966</v>
      </c>
      <c r="C7" s="58" t="n">
        <f aca="false">B7/B$22*B$24</f>
        <v>1.51709696609161</v>
      </c>
      <c r="D7" s="57" t="s">
        <v>434</v>
      </c>
      <c r="E7" s="59" t="n">
        <f aca="false">IFERROR(INDEX(Correspondance!$D$2:$D$3000,MATCH(A7,Correspondance!$A$2:$A$3000,0)),0)</f>
        <v>5.5</v>
      </c>
      <c r="F7" s="60" t="n">
        <f aca="false">C7*E7</f>
        <v>8.34403331350387</v>
      </c>
      <c r="G7" s="61"/>
      <c r="I7" s="63"/>
    </row>
    <row r="8" customFormat="false" ht="15.75" hidden="false" customHeight="false" outlineLevel="0" collapsed="false">
      <c r="A8" s="57" t="s">
        <v>1621</v>
      </c>
      <c r="B8" s="57" t="n">
        <v>0.644</v>
      </c>
      <c r="C8" s="58" t="n">
        <f aca="false">B8/B$22*B$24</f>
        <v>1.01139797739441</v>
      </c>
      <c r="D8" s="57" t="s">
        <v>434</v>
      </c>
      <c r="E8" s="59" t="n">
        <f aca="false">IFERROR(INDEX(Correspondance!$D$2:$D$3000,MATCH(A8,Correspondance!$A$2:$A$3000,0)),0)</f>
        <v>9</v>
      </c>
      <c r="F8" s="60" t="n">
        <f aca="false">C8*E8</f>
        <v>9.10258179654968</v>
      </c>
      <c r="G8" s="61"/>
      <c r="I8" s="63"/>
    </row>
    <row r="9" customFormat="false" ht="15.75" hidden="false" customHeight="false" outlineLevel="0" collapsed="false">
      <c r="A9" s="57" t="s">
        <v>1227</v>
      </c>
      <c r="B9" s="57" t="n">
        <v>0.193</v>
      </c>
      <c r="C9" s="58" t="n">
        <f aca="false">B9/B$22*B$24</f>
        <v>0.303105294467579</v>
      </c>
      <c r="D9" s="57" t="s">
        <v>434</v>
      </c>
      <c r="E9" s="59" t="n">
        <f aca="false">IFERROR(INDEX(Correspondance!$D$2:$D$3000,MATCH(A9,Correspondance!$A$2:$A$3000,0)),0)</f>
        <v>5.5</v>
      </c>
      <c r="F9" s="60" t="n">
        <f aca="false">C9*E9</f>
        <v>1.66707911957168</v>
      </c>
      <c r="G9" s="61"/>
      <c r="I9" s="63"/>
    </row>
    <row r="10" customFormat="false" ht="15.75" hidden="false" customHeight="false" outlineLevel="0" collapsed="false">
      <c r="A10" s="57" t="s">
        <v>1197</v>
      </c>
      <c r="B10" s="57" t="n">
        <v>0.064</v>
      </c>
      <c r="C10" s="58" t="n">
        <f aca="false">B10/B$22*B$24</f>
        <v>0.100511600237954</v>
      </c>
      <c r="D10" s="57" t="s">
        <v>434</v>
      </c>
      <c r="E10" s="59" t="n">
        <f aca="false">IFERROR(INDEX(Correspondance!$D$2:$D$3000,MATCH(A10,Correspondance!$A$2:$A$3000,0)),0)</f>
        <v>2.6</v>
      </c>
      <c r="F10" s="60" t="n">
        <f aca="false">C10*E10</f>
        <v>0.261330160618679</v>
      </c>
      <c r="G10" s="61"/>
      <c r="I10" s="63"/>
    </row>
    <row r="11" customFormat="false" ht="15.75" hidden="false" customHeight="false" outlineLevel="0" collapsed="false">
      <c r="A11" s="57" t="s">
        <v>905</v>
      </c>
      <c r="B11" s="57" t="n">
        <v>0.013</v>
      </c>
      <c r="C11" s="58" t="n">
        <f aca="false">B11/B$22*B$24</f>
        <v>0.0204164187983343</v>
      </c>
      <c r="D11" s="57" t="s">
        <v>434</v>
      </c>
      <c r="E11" s="59" t="n">
        <f aca="false">IFERROR(INDEX(Correspondance!$D$2:$D$3000,MATCH(A11,Correspondance!$A$2:$A$3000,0)),0)</f>
        <v>12</v>
      </c>
      <c r="F11" s="60" t="n">
        <f aca="false">C11*E11</f>
        <v>0.244997025580012</v>
      </c>
      <c r="G11" s="61"/>
      <c r="I11" s="63"/>
    </row>
    <row r="12" customFormat="false" ht="18.75" hidden="false" customHeight="true" outlineLevel="0" collapsed="false">
      <c r="A12" s="57" t="s">
        <v>1919</v>
      </c>
      <c r="B12" s="64" t="n">
        <v>0.019</v>
      </c>
      <c r="C12" s="58" t="n">
        <f aca="false">B12/B$22*B$24</f>
        <v>0.0298393813206425</v>
      </c>
      <c r="D12" s="57" t="s">
        <v>434</v>
      </c>
      <c r="E12" s="59" t="n">
        <f aca="false">IFERROR(INDEX(Correspondance!$D$2:$D$3000,MATCH(A12,Correspondance!$A$2:$A$3000,0)),0)</f>
        <v>2</v>
      </c>
      <c r="F12" s="60" t="n">
        <f aca="false">C12*E12</f>
        <v>0.059678762641285</v>
      </c>
      <c r="G12" s="61"/>
      <c r="I12" s="63"/>
    </row>
    <row r="13" customFormat="false" ht="18.75" hidden="false" customHeight="true" outlineLevel="0" collapsed="false">
      <c r="A13" s="57" t="s">
        <v>1800</v>
      </c>
      <c r="B13" s="64"/>
      <c r="C13" s="58" t="n">
        <f aca="false">B13/B$22*B$24</f>
        <v>0</v>
      </c>
      <c r="D13" s="57" t="s">
        <v>434</v>
      </c>
      <c r="E13" s="59" t="n">
        <f aca="false">IFERROR(INDEX(Correspondance!$D$2:$D$3000,MATCH(A13,Correspondance!$A$2:$A$3000,0)),0)</f>
        <v>18</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51.737246876859</v>
      </c>
      <c r="G19" s="61"/>
      <c r="I19" s="63"/>
    </row>
    <row r="20" customFormat="false" ht="18.75" hidden="false" customHeight="true" outlineLevel="0" collapsed="false">
      <c r="A20" s="68" t="s">
        <v>2628</v>
      </c>
      <c r="B20" s="69" t="n">
        <f aca="false">F19/B24</f>
        <v>0.470338607971446</v>
      </c>
      <c r="C20" s="70"/>
      <c r="G20" s="61"/>
      <c r="I20" s="63"/>
    </row>
    <row r="21" customFormat="false" ht="15.75" hidden="false" customHeight="false" outlineLevel="0" collapsed="false">
      <c r="A21" s="71" t="s">
        <v>2629</v>
      </c>
      <c r="B21" s="71" t="n">
        <f aca="false">SUM(B3:B18)</f>
        <v>8.405</v>
      </c>
      <c r="C21" s="66"/>
      <c r="G21" s="61"/>
      <c r="I21" s="63"/>
    </row>
    <row r="22" customFormat="false" ht="15.75" hidden="false" customHeight="false" outlineLevel="0" collapsed="false">
      <c r="A22" s="0" t="s">
        <v>2630</v>
      </c>
      <c r="B22" s="72" t="n">
        <f aca="false">B21/B23</f>
        <v>70.0416666666667</v>
      </c>
      <c r="C22" s="66"/>
      <c r="G22" s="61"/>
      <c r="I22" s="63"/>
    </row>
    <row r="23" customFormat="false" ht="15.75" hidden="false" customHeight="false" outlineLevel="0" collapsed="false">
      <c r="A23" s="0" t="s">
        <v>2631</v>
      </c>
      <c r="B23" s="0" t="n">
        <v>0.12</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91</v>
      </c>
      <c r="B1" s="50"/>
      <c r="C1" s="50"/>
      <c r="D1" s="50"/>
      <c r="E1" s="51" t="s">
        <v>2619</v>
      </c>
      <c r="F1" s="51"/>
      <c r="G1" s="52" t="s">
        <v>2741</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1858</v>
      </c>
      <c r="B4" s="57" t="n">
        <v>1.92</v>
      </c>
      <c r="C4" s="58" t="n">
        <f aca="false">B4/B$22*B$24</f>
        <v>3.01319700392343</v>
      </c>
      <c r="D4" s="57" t="s">
        <v>434</v>
      </c>
      <c r="E4" s="59" t="n">
        <f aca="false">IFERROR(INDEX(Correspondance!$D$2:$D$3000,MATCH(A4,Correspondance!$A$2:$A$3000,0)),0)</f>
        <v>3.33</v>
      </c>
      <c r="F4" s="60" t="n">
        <f aca="false">C4*E4</f>
        <v>10.033946023065</v>
      </c>
      <c r="G4" s="61" t="s">
        <v>2742</v>
      </c>
    </row>
    <row r="5" customFormat="false" ht="15.75" hidden="false" customHeight="false" outlineLevel="0" collapsed="false">
      <c r="A5" s="57" t="s">
        <v>1003</v>
      </c>
      <c r="B5" s="57" t="n">
        <v>3.2</v>
      </c>
      <c r="C5" s="58" t="n">
        <f aca="false">B5/B$22*B$24</f>
        <v>5.02199500653906</v>
      </c>
      <c r="D5" s="57" t="s">
        <v>434</v>
      </c>
      <c r="E5" s="59" t="n">
        <f aca="false">IFERROR(INDEX(Correspondance!$D$2:$D$3000,MATCH(A5,Correspondance!$A$2:$A$3000,0)),0)</f>
        <v>1.9</v>
      </c>
      <c r="F5" s="60" t="n">
        <f aca="false">C5*E5</f>
        <v>9.54179051242421</v>
      </c>
      <c r="G5" s="61"/>
      <c r="I5" s="62"/>
    </row>
    <row r="6" customFormat="false" ht="15.75" hidden="false" customHeight="false" outlineLevel="0" collapsed="false">
      <c r="A6" s="57" t="s">
        <v>1491</v>
      </c>
      <c r="B6" s="57" t="n">
        <v>0.16</v>
      </c>
      <c r="C6" s="58" t="n">
        <f aca="false">B6/B$22*B$24</f>
        <v>0.251099750326953</v>
      </c>
      <c r="D6" s="57" t="s">
        <v>434</v>
      </c>
      <c r="E6" s="59" t="n">
        <f aca="false">IFERROR(INDEX(Correspondance!$D$2:$D$3000,MATCH(A6,Correspondance!$A$2:$A$3000,0)),0)</f>
        <v>9</v>
      </c>
      <c r="F6" s="60" t="n">
        <f aca="false">C6*E6</f>
        <v>2.25989775294257</v>
      </c>
      <c r="G6" s="61"/>
      <c r="I6" s="63"/>
    </row>
    <row r="7" customFormat="false" ht="15.75" hidden="false" customHeight="false" outlineLevel="0" collapsed="false">
      <c r="A7" s="57" t="s">
        <v>2002</v>
      </c>
      <c r="B7" s="57" t="n">
        <v>1.07</v>
      </c>
      <c r="C7" s="58" t="n">
        <f aca="false">B7/B$22*B$24</f>
        <v>1.6792295803115</v>
      </c>
      <c r="D7" s="57" t="s">
        <v>682</v>
      </c>
      <c r="E7" s="59" t="n">
        <f aca="false">IFERROR(INDEX(Correspondance!$D$2:$D$3000,MATCH(A7,Correspondance!$A$2:$A$3000,0)),0)</f>
        <v>3.8</v>
      </c>
      <c r="F7" s="60" t="n">
        <f aca="false">C7*E7</f>
        <v>6.38107240518369</v>
      </c>
      <c r="G7" s="61"/>
      <c r="I7" s="63"/>
    </row>
    <row r="8" customFormat="false" ht="15.75" hidden="false" customHeight="false" outlineLevel="0" collapsed="false">
      <c r="A8" s="57" t="s">
        <v>1576</v>
      </c>
      <c r="B8" s="57" t="n">
        <v>1.07</v>
      </c>
      <c r="C8" s="58" t="n">
        <f aca="false">B8/B$22*B$24</f>
        <v>1.6792295803115</v>
      </c>
      <c r="D8" s="57" t="s">
        <v>434</v>
      </c>
      <c r="E8" s="59" t="n">
        <f aca="false">IFERROR(INDEX(Correspondance!$D$2:$D$3000,MATCH(A8,Correspondance!$A$2:$A$3000,0)),0)</f>
        <v>5.5</v>
      </c>
      <c r="F8" s="60" t="n">
        <f aca="false">C8*E8</f>
        <v>9.23576269171323</v>
      </c>
      <c r="G8" s="61"/>
      <c r="I8" s="63"/>
    </row>
    <row r="9" customFormat="false" ht="15.75" hidden="false" customHeight="false" outlineLevel="0" collapsed="false">
      <c r="A9" s="57" t="s">
        <v>1692</v>
      </c>
      <c r="B9" s="57" t="n">
        <v>0.533</v>
      </c>
      <c r="C9" s="58" t="n">
        <f aca="false">B9/B$22*B$24</f>
        <v>0.836476043276662</v>
      </c>
      <c r="D9" s="57" t="s">
        <v>682</v>
      </c>
      <c r="E9" s="59" t="n">
        <f aca="false">IFERROR(INDEX(Correspondance!$D$2:$D$3000,MATCH(A9,Correspondance!$A$2:$A$3000,0)),0)</f>
        <v>2.4</v>
      </c>
      <c r="F9" s="60" t="n">
        <f aca="false">C9*E9</f>
        <v>2.00754250386399</v>
      </c>
      <c r="G9" s="61"/>
      <c r="I9" s="63"/>
    </row>
    <row r="10" customFormat="false" ht="15.75" hidden="false" customHeight="false" outlineLevel="0" collapsed="false">
      <c r="A10" s="57" t="s">
        <v>706</v>
      </c>
      <c r="B10" s="57" t="n">
        <v>0.426</v>
      </c>
      <c r="C10" s="58" t="n">
        <f aca="false">B10/B$22*B$24</f>
        <v>0.668553085245512</v>
      </c>
      <c r="D10" s="57" t="s">
        <v>434</v>
      </c>
      <c r="E10" s="59" t="n">
        <f aca="false">IFERROR(INDEX(Correspondance!$D$2:$D$3000,MATCH(A10,Correspondance!$A$2:$A$3000,0)),0)</f>
        <v>7.5</v>
      </c>
      <c r="F10" s="60" t="n">
        <f aca="false">C10*E10</f>
        <v>5.01414813934134</v>
      </c>
      <c r="G10" s="61"/>
      <c r="I10" s="63"/>
    </row>
    <row r="11" customFormat="false" ht="15.75" hidden="false" customHeight="false" outlineLevel="0" collapsed="false">
      <c r="A11" s="57" t="s">
        <v>1919</v>
      </c>
      <c r="B11" s="57" t="n">
        <v>0.032</v>
      </c>
      <c r="C11" s="58" t="n">
        <f aca="false">B11/B$22*B$24</f>
        <v>0.0502199500653906</v>
      </c>
      <c r="D11" s="57" t="s">
        <v>434</v>
      </c>
      <c r="E11" s="59" t="n">
        <f aca="false">IFERROR(INDEX(Correspondance!$D$2:$D$3000,MATCH(A11,Correspondance!$A$2:$A$3000,0)),0)</f>
        <v>2</v>
      </c>
      <c r="F11" s="60" t="n">
        <f aca="false">C11*E11</f>
        <v>0.100439900130781</v>
      </c>
      <c r="G11" s="61"/>
      <c r="I11" s="63"/>
    </row>
    <row r="12" customFormat="false" ht="18.75" hidden="false" customHeight="true" outlineLevel="0" collapsed="false">
      <c r="A12" s="57" t="s">
        <v>1803</v>
      </c>
      <c r="B12" s="64"/>
      <c r="C12" s="58" t="n">
        <f aca="false">B12/B$22*B$24</f>
        <v>0</v>
      </c>
      <c r="D12" s="57" t="s">
        <v>434</v>
      </c>
      <c r="E12" s="59" t="n">
        <f aca="false">IFERROR(INDEX(Correspondance!$D$2:$D$3000,MATCH(A12,Correspondance!$A$2:$A$3000,0)),0)</f>
        <v>18</v>
      </c>
      <c r="F12" s="60" t="n">
        <f aca="false">C12*E12</f>
        <v>0</v>
      </c>
      <c r="G12" s="61"/>
      <c r="I12" s="63"/>
    </row>
    <row r="13" customFormat="false" ht="18.75" hidden="false" customHeight="true" outlineLevel="0" collapsed="false">
      <c r="A13" s="57" t="s">
        <v>1945</v>
      </c>
      <c r="B13" s="64"/>
      <c r="C13" s="58" t="n">
        <f aca="false">B13/B$22*B$24</f>
        <v>0</v>
      </c>
      <c r="D13" s="57" t="s">
        <v>434</v>
      </c>
      <c r="E13" s="59" t="n">
        <f aca="false">IFERROR(INDEX(Correspondance!$D$2:$D$3000,MATCH(A13,Correspondance!$A$2:$A$3000,0)),0)</f>
        <v>16</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44.5745999286648</v>
      </c>
      <c r="G19" s="61"/>
      <c r="I19" s="63"/>
    </row>
    <row r="20" customFormat="false" ht="18.75" hidden="false" customHeight="true" outlineLevel="0" collapsed="false">
      <c r="A20" s="68" t="s">
        <v>2628</v>
      </c>
      <c r="B20" s="69" t="n">
        <f aca="false">F19/B24</f>
        <v>0.405223635715135</v>
      </c>
      <c r="C20" s="70"/>
      <c r="G20" s="61"/>
      <c r="I20" s="63"/>
    </row>
    <row r="21" customFormat="false" ht="15.75" hidden="false" customHeight="false" outlineLevel="0" collapsed="false">
      <c r="A21" s="71" t="s">
        <v>2629</v>
      </c>
      <c r="B21" s="71" t="n">
        <f aca="false">SUM(B3:B18)</f>
        <v>8.411</v>
      </c>
      <c r="C21" s="66"/>
      <c r="G21" s="61"/>
      <c r="I21" s="63"/>
    </row>
    <row r="22" customFormat="false" ht="15.75" hidden="false" customHeight="false" outlineLevel="0" collapsed="false">
      <c r="A22" s="0" t="s">
        <v>2630</v>
      </c>
      <c r="B22" s="72" t="n">
        <f aca="false">B21/B23</f>
        <v>70.0916666666667</v>
      </c>
      <c r="C22" s="66"/>
      <c r="G22" s="61"/>
      <c r="I22" s="63"/>
    </row>
    <row r="23" customFormat="false" ht="15.75" hidden="false" customHeight="false" outlineLevel="0" collapsed="false">
      <c r="A23" s="0" t="s">
        <v>2631</v>
      </c>
      <c r="B23" s="0" t="n">
        <v>0.12</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92</v>
      </c>
      <c r="B1" s="50"/>
      <c r="C1" s="50"/>
      <c r="D1" s="50"/>
      <c r="E1" s="51" t="s">
        <v>2619</v>
      </c>
      <c r="F1" s="51"/>
      <c r="G1" s="52" t="s">
        <v>2741</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1858</v>
      </c>
      <c r="B4" s="57" t="n">
        <v>2.22</v>
      </c>
      <c r="C4" s="58" t="n">
        <f aca="false">B4/B$22*B$24</f>
        <v>3.48649613325401</v>
      </c>
      <c r="D4" s="57" t="s">
        <v>434</v>
      </c>
      <c r="E4" s="59" t="n">
        <f aca="false">IFERROR(INDEX(Correspondance!$D$2:$D$3000,MATCH(A4,Correspondance!$A$2:$A$3000,0)),0)</f>
        <v>3.33</v>
      </c>
      <c r="F4" s="60" t="n">
        <f aca="false">C4*E4</f>
        <v>11.6100321237359</v>
      </c>
      <c r="G4" s="61" t="s">
        <v>2743</v>
      </c>
    </row>
    <row r="5" customFormat="false" ht="15.75" hidden="false" customHeight="false" outlineLevel="0" collapsed="false">
      <c r="A5" s="57" t="s">
        <v>706</v>
      </c>
      <c r="B5" s="57" t="n">
        <v>1.54</v>
      </c>
      <c r="C5" s="58" t="n">
        <f aca="false">B5/B$22*B$24</f>
        <v>2.41856038072576</v>
      </c>
      <c r="D5" s="57" t="s">
        <v>434</v>
      </c>
      <c r="E5" s="59" t="n">
        <f aca="false">IFERROR(INDEX(Correspondance!$D$2:$D$3000,MATCH(A5,Correspondance!$A$2:$A$3000,0)),0)</f>
        <v>7.5</v>
      </c>
      <c r="F5" s="60" t="n">
        <f aca="false">C5*E5</f>
        <v>18.1392028554432</v>
      </c>
      <c r="G5" s="61"/>
      <c r="I5" s="62"/>
    </row>
    <row r="6" customFormat="false" ht="15.75" hidden="false" customHeight="false" outlineLevel="0" collapsed="false">
      <c r="A6" s="57" t="s">
        <v>1642</v>
      </c>
      <c r="B6" s="57" t="n">
        <v>0.616</v>
      </c>
      <c r="C6" s="58" t="n">
        <f aca="false">B6/B$22*B$24</f>
        <v>0.967424152290303</v>
      </c>
      <c r="D6" s="57" t="s">
        <v>434</v>
      </c>
      <c r="E6" s="59" t="n">
        <f aca="false">IFERROR(INDEX(Correspondance!$D$2:$D$3000,MATCH(A6,Correspondance!$A$2:$A$3000,0)),0)</f>
        <v>13</v>
      </c>
      <c r="F6" s="60" t="n">
        <f aca="false">C6*E6</f>
        <v>12.5765139797739</v>
      </c>
      <c r="G6" s="61"/>
      <c r="I6" s="63"/>
    </row>
    <row r="7" customFormat="false" ht="15.75" hidden="false" customHeight="false" outlineLevel="0" collapsed="false">
      <c r="A7" s="57" t="s">
        <v>2002</v>
      </c>
      <c r="B7" s="57" t="n">
        <v>1.54</v>
      </c>
      <c r="C7" s="58" t="n">
        <f aca="false">B7/B$22*B$24</f>
        <v>2.41856038072576</v>
      </c>
      <c r="D7" s="57" t="s">
        <v>682</v>
      </c>
      <c r="E7" s="59" t="n">
        <f aca="false">IFERROR(INDEX(Correspondance!$D$2:$D$3000,MATCH(A7,Correspondance!$A$2:$A$3000,0)),0)</f>
        <v>3.8</v>
      </c>
      <c r="F7" s="60" t="n">
        <f aca="false">C7*E7</f>
        <v>9.19052944675788</v>
      </c>
      <c r="G7" s="61"/>
      <c r="I7" s="63"/>
    </row>
    <row r="8" customFormat="false" ht="15.75" hidden="false" customHeight="false" outlineLevel="0" collapsed="false">
      <c r="A8" s="57" t="s">
        <v>1576</v>
      </c>
      <c r="B8" s="57" t="n">
        <v>1.54</v>
      </c>
      <c r="C8" s="58" t="n">
        <f aca="false">B8/B$22*B$24</f>
        <v>2.41856038072576</v>
      </c>
      <c r="D8" s="57" t="s">
        <v>434</v>
      </c>
      <c r="E8" s="59" t="n">
        <f aca="false">IFERROR(INDEX(Correspondance!$D$2:$D$3000,MATCH(A8,Correspondance!$A$2:$A$3000,0)),0)</f>
        <v>5.5</v>
      </c>
      <c r="F8" s="60" t="n">
        <f aca="false">C8*E8</f>
        <v>13.3020820939917</v>
      </c>
      <c r="G8" s="61"/>
      <c r="I8" s="63"/>
    </row>
    <row r="9" customFormat="false" ht="15.75" hidden="false" customHeight="false" outlineLevel="0" collapsed="false">
      <c r="A9" s="57" t="s">
        <v>1692</v>
      </c>
      <c r="B9" s="57" t="n">
        <v>0.924</v>
      </c>
      <c r="C9" s="58" t="n">
        <f aca="false">B9/B$22*B$24</f>
        <v>1.45113622843545</v>
      </c>
      <c r="D9" s="57" t="s">
        <v>682</v>
      </c>
      <c r="E9" s="59" t="n">
        <f aca="false">IFERROR(INDEX(Correspondance!$D$2:$D$3000,MATCH(A9,Correspondance!$A$2:$A$3000,0)),0)</f>
        <v>2.4</v>
      </c>
      <c r="F9" s="60" t="n">
        <f aca="false">C9*E9</f>
        <v>3.48272694824509</v>
      </c>
      <c r="G9" s="61"/>
      <c r="I9" s="63"/>
    </row>
    <row r="10" customFormat="false" ht="15.75" hidden="false" customHeight="false" outlineLevel="0" collapsed="false">
      <c r="A10" s="57" t="s">
        <v>1919</v>
      </c>
      <c r="B10" s="57" t="n">
        <v>0.025</v>
      </c>
      <c r="C10" s="58" t="n">
        <f aca="false">B10/B$22*B$24</f>
        <v>0.0392623438429506</v>
      </c>
      <c r="D10" s="57" t="s">
        <v>434</v>
      </c>
      <c r="E10" s="59" t="n">
        <f aca="false">IFERROR(INDEX(Correspondance!$D$2:$D$3000,MATCH(A10,Correspondance!$A$2:$A$3000,0)),0)</f>
        <v>2</v>
      </c>
      <c r="F10" s="60" t="n">
        <f aca="false">C10*E10</f>
        <v>0.0785246876859012</v>
      </c>
      <c r="G10" s="61"/>
      <c r="I10" s="63"/>
    </row>
    <row r="11" customFormat="false" ht="15.75" hidden="false" customHeight="false" outlineLevel="0" collapsed="false">
      <c r="A11" s="57" t="s">
        <v>1803</v>
      </c>
      <c r="B11" s="57"/>
      <c r="C11" s="58" t="n">
        <f aca="false">B11/B$22*B$24</f>
        <v>0</v>
      </c>
      <c r="D11" s="57" t="s">
        <v>434</v>
      </c>
      <c r="E11" s="59" t="n">
        <f aca="false">IFERROR(INDEX(Correspondance!$D$2:$D$3000,MATCH(A11,Correspondance!$A$2:$A$3000,0)),0)</f>
        <v>18</v>
      </c>
      <c r="F11" s="60" t="n">
        <f aca="false">C11*E11</f>
        <v>0</v>
      </c>
      <c r="G11" s="61"/>
      <c r="I11" s="63"/>
    </row>
    <row r="12" customFormat="false" ht="18.75" hidden="false" customHeight="true" outlineLevel="0" collapsed="false">
      <c r="A12" s="57"/>
      <c r="B12" s="64"/>
      <c r="C12" s="58" t="n">
        <f aca="false">B12/B$22*B$24</f>
        <v>0</v>
      </c>
      <c r="D12" s="57"/>
      <c r="E12" s="65" t="n">
        <f aca="false">IFERROR(INDEX(Correspondance!$D$2:$D$3000,MATCH(A12,Correspondance!$A$2:$A$3000,0)),0)</f>
        <v>0</v>
      </c>
      <c r="F12" s="60" t="n">
        <f aca="false">C12*E12</f>
        <v>0</v>
      </c>
      <c r="G12" s="61"/>
      <c r="I12" s="63"/>
    </row>
    <row r="13" customFormat="false" ht="18.75" hidden="false" customHeight="true" outlineLevel="0" collapsed="false">
      <c r="A13" s="57"/>
      <c r="B13" s="64"/>
      <c r="C13" s="58" t="n">
        <f aca="false">B13/B$22*B$24</f>
        <v>0</v>
      </c>
      <c r="D13" s="57"/>
      <c r="E13" s="65" t="n">
        <f aca="false">IFERROR(INDEX(Correspondance!$D$2:$D$3000,MATCH(A13,Correspondance!$A$2:$A$3000,0)),0)</f>
        <v>0</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68.3796121356335</v>
      </c>
      <c r="G19" s="61"/>
      <c r="I19" s="63"/>
    </row>
    <row r="20" customFormat="false" ht="18.75" hidden="false" customHeight="true" outlineLevel="0" collapsed="false">
      <c r="A20" s="68" t="s">
        <v>2628</v>
      </c>
      <c r="B20" s="69" t="n">
        <f aca="false">F19/B24</f>
        <v>0.621632837596669</v>
      </c>
      <c r="C20" s="70"/>
      <c r="G20" s="61"/>
      <c r="I20" s="63"/>
    </row>
    <row r="21" customFormat="false" ht="15.75" hidden="false" customHeight="false" outlineLevel="0" collapsed="false">
      <c r="A21" s="71" t="s">
        <v>2629</v>
      </c>
      <c r="B21" s="71" t="n">
        <f aca="false">SUM(B3:B18)</f>
        <v>8.405</v>
      </c>
      <c r="C21" s="66"/>
      <c r="G21" s="61"/>
      <c r="I21" s="63"/>
    </row>
    <row r="22" customFormat="false" ht="15.75" hidden="false" customHeight="false" outlineLevel="0" collapsed="false">
      <c r="A22" s="0" t="s">
        <v>2630</v>
      </c>
      <c r="B22" s="72" t="n">
        <f aca="false">B21/B23</f>
        <v>70.0416666666667</v>
      </c>
      <c r="C22" s="66"/>
      <c r="G22" s="61"/>
      <c r="I22" s="63"/>
    </row>
    <row r="23" customFormat="false" ht="15.75" hidden="false" customHeight="false" outlineLevel="0" collapsed="false">
      <c r="A23" s="0" t="s">
        <v>2631</v>
      </c>
      <c r="B23" s="0" t="n">
        <v>0.12</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93</v>
      </c>
      <c r="B1" s="50"/>
      <c r="C1" s="50"/>
      <c r="D1" s="50"/>
      <c r="E1" s="51" t="s">
        <v>2619</v>
      </c>
      <c r="F1" s="51"/>
      <c r="G1" s="52" t="s">
        <v>2741</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1858</v>
      </c>
      <c r="B4" s="57" t="n">
        <v>2.14</v>
      </c>
      <c r="C4" s="58" t="n">
        <f aca="false">B4/B$22*B$24</f>
        <v>3.36125654450262</v>
      </c>
      <c r="D4" s="57" t="s">
        <v>434</v>
      </c>
      <c r="E4" s="59" t="n">
        <f aca="false">IFERROR(INDEX(Correspondance!$D$2:$D$3000,MATCH(A4,Correspondance!$A$2:$A$3000,0)),0)</f>
        <v>3.33</v>
      </c>
      <c r="F4" s="60" t="n">
        <f aca="false">C4*E4</f>
        <v>11.1929842931937</v>
      </c>
      <c r="G4" s="61" t="s">
        <v>2744</v>
      </c>
    </row>
    <row r="5" customFormat="false" ht="15.75" hidden="false" customHeight="false" outlineLevel="0" collapsed="false">
      <c r="A5" s="57" t="s">
        <v>587</v>
      </c>
      <c r="B5" s="57" t="n">
        <v>1.78</v>
      </c>
      <c r="C5" s="58" t="n">
        <f aca="false">B5/B$22*B$24</f>
        <v>2.79581151832461</v>
      </c>
      <c r="D5" s="57" t="s">
        <v>434</v>
      </c>
      <c r="E5" s="59" t="n">
        <f aca="false">IFERROR(INDEX(Correspondance!$D$2:$D$3000,MATCH(A5,Correspondance!$A$2:$A$3000,0)),0)</f>
        <v>8</v>
      </c>
      <c r="F5" s="60" t="n">
        <f aca="false">C5*E5</f>
        <v>22.3664921465969</v>
      </c>
      <c r="G5" s="61"/>
      <c r="I5" s="62"/>
    </row>
    <row r="6" customFormat="false" ht="15.75" hidden="false" customHeight="false" outlineLevel="0" collapsed="false">
      <c r="A6" s="57" t="s">
        <v>2002</v>
      </c>
      <c r="B6" s="57" t="n">
        <v>1.49</v>
      </c>
      <c r="C6" s="58" t="n">
        <f aca="false">B6/B$22*B$24</f>
        <v>2.34031413612565</v>
      </c>
      <c r="D6" s="57" t="s">
        <v>682</v>
      </c>
      <c r="E6" s="59" t="n">
        <f aca="false">IFERROR(INDEX(Correspondance!$D$2:$D$3000,MATCH(A6,Correspondance!$A$2:$A$3000,0)),0)</f>
        <v>3.8</v>
      </c>
      <c r="F6" s="60" t="n">
        <f aca="false">C6*E6</f>
        <v>8.89319371727749</v>
      </c>
      <c r="G6" s="61"/>
      <c r="I6" s="63"/>
    </row>
    <row r="7" customFormat="false" ht="15.75" hidden="false" customHeight="false" outlineLevel="0" collapsed="false">
      <c r="A7" s="57" t="s">
        <v>1576</v>
      </c>
      <c r="B7" s="57" t="n">
        <v>1.49</v>
      </c>
      <c r="C7" s="58" t="n">
        <f aca="false">B7/B$22*B$24</f>
        <v>2.34031413612565</v>
      </c>
      <c r="D7" s="57" t="s">
        <v>434</v>
      </c>
      <c r="E7" s="59" t="n">
        <f aca="false">IFERROR(INDEX(Correspondance!$D$2:$D$3000,MATCH(A7,Correspondance!$A$2:$A$3000,0)),0)</f>
        <v>5.5</v>
      </c>
      <c r="F7" s="60" t="n">
        <f aca="false">C7*E7</f>
        <v>12.8717277486911</v>
      </c>
      <c r="G7" s="61"/>
      <c r="I7" s="63"/>
    </row>
    <row r="8" customFormat="false" ht="15.75" hidden="false" customHeight="false" outlineLevel="0" collapsed="false">
      <c r="A8" s="57" t="s">
        <v>1692</v>
      </c>
      <c r="B8" s="57" t="n">
        <v>0.892</v>
      </c>
      <c r="C8" s="58" t="n">
        <f aca="false">B8/B$22*B$24</f>
        <v>1.40104712041885</v>
      </c>
      <c r="D8" s="57" t="s">
        <v>682</v>
      </c>
      <c r="E8" s="59" t="n">
        <f aca="false">IFERROR(INDEX(Correspondance!$D$2:$D$3000,MATCH(A8,Correspondance!$A$2:$A$3000,0)),0)</f>
        <v>2.4</v>
      </c>
      <c r="F8" s="60" t="n">
        <f aca="false">C8*E8</f>
        <v>3.36251308900524</v>
      </c>
      <c r="G8" s="61"/>
      <c r="I8" s="63"/>
    </row>
    <row r="9" customFormat="false" ht="15.75" hidden="false" customHeight="false" outlineLevel="0" collapsed="false">
      <c r="A9" s="57" t="s">
        <v>706</v>
      </c>
      <c r="B9" s="57" t="n">
        <v>0.594</v>
      </c>
      <c r="C9" s="58" t="n">
        <f aca="false">B9/B$22*B$24</f>
        <v>0.932984293193717</v>
      </c>
      <c r="D9" s="57" t="s">
        <v>434</v>
      </c>
      <c r="E9" s="59" t="n">
        <f aca="false">IFERROR(INDEX(Correspondance!$D$2:$D$3000,MATCH(A9,Correspondance!$A$2:$A$3000,0)),0)</f>
        <v>7.5</v>
      </c>
      <c r="F9" s="60" t="n">
        <f aca="false">C9*E9</f>
        <v>6.99738219895288</v>
      </c>
      <c r="G9" s="61"/>
      <c r="I9" s="63"/>
    </row>
    <row r="10" customFormat="false" ht="15.75" hidden="false" customHeight="false" outlineLevel="0" collapsed="false">
      <c r="A10" s="57" t="s">
        <v>1919</v>
      </c>
      <c r="B10" s="57" t="n">
        <v>0.018</v>
      </c>
      <c r="C10" s="58" t="n">
        <f aca="false">B10/B$22*B$24</f>
        <v>0.0282722513089005</v>
      </c>
      <c r="D10" s="57" t="s">
        <v>434</v>
      </c>
      <c r="E10" s="59" t="n">
        <f aca="false">IFERROR(INDEX(Correspondance!$D$2:$D$3000,MATCH(A10,Correspondance!$A$2:$A$3000,0)),0)</f>
        <v>2</v>
      </c>
      <c r="F10" s="60" t="n">
        <f aca="false">C10*E10</f>
        <v>0.056544502617801</v>
      </c>
      <c r="G10" s="61"/>
      <c r="I10" s="63"/>
    </row>
    <row r="11" customFormat="false" ht="15.75" hidden="false" customHeight="false" outlineLevel="0" collapsed="false">
      <c r="A11" s="57" t="s">
        <v>1803</v>
      </c>
      <c r="B11" s="57"/>
      <c r="C11" s="58" t="n">
        <f aca="false">B11/B$22*B$24</f>
        <v>0</v>
      </c>
      <c r="D11" s="57" t="s">
        <v>434</v>
      </c>
      <c r="E11" s="59" t="n">
        <f aca="false">IFERROR(INDEX(Correspondance!$D$2:$D$3000,MATCH(A11,Correspondance!$A$2:$A$3000,0)),0)</f>
        <v>18</v>
      </c>
      <c r="F11" s="60" t="n">
        <f aca="false">C11*E11</f>
        <v>0</v>
      </c>
      <c r="G11" s="61"/>
      <c r="I11" s="63"/>
    </row>
    <row r="12" customFormat="false" ht="18.75" hidden="false" customHeight="true" outlineLevel="0" collapsed="false">
      <c r="A12" s="57"/>
      <c r="B12" s="64"/>
      <c r="C12" s="58" t="n">
        <f aca="false">B12/B$22*B$24</f>
        <v>0</v>
      </c>
      <c r="D12" s="57"/>
      <c r="E12" s="65" t="n">
        <f aca="false">IFERROR(INDEX(Correspondance!$D$2:$D$3000,MATCH(A12,Correspondance!$A$2:$A$3000,0)),0)</f>
        <v>0</v>
      </c>
      <c r="F12" s="60" t="n">
        <f aca="false">C12*E12</f>
        <v>0</v>
      </c>
      <c r="G12" s="61"/>
      <c r="I12" s="63"/>
    </row>
    <row r="13" customFormat="false" ht="18.75" hidden="false" customHeight="true" outlineLevel="0" collapsed="false">
      <c r="A13" s="57"/>
      <c r="B13" s="64"/>
      <c r="C13" s="58" t="n">
        <f aca="false">B13/B$22*B$24</f>
        <v>0</v>
      </c>
      <c r="D13" s="57"/>
      <c r="E13" s="65" t="n">
        <f aca="false">IFERROR(INDEX(Correspondance!$D$2:$D$3000,MATCH(A13,Correspondance!$A$2:$A$3000,0)),0)</f>
        <v>0</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65.7408376963351</v>
      </c>
      <c r="G19" s="61"/>
      <c r="I19" s="63"/>
    </row>
    <row r="20" customFormat="false" ht="18.75" hidden="false" customHeight="true" outlineLevel="0" collapsed="false">
      <c r="A20" s="68" t="s">
        <v>2628</v>
      </c>
      <c r="B20" s="69" t="n">
        <f aca="false">F19/B24</f>
        <v>0.597643979057592</v>
      </c>
      <c r="C20" s="70"/>
      <c r="G20" s="61"/>
      <c r="I20" s="63"/>
    </row>
    <row r="21" customFormat="false" ht="15.75" hidden="false" customHeight="false" outlineLevel="0" collapsed="false">
      <c r="A21" s="71" t="s">
        <v>2629</v>
      </c>
      <c r="B21" s="71" t="n">
        <f aca="false">SUM(B3:B18)</f>
        <v>8.404</v>
      </c>
      <c r="C21" s="66"/>
      <c r="G21" s="61"/>
      <c r="I21" s="63"/>
    </row>
    <row r="22" customFormat="false" ht="15.75" hidden="false" customHeight="false" outlineLevel="0" collapsed="false">
      <c r="A22" s="0" t="s">
        <v>2630</v>
      </c>
      <c r="B22" s="72" t="n">
        <f aca="false">B21/B23</f>
        <v>70.0333333333333</v>
      </c>
      <c r="C22" s="66"/>
      <c r="G22" s="61"/>
      <c r="I22" s="63"/>
    </row>
    <row r="23" customFormat="false" ht="15.75" hidden="false" customHeight="false" outlineLevel="0" collapsed="false">
      <c r="A23" s="0" t="s">
        <v>2631</v>
      </c>
      <c r="B23" s="0" t="n">
        <v>0.12</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94</v>
      </c>
      <c r="B1" s="50"/>
      <c r="C1" s="50"/>
      <c r="D1" s="50"/>
      <c r="E1" s="51" t="s">
        <v>2619</v>
      </c>
      <c r="F1" s="51"/>
      <c r="G1" s="52" t="s">
        <v>2741</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1858</v>
      </c>
      <c r="B4" s="57" t="n">
        <v>1.96</v>
      </c>
      <c r="C4" s="58" t="n">
        <f aca="false">B4/B$22*B$24</f>
        <v>3.08036671032266</v>
      </c>
      <c r="D4" s="57" t="s">
        <v>434</v>
      </c>
      <c r="E4" s="59" t="n">
        <f aca="false">IFERROR(INDEX(Correspondance!$D$2:$D$3000,MATCH(A4,Correspondance!$A$2:$A$3000,0)),0)</f>
        <v>3.33</v>
      </c>
      <c r="F4" s="60" t="n">
        <f aca="false">C4*E4</f>
        <v>10.2576211453744</v>
      </c>
      <c r="G4" s="61" t="s">
        <v>2745</v>
      </c>
    </row>
    <row r="5" customFormat="false" ht="15.75" hidden="false" customHeight="false" outlineLevel="0" collapsed="false">
      <c r="A5" s="57" t="s">
        <v>1944</v>
      </c>
      <c r="B5" s="57" t="n">
        <v>1.63</v>
      </c>
      <c r="C5" s="58" t="n">
        <f aca="false">B5/B$22*B$24</f>
        <v>2.56173353970711</v>
      </c>
      <c r="D5" s="57" t="s">
        <v>434</v>
      </c>
      <c r="E5" s="59" t="n">
        <f aca="false">IFERROR(INDEX(Correspondance!$D$2:$D$3000,MATCH(A5,Correspondance!$A$2:$A$3000,0)),0)</f>
        <v>9.5</v>
      </c>
      <c r="F5" s="60" t="n">
        <f aca="false">C5*E5</f>
        <v>24.3364686272175</v>
      </c>
      <c r="G5" s="61"/>
      <c r="I5" s="62"/>
    </row>
    <row r="6" customFormat="false" ht="15.75" hidden="false" customHeight="false" outlineLevel="0" collapsed="false">
      <c r="A6" s="57" t="s">
        <v>1958</v>
      </c>
      <c r="B6" s="57" t="n">
        <v>0.816</v>
      </c>
      <c r="C6" s="58" t="n">
        <f aca="false">B6/B$22*B$24</f>
        <v>1.28243838552209</v>
      </c>
      <c r="D6" s="57" t="s">
        <v>434</v>
      </c>
      <c r="E6" s="59" t="n">
        <f aca="false">IFERROR(INDEX(Correspondance!$D$2:$D$3000,MATCH(A6,Correspondance!$A$2:$A$3000,0)),0)</f>
        <v>1.6</v>
      </c>
      <c r="F6" s="60" t="n">
        <f aca="false">C6*E6</f>
        <v>2.05190141683534</v>
      </c>
      <c r="G6" s="61"/>
      <c r="I6" s="63"/>
    </row>
    <row r="7" customFormat="false" ht="15.75" hidden="false" customHeight="false" outlineLevel="0" collapsed="false">
      <c r="A7" s="57" t="s">
        <v>999</v>
      </c>
      <c r="B7" s="57" t="n">
        <v>0.272</v>
      </c>
      <c r="C7" s="58" t="n">
        <f aca="false">B7/B$22*B$24</f>
        <v>0.427479461840695</v>
      </c>
      <c r="D7" s="57" t="s">
        <v>434</v>
      </c>
      <c r="E7" s="59" t="n">
        <f aca="false">IFERROR(INDEX(Correspondance!$D$2:$D$3000,MATCH(A7,Correspondance!$A$2:$A$3000,0)),0)</f>
        <v>1.9</v>
      </c>
      <c r="F7" s="60" t="n">
        <f aca="false">C7*E7</f>
        <v>0.812210977497321</v>
      </c>
      <c r="G7" s="61"/>
      <c r="I7" s="63"/>
    </row>
    <row r="8" customFormat="false" ht="15.75" hidden="false" customHeight="false" outlineLevel="0" collapsed="false">
      <c r="A8" s="57" t="s">
        <v>2002</v>
      </c>
      <c r="B8" s="57" t="n">
        <v>1.36</v>
      </c>
      <c r="C8" s="58" t="n">
        <f aca="false">B8/B$22*B$24</f>
        <v>2.13739730920348</v>
      </c>
      <c r="D8" s="57" t="s">
        <v>682</v>
      </c>
      <c r="E8" s="59" t="n">
        <f aca="false">IFERROR(INDEX(Correspondance!$D$2:$D$3000,MATCH(A8,Correspondance!$A$2:$A$3000,0)),0)</f>
        <v>3.8</v>
      </c>
      <c r="F8" s="60" t="n">
        <f aca="false">C8*E8</f>
        <v>8.12210977497321</v>
      </c>
      <c r="G8" s="61"/>
      <c r="I8" s="63"/>
    </row>
    <row r="9" customFormat="false" ht="15.75" hidden="false" customHeight="false" outlineLevel="0" collapsed="false">
      <c r="A9" s="57" t="s">
        <v>1576</v>
      </c>
      <c r="B9" s="57" t="n">
        <v>1.36</v>
      </c>
      <c r="C9" s="58" t="n">
        <f aca="false">B9/B$22*B$24</f>
        <v>2.13739730920348</v>
      </c>
      <c r="D9" s="57" t="s">
        <v>434</v>
      </c>
      <c r="E9" s="59" t="n">
        <f aca="false">IFERROR(INDEX(Correspondance!$D$2:$D$3000,MATCH(A9,Correspondance!$A$2:$A$3000,0)),0)</f>
        <v>5.5</v>
      </c>
      <c r="F9" s="60" t="n">
        <f aca="false">C9*E9</f>
        <v>11.7556852006191</v>
      </c>
      <c r="G9" s="61"/>
      <c r="I9" s="63"/>
    </row>
    <row r="10" customFormat="false" ht="15.75" hidden="false" customHeight="false" outlineLevel="0" collapsed="false">
      <c r="A10" s="57" t="s">
        <v>1692</v>
      </c>
      <c r="B10" s="57" t="n">
        <v>0.544</v>
      </c>
      <c r="C10" s="58" t="n">
        <f aca="false">B10/B$22*B$24</f>
        <v>0.854958923681391</v>
      </c>
      <c r="D10" s="57" t="s">
        <v>682</v>
      </c>
      <c r="E10" s="59" t="n">
        <f aca="false">IFERROR(INDEX(Correspondance!$D$2:$D$3000,MATCH(A10,Correspondance!$A$2:$A$3000,0)),0)</f>
        <v>2.4</v>
      </c>
      <c r="F10" s="60" t="n">
        <f aca="false">C10*E10</f>
        <v>2.05190141683534</v>
      </c>
      <c r="G10" s="61"/>
      <c r="I10" s="63"/>
    </row>
    <row r="11" customFormat="false" ht="15.75" hidden="false" customHeight="false" outlineLevel="0" collapsed="false">
      <c r="A11" s="57" t="s">
        <v>706</v>
      </c>
      <c r="B11" s="57" t="n">
        <v>0.435</v>
      </c>
      <c r="C11" s="58" t="n">
        <f aca="false">B11/B$22*B$24</f>
        <v>0.683652815811406</v>
      </c>
      <c r="D11" s="57" t="s">
        <v>434</v>
      </c>
      <c r="E11" s="59" t="n">
        <f aca="false">IFERROR(INDEX(Correspondance!$D$2:$D$3000,MATCH(A11,Correspondance!$A$2:$A$3000,0)),0)</f>
        <v>7.5</v>
      </c>
      <c r="F11" s="60" t="n">
        <f aca="false">C11*E11</f>
        <v>5.12739611858555</v>
      </c>
      <c r="G11" s="61"/>
      <c r="I11" s="63"/>
    </row>
    <row r="12" customFormat="false" ht="18.75" hidden="false" customHeight="true" outlineLevel="0" collapsed="false">
      <c r="A12" s="57" t="s">
        <v>1919</v>
      </c>
      <c r="B12" s="64" t="n">
        <v>0.022</v>
      </c>
      <c r="C12" s="58" t="n">
        <f aca="false">B12/B$22*B$24</f>
        <v>0.0345755447077033</v>
      </c>
      <c r="D12" s="57" t="s">
        <v>434</v>
      </c>
      <c r="E12" s="59" t="n">
        <f aca="false">IFERROR(INDEX(Correspondance!$D$2:$D$3000,MATCH(A12,Correspondance!$A$2:$A$3000,0)),0)</f>
        <v>2</v>
      </c>
      <c r="F12" s="60" t="n">
        <f aca="false">C12*E12</f>
        <v>0.0691510894154066</v>
      </c>
      <c r="G12" s="61"/>
      <c r="I12" s="63"/>
    </row>
    <row r="13" customFormat="false" ht="18.75" hidden="false" customHeight="true" outlineLevel="0" collapsed="false">
      <c r="A13" s="57" t="s">
        <v>1800</v>
      </c>
      <c r="B13" s="64"/>
      <c r="C13" s="58" t="n">
        <f aca="false">B13/B$22*B$24</f>
        <v>0</v>
      </c>
      <c r="D13" s="57" t="s">
        <v>434</v>
      </c>
      <c r="E13" s="59" t="n">
        <f aca="false">IFERROR(INDEX(Correspondance!$D$2:$D$3000,MATCH(A13,Correspondance!$A$2:$A$3000,0)),0)</f>
        <v>18</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64.5844457673533</v>
      </c>
      <c r="G19" s="61"/>
      <c r="I19" s="63"/>
    </row>
    <row r="20" customFormat="false" ht="18.75" hidden="false" customHeight="true" outlineLevel="0" collapsed="false">
      <c r="A20" s="68" t="s">
        <v>2628</v>
      </c>
      <c r="B20" s="69" t="n">
        <f aca="false">F19/B24</f>
        <v>0.587131325157757</v>
      </c>
      <c r="C20" s="70"/>
      <c r="G20" s="61"/>
      <c r="I20" s="63"/>
    </row>
    <row r="21" customFormat="false" ht="15.75" hidden="false" customHeight="false" outlineLevel="0" collapsed="false">
      <c r="A21" s="71" t="s">
        <v>2629</v>
      </c>
      <c r="B21" s="71" t="n">
        <f aca="false">SUM(B3:B18)</f>
        <v>8.399</v>
      </c>
      <c r="C21" s="66"/>
      <c r="G21" s="61"/>
      <c r="I21" s="63"/>
    </row>
    <row r="22" customFormat="false" ht="15.75" hidden="false" customHeight="false" outlineLevel="0" collapsed="false">
      <c r="A22" s="0" t="s">
        <v>2630</v>
      </c>
      <c r="B22" s="72" t="n">
        <f aca="false">B21/B23</f>
        <v>69.9916666666667</v>
      </c>
      <c r="C22" s="66"/>
      <c r="G22" s="61"/>
      <c r="I22" s="63"/>
    </row>
    <row r="23" customFormat="false" ht="15.75" hidden="false" customHeight="false" outlineLevel="0" collapsed="false">
      <c r="A23" s="0" t="s">
        <v>2631</v>
      </c>
      <c r="B23" s="0" t="n">
        <v>0.12</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96</v>
      </c>
      <c r="B1" s="50"/>
      <c r="C1" s="50"/>
      <c r="D1" s="50"/>
      <c r="E1" s="51" t="s">
        <v>2619</v>
      </c>
      <c r="F1" s="51"/>
      <c r="G1" s="52" t="s">
        <v>2746</v>
      </c>
    </row>
    <row r="2" customFormat="false" ht="24.75" hidden="false" customHeight="true" outlineLevel="0" collapsed="false">
      <c r="A2" s="50"/>
      <c r="B2" s="50"/>
      <c r="C2" s="50"/>
      <c r="D2" s="50"/>
      <c r="E2" s="53" t="s">
        <v>2692</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1942</v>
      </c>
      <c r="B4" s="57" t="n">
        <v>3.19</v>
      </c>
      <c r="C4" s="58" t="n">
        <f aca="false">B4/B$22*B$24</f>
        <v>5.01047120418848</v>
      </c>
      <c r="D4" s="57" t="s">
        <v>434</v>
      </c>
      <c r="E4" s="59" t="n">
        <f aca="false">IFERROR(INDEX(Correspondance!$D$2:$D$3000,MATCH(A4,Correspondance!$A$2:$A$3000,0)),0)</f>
        <v>9</v>
      </c>
      <c r="F4" s="60" t="n">
        <f aca="false">C4*E4</f>
        <v>45.0942408376963</v>
      </c>
      <c r="G4" s="61" t="s">
        <v>2747</v>
      </c>
    </row>
    <row r="5" customFormat="false" ht="15.75" hidden="false" customHeight="false" outlineLevel="0" collapsed="false">
      <c r="A5" s="57" t="s">
        <v>1895</v>
      </c>
      <c r="B5" s="57" t="n">
        <v>2.55</v>
      </c>
      <c r="C5" s="58" t="n">
        <f aca="false">B5/B$22*B$24</f>
        <v>4.00523560209424</v>
      </c>
      <c r="D5" s="57" t="s">
        <v>434</v>
      </c>
      <c r="E5" s="59" t="n">
        <f aca="false">IFERROR(INDEX(Correspondance!$D$2:$D$3000,MATCH(A5,Correspondance!$A$2:$A$3000,0)),0)</f>
        <v>5.5</v>
      </c>
      <c r="F5" s="60" t="n">
        <f aca="false">C5*E5</f>
        <v>22.0287958115183</v>
      </c>
      <c r="G5" s="61"/>
      <c r="I5" s="62"/>
    </row>
    <row r="6" customFormat="false" ht="15.75" hidden="false" customHeight="false" outlineLevel="0" collapsed="false">
      <c r="A6" s="57" t="s">
        <v>1753</v>
      </c>
      <c r="B6" s="57" t="n">
        <v>0.765</v>
      </c>
      <c r="C6" s="58" t="n">
        <f aca="false">B6/B$22*B$24</f>
        <v>1.20157068062827</v>
      </c>
      <c r="D6" s="57" t="s">
        <v>434</v>
      </c>
      <c r="E6" s="59" t="n">
        <f aca="false">IFERROR(INDEX(Correspondance!$D$2:$D$3000,MATCH(A6,Correspondance!$A$2:$A$3000,0)),0)</f>
        <v>2.8</v>
      </c>
      <c r="F6" s="60" t="n">
        <f aca="false">C6*E6</f>
        <v>3.36439790575916</v>
      </c>
      <c r="G6" s="61"/>
      <c r="I6" s="63"/>
    </row>
    <row r="7" customFormat="false" ht="15.75" hidden="false" customHeight="false" outlineLevel="0" collapsed="false">
      <c r="A7" s="57" t="s">
        <v>1766</v>
      </c>
      <c r="B7" s="57" t="n">
        <v>0.382</v>
      </c>
      <c r="C7" s="58" t="n">
        <f aca="false">B7/B$22*B$24</f>
        <v>0.6</v>
      </c>
      <c r="D7" s="57" t="s">
        <v>434</v>
      </c>
      <c r="E7" s="59" t="n">
        <f aca="false">IFERROR(INDEX(Correspondance!$D$2:$D$3000,MATCH(A7,Correspondance!$A$2:$A$3000,0)),0)</f>
        <v>16</v>
      </c>
      <c r="F7" s="60" t="n">
        <f aca="false">C7*E7</f>
        <v>9.6</v>
      </c>
      <c r="G7" s="61"/>
      <c r="I7" s="63"/>
    </row>
    <row r="8" customFormat="false" ht="15.75" hidden="false" customHeight="false" outlineLevel="0" collapsed="false">
      <c r="A8" s="57" t="s">
        <v>1223</v>
      </c>
      <c r="B8" s="57" t="n">
        <v>0.765</v>
      </c>
      <c r="C8" s="58" t="n">
        <f aca="false">B8/B$22*B$24</f>
        <v>1.20157068062827</v>
      </c>
      <c r="D8" s="57" t="s">
        <v>434</v>
      </c>
      <c r="E8" s="59" t="n">
        <f aca="false">IFERROR(INDEX(Correspondance!$D$2:$D$3000,MATCH(A8,Correspondance!$A$2:$A$3000,0)),0)</f>
        <v>4.5</v>
      </c>
      <c r="F8" s="60" t="n">
        <f aca="false">C8*E8</f>
        <v>5.40706806282723</v>
      </c>
      <c r="G8" s="61"/>
      <c r="I8" s="63"/>
    </row>
    <row r="9" customFormat="false" ht="15.75" hidden="false" customHeight="false" outlineLevel="0" collapsed="false">
      <c r="A9" s="57" t="s">
        <v>747</v>
      </c>
      <c r="B9" s="57" t="n">
        <v>0.382</v>
      </c>
      <c r="C9" s="58" t="n">
        <f aca="false">B9/B$22*B$24</f>
        <v>0.6</v>
      </c>
      <c r="D9" s="57" t="s">
        <v>434</v>
      </c>
      <c r="E9" s="59" t="n">
        <f aca="false">IFERROR(INDEX(Correspondance!$D$2:$D$3000,MATCH(A9,Correspondance!$A$2:$A$3000,0)),0)</f>
        <v>2.5</v>
      </c>
      <c r="F9" s="60" t="n">
        <f aca="false">C9*E9</f>
        <v>1.5</v>
      </c>
      <c r="G9" s="61"/>
      <c r="I9" s="63"/>
    </row>
    <row r="10" customFormat="false" ht="15.75" hidden="false" customHeight="false" outlineLevel="0" collapsed="false">
      <c r="A10" s="57" t="s">
        <v>1291</v>
      </c>
      <c r="B10" s="57" t="n">
        <v>0.064</v>
      </c>
      <c r="C10" s="58" t="n">
        <f aca="false">B10/B$22*B$24</f>
        <v>0.100523560209424</v>
      </c>
      <c r="D10" s="57" t="s">
        <v>682</v>
      </c>
      <c r="E10" s="59" t="n">
        <f aca="false">IFERROR(INDEX(Correspondance!$D$2:$D$3000,MATCH(A10,Correspondance!$A$2:$A$3000,0)),0)</f>
        <v>2.5</v>
      </c>
      <c r="F10" s="60" t="n">
        <f aca="false">C10*E10</f>
        <v>0.25130890052356</v>
      </c>
      <c r="G10" s="61"/>
      <c r="I10" s="63"/>
    </row>
    <row r="11" customFormat="false" ht="15.75" hidden="false" customHeight="false" outlineLevel="0" collapsed="false">
      <c r="A11" s="57" t="s">
        <v>894</v>
      </c>
      <c r="B11" s="57" t="n">
        <v>0.013</v>
      </c>
      <c r="C11" s="58" t="n">
        <f aca="false">B11/B$22*B$24</f>
        <v>0.0204188481675393</v>
      </c>
      <c r="D11" s="57" t="s">
        <v>434</v>
      </c>
      <c r="E11" s="59" t="n">
        <f aca="false">IFERROR(INDEX(Correspondance!$D$2:$D$3000,MATCH(A11,Correspondance!$A$2:$A$3000,0)),0)</f>
        <v>5.5</v>
      </c>
      <c r="F11" s="60" t="n">
        <f aca="false">C11*E11</f>
        <v>0.112303664921466</v>
      </c>
      <c r="G11" s="61"/>
      <c r="I11" s="63"/>
    </row>
    <row r="12" customFormat="false" ht="18.75" hidden="false" customHeight="true" outlineLevel="0" collapsed="false">
      <c r="A12" s="57" t="s">
        <v>1475</v>
      </c>
      <c r="B12" s="64" t="n">
        <v>0.064</v>
      </c>
      <c r="C12" s="58" t="n">
        <f aca="false">B12/B$22*B$24</f>
        <v>0.100523560209424</v>
      </c>
      <c r="D12" s="57" t="s">
        <v>434</v>
      </c>
      <c r="E12" s="59" t="n">
        <f aca="false">IFERROR(INDEX(Correspondance!$D$2:$D$3000,MATCH(A12,Correspondance!$A$2:$A$3000,0)),0)</f>
        <v>22</v>
      </c>
      <c r="F12" s="60" t="n">
        <f aca="false">C12*E12</f>
        <v>2.21151832460733</v>
      </c>
      <c r="G12" s="61"/>
      <c r="I12" s="63"/>
    </row>
    <row r="13" customFormat="false" ht="18.75" hidden="false" customHeight="true" outlineLevel="0" collapsed="false">
      <c r="A13" s="57" t="s">
        <v>1120</v>
      </c>
      <c r="B13" s="64" t="n">
        <v>0.191</v>
      </c>
      <c r="C13" s="58" t="n">
        <f aca="false">B13/B$22*B$24</f>
        <v>0.3</v>
      </c>
      <c r="D13" s="57" t="s">
        <v>682</v>
      </c>
      <c r="E13" s="59" t="n">
        <f aca="false">IFERROR(INDEX(Correspondance!$D$2:$D$3000,MATCH(A13,Correspondance!$A$2:$A$3000,0)),0)</f>
        <v>7.5</v>
      </c>
      <c r="F13" s="60" t="n">
        <f aca="false">C13*E13</f>
        <v>2.25</v>
      </c>
      <c r="G13" s="61"/>
      <c r="I13" s="63"/>
    </row>
    <row r="14" customFormat="false" ht="15.75" hidden="false" customHeight="false" outlineLevel="0" collapsed="false">
      <c r="A14" s="57" t="s">
        <v>1919</v>
      </c>
      <c r="B14" s="57" t="n">
        <v>0.038</v>
      </c>
      <c r="C14" s="58" t="n">
        <f aca="false">B14/B$22*B$24</f>
        <v>0.0596858638743456</v>
      </c>
      <c r="D14" s="57" t="s">
        <v>434</v>
      </c>
      <c r="E14" s="59" t="n">
        <f aca="false">IFERROR(INDEX(Correspondance!$D$2:$D$3000,MATCH(A14,Correspondance!$A$2:$A$3000,0)),0)</f>
        <v>2</v>
      </c>
      <c r="F14" s="60" t="n">
        <f aca="false">C14*E14</f>
        <v>0.119371727748691</v>
      </c>
      <c r="G14" s="61"/>
      <c r="I14" s="63"/>
    </row>
    <row r="15" customFormat="false" ht="15.75" hidden="false" customHeight="false" outlineLevel="0" collapsed="false">
      <c r="A15" s="57" t="s">
        <v>1804</v>
      </c>
      <c r="B15" s="57"/>
      <c r="C15" s="58" t="n">
        <f aca="false">B15/B$22*B$24</f>
        <v>0</v>
      </c>
      <c r="D15" s="57" t="s">
        <v>434</v>
      </c>
      <c r="E15" s="59" t="n">
        <f aca="false">IFERROR(INDEX(Correspondance!$D$2:$D$3000,MATCH(A15,Correspondance!$A$2:$A$3000,0)),0)</f>
        <v>18</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91.9390052356021</v>
      </c>
      <c r="G19" s="61"/>
      <c r="I19" s="63"/>
    </row>
    <row r="20" customFormat="false" ht="18.75" hidden="false" customHeight="true" outlineLevel="0" collapsed="false">
      <c r="A20" s="68" t="s">
        <v>2628</v>
      </c>
      <c r="B20" s="69" t="n">
        <f aca="false">F19/B24</f>
        <v>0.835809138505474</v>
      </c>
      <c r="C20" s="70"/>
      <c r="G20" s="61"/>
      <c r="I20" s="63"/>
    </row>
    <row r="21" customFormat="false" ht="15.75" hidden="false" customHeight="false" outlineLevel="0" collapsed="false">
      <c r="A21" s="71" t="s">
        <v>2629</v>
      </c>
      <c r="B21" s="71" t="n">
        <f aca="false">SUM(B3:B18)</f>
        <v>8.404</v>
      </c>
      <c r="C21" s="66"/>
      <c r="G21" s="61"/>
      <c r="I21" s="63"/>
    </row>
    <row r="22" customFormat="false" ht="15.75" hidden="false" customHeight="false" outlineLevel="0" collapsed="false">
      <c r="A22" s="0" t="s">
        <v>2630</v>
      </c>
      <c r="B22" s="72" t="n">
        <f aca="false">B21/B23</f>
        <v>70.0333333333333</v>
      </c>
      <c r="C22" s="66"/>
      <c r="G22" s="61"/>
      <c r="I22" s="63"/>
    </row>
    <row r="23" customFormat="false" ht="15.75" hidden="false" customHeight="false" outlineLevel="0" collapsed="false">
      <c r="A23" s="0" t="s">
        <v>2631</v>
      </c>
      <c r="B23" s="0" t="n">
        <v>0.12</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97</v>
      </c>
      <c r="B1" s="50"/>
      <c r="C1" s="50"/>
      <c r="D1" s="50"/>
      <c r="E1" s="51" t="s">
        <v>2619</v>
      </c>
      <c r="F1" s="51"/>
      <c r="G1" s="52" t="s">
        <v>2728</v>
      </c>
    </row>
    <row r="2" customFormat="false" ht="24.75" hidden="false" customHeight="true" outlineLevel="0" collapsed="false">
      <c r="A2" s="50"/>
      <c r="B2" s="50"/>
      <c r="C2" s="50"/>
      <c r="D2" s="50"/>
      <c r="E2" s="53" t="s">
        <v>2621</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629</v>
      </c>
      <c r="B4" s="57" t="n">
        <v>3.42</v>
      </c>
      <c r="C4" s="58" t="n">
        <f aca="false">B4/B$22*B$24</f>
        <v>5.37620578778135</v>
      </c>
      <c r="D4" s="57" t="s">
        <v>434</v>
      </c>
      <c r="E4" s="59" t="n">
        <f aca="false">IFERROR(INDEX(Correspondance!$D$2:$D$3000,MATCH(A4,Correspondance!$A$2:$A$3000,0)),0)</f>
        <v>6</v>
      </c>
      <c r="F4" s="60" t="n">
        <f aca="false">C4*E4</f>
        <v>32.2572347266881</v>
      </c>
      <c r="G4" s="61" t="s">
        <v>2748</v>
      </c>
    </row>
    <row r="5" customFormat="false" ht="15.75" hidden="false" customHeight="false" outlineLevel="0" collapsed="false">
      <c r="A5" s="57" t="s">
        <v>1223</v>
      </c>
      <c r="B5" s="57" t="n">
        <v>0.685</v>
      </c>
      <c r="C5" s="58" t="n">
        <f aca="false">B5/B$22*B$24</f>
        <v>1.0768131475527</v>
      </c>
      <c r="D5" s="57" t="s">
        <v>434</v>
      </c>
      <c r="E5" s="59" t="n">
        <f aca="false">IFERROR(INDEX(Correspondance!$D$2:$D$3000,MATCH(A5,Correspondance!$A$2:$A$3000,0)),0)</f>
        <v>4.5</v>
      </c>
      <c r="F5" s="60" t="n">
        <f aca="false">C5*E5</f>
        <v>4.84565916398714</v>
      </c>
      <c r="G5" s="61"/>
      <c r="I5" s="62"/>
    </row>
    <row r="6" customFormat="false" ht="15.75" hidden="false" customHeight="false" outlineLevel="0" collapsed="false">
      <c r="A6" s="57" t="s">
        <v>1213</v>
      </c>
      <c r="B6" s="57" t="n">
        <v>0.137</v>
      </c>
      <c r="C6" s="58" t="n">
        <f aca="false">B6/B$22*B$24</f>
        <v>0.21536262951054</v>
      </c>
      <c r="D6" s="57" t="s">
        <v>434</v>
      </c>
      <c r="E6" s="59" t="n">
        <f aca="false">IFERROR(INDEX(Correspondance!$D$2:$D$3000,MATCH(A6,Correspondance!$A$2:$A$3000,0)),0)</f>
        <v>3</v>
      </c>
      <c r="F6" s="60" t="n">
        <f aca="false">C6*E6</f>
        <v>0.646087888531619</v>
      </c>
      <c r="G6" s="61"/>
      <c r="I6" s="63"/>
    </row>
    <row r="7" customFormat="false" ht="15.75" hidden="false" customHeight="false" outlineLevel="0" collapsed="false">
      <c r="A7" s="57" t="s">
        <v>1554</v>
      </c>
      <c r="B7" s="57" t="n">
        <v>0.034</v>
      </c>
      <c r="C7" s="58" t="n">
        <f aca="false">B7/B$22*B$24</f>
        <v>0.0534476598785281</v>
      </c>
      <c r="D7" s="57" t="s">
        <v>682</v>
      </c>
      <c r="E7" s="59" t="n">
        <f aca="false">IFERROR(INDEX(Correspondance!$D$2:$D$3000,MATCH(A7,Correspondance!$A$2:$A$3000,0)),0)</f>
        <v>22</v>
      </c>
      <c r="F7" s="60" t="n">
        <f aca="false">C7*E7</f>
        <v>1.17584851732762</v>
      </c>
      <c r="G7" s="61"/>
      <c r="I7" s="63"/>
    </row>
    <row r="8" customFormat="false" ht="15.75" hidden="false" customHeight="false" outlineLevel="0" collapsed="false">
      <c r="A8" s="57" t="s">
        <v>1898</v>
      </c>
      <c r="B8" s="57" t="n">
        <v>0.685</v>
      </c>
      <c r="C8" s="58" t="n">
        <f aca="false">B8/B$22*B$24</f>
        <v>1.0768131475527</v>
      </c>
      <c r="D8" s="57" t="s">
        <v>434</v>
      </c>
      <c r="E8" s="59" t="n">
        <f aca="false">IFERROR(INDEX(Correspondance!$D$2:$D$3000,MATCH(A8,Correspondance!$A$2:$A$3000,0)),0)</f>
        <v>5.5</v>
      </c>
      <c r="F8" s="60" t="n">
        <f aca="false">C8*E8</f>
        <v>5.92247231153984</v>
      </c>
      <c r="G8" s="61"/>
      <c r="I8" s="63"/>
    </row>
    <row r="9" customFormat="false" ht="15.75" hidden="false" customHeight="false" outlineLevel="0" collapsed="false">
      <c r="A9" s="57" t="s">
        <v>1549</v>
      </c>
      <c r="B9" s="57" t="n">
        <v>0.548</v>
      </c>
      <c r="C9" s="58" t="n">
        <f aca="false">B9/B$22*B$24</f>
        <v>0.861450518042158</v>
      </c>
      <c r="D9" s="57" t="s">
        <v>434</v>
      </c>
      <c r="E9" s="59" t="n">
        <f aca="false">IFERROR(INDEX(Correspondance!$D$2:$D$3000,MATCH(A9,Correspondance!$A$2:$A$3000,0)),0)</f>
        <v>2.2</v>
      </c>
      <c r="F9" s="60" t="n">
        <f aca="false">C9*E9</f>
        <v>1.89519113969275</v>
      </c>
      <c r="G9" s="61"/>
      <c r="I9" s="63"/>
    </row>
    <row r="10" customFormat="false" ht="15.75" hidden="false" customHeight="false" outlineLevel="0" collapsed="false">
      <c r="A10" s="57" t="s">
        <v>1131</v>
      </c>
      <c r="B10" s="57" t="n">
        <v>0.068</v>
      </c>
      <c r="C10" s="58" t="n">
        <f aca="false">B10/B$22*B$24</f>
        <v>0.106895319757056</v>
      </c>
      <c r="D10" s="57" t="s">
        <v>682</v>
      </c>
      <c r="E10" s="59" t="n">
        <f aca="false">IFERROR(INDEX(Correspondance!$D$2:$D$3000,MATCH(A10,Correspondance!$A$2:$A$3000,0)),0)</f>
        <v>2.2</v>
      </c>
      <c r="F10" s="60" t="n">
        <f aca="false">C10*E10</f>
        <v>0.235169703465523</v>
      </c>
      <c r="G10" s="61"/>
      <c r="I10" s="63"/>
    </row>
    <row r="11" customFormat="false" ht="15.75" hidden="false" customHeight="false" outlineLevel="0" collapsed="false">
      <c r="A11" s="57" t="s">
        <v>1978</v>
      </c>
      <c r="B11" s="57" t="n">
        <v>0.021</v>
      </c>
      <c r="C11" s="58" t="n">
        <f aca="false">B11/B$22*B$24</f>
        <v>0.0330117899249732</v>
      </c>
      <c r="D11" s="57" t="s">
        <v>682</v>
      </c>
      <c r="E11" s="59" t="n">
        <f aca="false">IFERROR(INDEX(Correspondance!$D$2:$D$3000,MATCH(A11,Correspondance!$A$2:$A$3000,0)),0)</f>
        <v>1.5</v>
      </c>
      <c r="F11" s="60" t="n">
        <f aca="false">C11*E11</f>
        <v>0.0495176848874598</v>
      </c>
      <c r="G11" s="61"/>
      <c r="I11" s="63"/>
    </row>
    <row r="12" customFormat="false" ht="18.75" hidden="false" customHeight="true" outlineLevel="0" collapsed="false">
      <c r="A12" s="57" t="s">
        <v>1540</v>
      </c>
      <c r="B12" s="64"/>
      <c r="C12" s="58" t="n">
        <f aca="false">B12/B$22*B$24</f>
        <v>0</v>
      </c>
      <c r="D12" s="57" t="s">
        <v>434</v>
      </c>
      <c r="E12" s="59" t="n">
        <f aca="false">IFERROR(INDEX(Correspondance!$D$2:$D$3000,MATCH(A12,Correspondance!$A$2:$A$3000,0)),0)</f>
        <v>13</v>
      </c>
      <c r="F12" s="60" t="n">
        <f aca="false">C12*E12</f>
        <v>0</v>
      </c>
      <c r="G12" s="61"/>
      <c r="I12" s="63"/>
    </row>
    <row r="13" customFormat="false" ht="18.75" hidden="false" customHeight="true" outlineLevel="0" collapsed="false">
      <c r="A13" s="57" t="s">
        <v>1925</v>
      </c>
      <c r="B13" s="64"/>
      <c r="C13" s="58" t="n">
        <f aca="false">B13/B$22*B$24</f>
        <v>0</v>
      </c>
      <c r="D13" s="57" t="s">
        <v>434</v>
      </c>
      <c r="E13" s="59" t="n">
        <f aca="false">IFERROR(INDEX(Correspondance!$D$2:$D$3000,MATCH(A13,Correspondance!$A$2:$A$3000,0)),0)</f>
        <v>2</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47.0271811361201</v>
      </c>
      <c r="G19" s="61"/>
      <c r="I19" s="63"/>
    </row>
    <row r="20" customFormat="false" ht="18.75" hidden="false" customHeight="true" outlineLevel="0" collapsed="false">
      <c r="A20" s="68" t="s">
        <v>2628</v>
      </c>
      <c r="B20" s="69" t="n">
        <f aca="false">F19/B24</f>
        <v>0.427519828510182</v>
      </c>
      <c r="C20" s="70"/>
      <c r="G20" s="61"/>
      <c r="I20" s="63"/>
    </row>
    <row r="21" customFormat="false" ht="15.75" hidden="false" customHeight="false" outlineLevel="0" collapsed="false">
      <c r="A21" s="71" t="s">
        <v>2629</v>
      </c>
      <c r="B21" s="71" t="n">
        <f aca="false">SUM(B3:B18)</f>
        <v>5.598</v>
      </c>
      <c r="C21" s="66"/>
      <c r="G21" s="61"/>
      <c r="I21" s="63"/>
    </row>
    <row r="22" customFormat="false" ht="15.75" hidden="false" customHeight="false" outlineLevel="0" collapsed="false">
      <c r="A22" s="0" t="s">
        <v>2630</v>
      </c>
      <c r="B22" s="72" t="n">
        <f aca="false">B21/B23</f>
        <v>69.975</v>
      </c>
      <c r="C22" s="66"/>
      <c r="G22" s="61"/>
      <c r="I22" s="63"/>
    </row>
    <row r="23" customFormat="false" ht="15.75" hidden="false" customHeight="false" outlineLevel="0" collapsed="false">
      <c r="A23" s="0" t="s">
        <v>2631</v>
      </c>
      <c r="B23" s="0" t="n">
        <v>0.08</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98</v>
      </c>
      <c r="B1" s="50"/>
      <c r="C1" s="50"/>
      <c r="D1" s="50"/>
      <c r="E1" s="51" t="s">
        <v>2619</v>
      </c>
      <c r="F1" s="51"/>
      <c r="G1" s="52" t="s">
        <v>2749</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1740</v>
      </c>
      <c r="B4" s="57" t="n">
        <v>4.97</v>
      </c>
      <c r="C4" s="58" t="n">
        <f aca="false">B4/B$22*B$24</f>
        <v>7.81</v>
      </c>
      <c r="D4" s="57" t="s">
        <v>434</v>
      </c>
      <c r="E4" s="59" t="n">
        <f aca="false">IFERROR(INDEX(Correspondance!$D$2:$D$3000,MATCH(A4,Correspondance!$A$2:$A$3000,0)),0)</f>
        <v>8</v>
      </c>
      <c r="F4" s="60" t="n">
        <f aca="false">C4*E4</f>
        <v>62.48</v>
      </c>
      <c r="G4" s="61" t="s">
        <v>2750</v>
      </c>
    </row>
    <row r="5" customFormat="false" ht="15.75" hidden="false" customHeight="false" outlineLevel="0" collapsed="false">
      <c r="A5" s="57" t="s">
        <v>1131</v>
      </c>
      <c r="B5" s="57" t="n">
        <v>0.124</v>
      </c>
      <c r="C5" s="58" t="n">
        <f aca="false">B5/B$22*B$24</f>
        <v>0.194857142857143</v>
      </c>
      <c r="D5" s="57" t="s">
        <v>682</v>
      </c>
      <c r="E5" s="59" t="n">
        <f aca="false">IFERROR(INDEX(Correspondance!$D$2:$D$3000,MATCH(A5,Correspondance!$A$2:$A$3000,0)),0)</f>
        <v>2.2</v>
      </c>
      <c r="F5" s="60" t="n">
        <f aca="false">C5*E5</f>
        <v>0.428685714285714</v>
      </c>
      <c r="G5" s="61"/>
      <c r="I5" s="62"/>
    </row>
    <row r="6" customFormat="false" ht="15.75" hidden="false" customHeight="false" outlineLevel="0" collapsed="false">
      <c r="A6" s="57" t="s">
        <v>1898</v>
      </c>
      <c r="B6" s="57" t="n">
        <v>0.932</v>
      </c>
      <c r="C6" s="58" t="n">
        <f aca="false">B6/B$22*B$24</f>
        <v>1.46457142857143</v>
      </c>
      <c r="D6" s="57" t="s">
        <v>434</v>
      </c>
      <c r="E6" s="59" t="n">
        <f aca="false">IFERROR(INDEX(Correspondance!$D$2:$D$3000,MATCH(A6,Correspondance!$A$2:$A$3000,0)),0)</f>
        <v>5.5</v>
      </c>
      <c r="F6" s="60" t="n">
        <f aca="false">C6*E6</f>
        <v>8.05514285714286</v>
      </c>
      <c r="G6" s="61"/>
      <c r="I6" s="63"/>
    </row>
    <row r="7" customFormat="false" ht="15.75" hidden="false" customHeight="false" outlineLevel="0" collapsed="false">
      <c r="A7" s="57" t="s">
        <v>1717</v>
      </c>
      <c r="B7" s="57"/>
      <c r="C7" s="58" t="n">
        <f aca="false">B7/B$22*B$24</f>
        <v>0</v>
      </c>
      <c r="D7" s="57" t="s">
        <v>434</v>
      </c>
      <c r="E7" s="59" t="n">
        <f aca="false">IFERROR(INDEX(Correspondance!$D$2:$D$3000,MATCH(A7,Correspondance!$A$2:$A$3000,0)),0)</f>
        <v>30</v>
      </c>
      <c r="F7" s="60" t="n">
        <f aca="false">C7*E7</f>
        <v>0</v>
      </c>
      <c r="G7" s="61"/>
      <c r="I7" s="63"/>
    </row>
    <row r="8" customFormat="false" ht="15.75" hidden="false" customHeight="false" outlineLevel="0" collapsed="false">
      <c r="A8" s="57" t="s">
        <v>1244</v>
      </c>
      <c r="B8" s="57" t="n">
        <v>0.186</v>
      </c>
      <c r="C8" s="58" t="n">
        <f aca="false">B8/B$22*B$24</f>
        <v>0.292285714285714</v>
      </c>
      <c r="D8" s="57" t="s">
        <v>682</v>
      </c>
      <c r="E8" s="59" t="n">
        <f aca="false">IFERROR(INDEX(Correspondance!$D$2:$D$3000,MATCH(A8,Correspondance!$A$2:$A$3000,0)),0)</f>
        <v>5</v>
      </c>
      <c r="F8" s="60" t="n">
        <f aca="false">C8*E8</f>
        <v>1.46142857142857</v>
      </c>
      <c r="G8" s="61"/>
      <c r="I8" s="63"/>
    </row>
    <row r="9" customFormat="false" ht="15.75" hidden="false" customHeight="false" outlineLevel="0" collapsed="false">
      <c r="A9" s="57" t="s">
        <v>1459</v>
      </c>
      <c r="B9" s="57" t="n">
        <v>0.373</v>
      </c>
      <c r="C9" s="58" t="n">
        <f aca="false">B9/B$22*B$24</f>
        <v>0.586142857142857</v>
      </c>
      <c r="D9" s="57" t="s">
        <v>682</v>
      </c>
      <c r="E9" s="59" t="n">
        <f aca="false">IFERROR(INDEX(Correspondance!$D$2:$D$3000,MATCH(A9,Correspondance!$A$2:$A$3000,0)),0)</f>
        <v>0</v>
      </c>
      <c r="F9" s="60" t="n">
        <f aca="false">C9*E9</f>
        <v>0</v>
      </c>
      <c r="G9" s="61"/>
      <c r="I9" s="63"/>
    </row>
    <row r="10" customFormat="false" ht="15.75" hidden="false" customHeight="false" outlineLevel="0" collapsed="false">
      <c r="A10" s="57" t="s">
        <v>1937</v>
      </c>
      <c r="B10" s="57" t="n">
        <v>0.093</v>
      </c>
      <c r="C10" s="58" t="n">
        <f aca="false">B10/B$22*B$24</f>
        <v>0.146142857142857</v>
      </c>
      <c r="D10" s="57" t="s">
        <v>434</v>
      </c>
      <c r="E10" s="59" t="n">
        <f aca="false">IFERROR(INDEX(Correspondance!$D$2:$D$3000,MATCH(A10,Correspondance!$A$2:$A$3000,0)),0)</f>
        <v>1.3</v>
      </c>
      <c r="F10" s="60" t="n">
        <f aca="false">C10*E10</f>
        <v>0.189985714285714</v>
      </c>
      <c r="G10" s="61"/>
      <c r="I10" s="63"/>
    </row>
    <row r="11" customFormat="false" ht="15.75" hidden="false" customHeight="false" outlineLevel="0" collapsed="false">
      <c r="A11" s="57" t="s">
        <v>1979</v>
      </c>
      <c r="B11" s="57" t="n">
        <v>0.093</v>
      </c>
      <c r="C11" s="58" t="n">
        <f aca="false">B11/B$22*B$24</f>
        <v>0.146142857142857</v>
      </c>
      <c r="D11" s="57" t="s">
        <v>682</v>
      </c>
      <c r="E11" s="59" t="n">
        <f aca="false">IFERROR(INDEX(Correspondance!$D$2:$D$3000,MATCH(A11,Correspondance!$A$2:$A$3000,0)),0)</f>
        <v>1</v>
      </c>
      <c r="F11" s="60" t="n">
        <f aca="false">C11*E11</f>
        <v>0.146142857142857</v>
      </c>
      <c r="G11" s="61"/>
      <c r="I11" s="63"/>
    </row>
    <row r="12" customFormat="false" ht="18.75" hidden="false" customHeight="true" outlineLevel="0" collapsed="false">
      <c r="A12" s="57" t="s">
        <v>1291</v>
      </c>
      <c r="B12" s="64" t="n">
        <v>0.031</v>
      </c>
      <c r="C12" s="58" t="n">
        <f aca="false">B12/B$22*B$24</f>
        <v>0.0487142857142857</v>
      </c>
      <c r="D12" s="57" t="s">
        <v>682</v>
      </c>
      <c r="E12" s="59" t="n">
        <f aca="false">IFERROR(INDEX(Correspondance!$D$2:$D$3000,MATCH(A12,Correspondance!$A$2:$A$3000,0)),0)</f>
        <v>2.5</v>
      </c>
      <c r="F12" s="60" t="n">
        <f aca="false">C12*E12</f>
        <v>0.121785714285714</v>
      </c>
      <c r="G12" s="61"/>
      <c r="I12" s="63"/>
    </row>
    <row r="13" customFormat="false" ht="18.75" hidden="false" customHeight="true" outlineLevel="0" collapsed="false">
      <c r="A13" s="57" t="s">
        <v>894</v>
      </c>
      <c r="B13" s="64" t="n">
        <v>0.012</v>
      </c>
      <c r="C13" s="58" t="n">
        <f aca="false">B13/B$22*B$24</f>
        <v>0.0188571428571429</v>
      </c>
      <c r="D13" s="57" t="s">
        <v>434</v>
      </c>
      <c r="E13" s="59" t="n">
        <f aca="false">IFERROR(INDEX(Correspondance!$D$2:$D$3000,MATCH(A13,Correspondance!$A$2:$A$3000,0)),0)</f>
        <v>5.5</v>
      </c>
      <c r="F13" s="60" t="n">
        <f aca="false">C13*E13</f>
        <v>0.103714285714286</v>
      </c>
      <c r="G13" s="61"/>
      <c r="I13" s="63"/>
    </row>
    <row r="14" customFormat="false" ht="15.75" hidden="false" customHeight="false" outlineLevel="0" collapsed="false">
      <c r="A14" s="57" t="s">
        <v>780</v>
      </c>
      <c r="B14" s="57" t="n">
        <v>0.186</v>
      </c>
      <c r="C14" s="58" t="n">
        <f aca="false">B14/B$22*B$24</f>
        <v>0.292285714285714</v>
      </c>
      <c r="D14" s="57" t="s">
        <v>434</v>
      </c>
      <c r="E14" s="59" t="n">
        <f aca="false">IFERROR(INDEX(Correspondance!$D$2:$D$3000,MATCH(A14,Correspondance!$A$2:$A$3000,0)),0)</f>
        <v>3.2</v>
      </c>
      <c r="F14" s="60" t="n">
        <f aca="false">C14*E14</f>
        <v>0.935314285714286</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73.9222</v>
      </c>
      <c r="G19" s="61"/>
      <c r="I19" s="63"/>
    </row>
    <row r="20" customFormat="false" ht="18.75" hidden="false" customHeight="true" outlineLevel="0" collapsed="false">
      <c r="A20" s="68" t="s">
        <v>2628</v>
      </c>
      <c r="B20" s="69" t="n">
        <f aca="false">F19/B24</f>
        <v>0.67202</v>
      </c>
      <c r="C20" s="70"/>
      <c r="G20" s="61"/>
      <c r="I20" s="63"/>
    </row>
    <row r="21" customFormat="false" ht="15.75" hidden="false" customHeight="false" outlineLevel="0" collapsed="false">
      <c r="A21" s="71" t="s">
        <v>2629</v>
      </c>
      <c r="B21" s="71" t="n">
        <f aca="false">SUM(B3:B18)</f>
        <v>7</v>
      </c>
      <c r="C21" s="66"/>
      <c r="G21" s="61"/>
      <c r="I21" s="63"/>
    </row>
    <row r="22" customFormat="false" ht="15.75" hidden="false" customHeight="false" outlineLevel="0" collapsed="false">
      <c r="A22" s="0" t="s">
        <v>2630</v>
      </c>
      <c r="B22" s="72" t="n">
        <f aca="false">B21/B23</f>
        <v>70</v>
      </c>
      <c r="C22" s="66"/>
      <c r="G22" s="61"/>
      <c r="I22" s="63"/>
    </row>
    <row r="23" customFormat="false" ht="15.75" hidden="false" customHeight="false" outlineLevel="0" collapsed="false">
      <c r="A23" s="0" t="s">
        <v>2631</v>
      </c>
      <c r="B23" s="0" t="n">
        <v>0.1</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99</v>
      </c>
      <c r="B1" s="50"/>
      <c r="C1" s="50"/>
      <c r="D1" s="50"/>
      <c r="E1" s="51" t="s">
        <v>2619</v>
      </c>
      <c r="F1" s="51"/>
      <c r="G1" s="52" t="s">
        <v>2645</v>
      </c>
    </row>
    <row r="2" customFormat="false" ht="24.75" hidden="false" customHeight="true" outlineLevel="0" collapsed="false">
      <c r="A2" s="50"/>
      <c r="B2" s="50"/>
      <c r="C2" s="50"/>
      <c r="D2" s="50"/>
      <c r="E2" s="53" t="s">
        <v>2621</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792</v>
      </c>
      <c r="B4" s="57" t="n">
        <v>4.26</v>
      </c>
      <c r="C4" s="58" t="n">
        <f aca="false">B4/B$22*B$24</f>
        <v>6.69907076483202</v>
      </c>
      <c r="D4" s="57" t="s">
        <v>434</v>
      </c>
      <c r="E4" s="59" t="n">
        <f aca="false">IFERROR(INDEX(Correspondance!$D$2:$D$3000,MATCH(A4,Correspondance!$A$2:$A$3000,0)),0)</f>
        <v>3.2</v>
      </c>
      <c r="F4" s="60" t="n">
        <f aca="false">C4*E4</f>
        <v>21.4370264474625</v>
      </c>
      <c r="G4" s="61" t="s">
        <v>2751</v>
      </c>
    </row>
    <row r="5" customFormat="false" ht="15.75" hidden="false" customHeight="false" outlineLevel="0" collapsed="false">
      <c r="A5" s="57" t="s">
        <v>1825</v>
      </c>
      <c r="B5" s="57" t="n">
        <v>1.77</v>
      </c>
      <c r="C5" s="58" t="n">
        <f aca="false">B5/B$22*B$24</f>
        <v>2.78341672623302</v>
      </c>
      <c r="D5" s="57" t="s">
        <v>434</v>
      </c>
      <c r="E5" s="59" t="n">
        <f aca="false">IFERROR(INDEX(Correspondance!$D$2:$D$3000,MATCH(A5,Correspondance!$A$2:$A$3000,0)),0)</f>
        <v>1.7</v>
      </c>
      <c r="F5" s="60" t="n">
        <f aca="false">C5*E5</f>
        <v>4.73180843459614</v>
      </c>
      <c r="G5" s="61"/>
      <c r="I5" s="62"/>
    </row>
    <row r="6" customFormat="false" ht="15.75" hidden="false" customHeight="false" outlineLevel="0" collapsed="false">
      <c r="A6" s="57" t="s">
        <v>1169</v>
      </c>
      <c r="B6" s="57" t="n">
        <v>0.213</v>
      </c>
      <c r="C6" s="58" t="n">
        <f aca="false">B6/B$22*B$24</f>
        <v>0.334953538241601</v>
      </c>
      <c r="D6" s="57" t="s">
        <v>434</v>
      </c>
      <c r="E6" s="59" t="n">
        <f aca="false">IFERROR(INDEX(Correspondance!$D$2:$D$3000,MATCH(A6,Correspondance!$A$2:$A$3000,0)),0)</f>
        <v>5</v>
      </c>
      <c r="F6" s="60" t="n">
        <f aca="false">C6*E6</f>
        <v>1.67476769120801</v>
      </c>
      <c r="G6" s="61"/>
      <c r="I6" s="63"/>
    </row>
    <row r="7" customFormat="false" ht="15.75" hidden="false" customHeight="false" outlineLevel="0" collapsed="false">
      <c r="A7" s="57" t="s">
        <v>1131</v>
      </c>
      <c r="B7" s="57" t="n">
        <v>0.355</v>
      </c>
      <c r="C7" s="58" t="n">
        <f aca="false">B7/B$22*B$24</f>
        <v>0.558255897069335</v>
      </c>
      <c r="D7" s="57" t="s">
        <v>682</v>
      </c>
      <c r="E7" s="59" t="n">
        <f aca="false">IFERROR(INDEX(Correspondance!$D$2:$D$3000,MATCH(A7,Correspondance!$A$2:$A$3000,0)),0)</f>
        <v>2.2</v>
      </c>
      <c r="F7" s="60" t="n">
        <f aca="false">C7*E7</f>
        <v>1.22816297355254</v>
      </c>
      <c r="G7" s="61"/>
      <c r="I7" s="63"/>
    </row>
    <row r="8" customFormat="false" ht="15.75" hidden="false" customHeight="false" outlineLevel="0" collapsed="false">
      <c r="A8" s="57" t="s">
        <v>1340</v>
      </c>
      <c r="B8" s="57" t="n">
        <v>0.177</v>
      </c>
      <c r="C8" s="58" t="n">
        <f aca="false">B8/B$22*B$24</f>
        <v>0.278341672623302</v>
      </c>
      <c r="D8" s="57" t="s">
        <v>682</v>
      </c>
      <c r="E8" s="59" t="n">
        <f aca="false">IFERROR(INDEX(Correspondance!$D$2:$D$3000,MATCH(A8,Correspondance!$A$2:$A$3000,0)),0)</f>
        <v>1.8</v>
      </c>
      <c r="F8" s="60" t="n">
        <f aca="false">C8*E8</f>
        <v>0.501015010721944</v>
      </c>
      <c r="G8" s="61"/>
      <c r="I8" s="63"/>
    </row>
    <row r="9" customFormat="false" ht="15.75" hidden="false" customHeight="false" outlineLevel="0" collapsed="false">
      <c r="A9" s="57" t="s">
        <v>1725</v>
      </c>
      <c r="B9" s="57" t="n">
        <v>0.071</v>
      </c>
      <c r="C9" s="58" t="n">
        <f aca="false">B9/B$22*B$24</f>
        <v>0.111651179413867</v>
      </c>
      <c r="D9" s="57" t="s">
        <v>434</v>
      </c>
      <c r="E9" s="59" t="n">
        <f aca="false">IFERROR(INDEX(Correspondance!$D$2:$D$3000,MATCH(A9,Correspondance!$A$2:$A$3000,0)),0)</f>
        <v>9</v>
      </c>
      <c r="F9" s="60" t="n">
        <f aca="false">C9*E9</f>
        <v>1.0048606147248</v>
      </c>
      <c r="G9" s="61"/>
      <c r="I9" s="63"/>
    </row>
    <row r="10" customFormat="false" ht="15.75" hidden="false" customHeight="false" outlineLevel="0" collapsed="false">
      <c r="A10" s="57" t="s">
        <v>1137</v>
      </c>
      <c r="B10" s="57" t="n">
        <v>0.071</v>
      </c>
      <c r="C10" s="58" t="n">
        <f aca="false">B10/B$22*B$24</f>
        <v>0.111651179413867</v>
      </c>
      <c r="D10" s="57" t="s">
        <v>434</v>
      </c>
      <c r="E10" s="59" t="n">
        <f aca="false">IFERROR(INDEX(Correspondance!$D$2:$D$3000,MATCH(A10,Correspondance!$A$2:$A$3000,0)),0)</f>
        <v>7.5</v>
      </c>
      <c r="F10" s="60" t="n">
        <f aca="false">C10*E10</f>
        <v>0.837383845604003</v>
      </c>
      <c r="G10" s="61"/>
      <c r="I10" s="63"/>
    </row>
    <row r="11" customFormat="false" ht="15.75" hidden="false" customHeight="false" outlineLevel="0" collapsed="false">
      <c r="A11" s="57" t="s">
        <v>1291</v>
      </c>
      <c r="B11" s="57" t="n">
        <v>0.035</v>
      </c>
      <c r="C11" s="58" t="n">
        <f aca="false">B11/B$22*B$24</f>
        <v>0.0550393137955683</v>
      </c>
      <c r="D11" s="57" t="s">
        <v>682</v>
      </c>
      <c r="E11" s="59" t="n">
        <f aca="false">IFERROR(INDEX(Correspondance!$D$2:$D$3000,MATCH(A11,Correspondance!$A$2:$A$3000,0)),0)</f>
        <v>2.5</v>
      </c>
      <c r="F11" s="60" t="n">
        <f aca="false">C11*E11</f>
        <v>0.137598284488921</v>
      </c>
      <c r="G11" s="61"/>
      <c r="I11" s="63"/>
    </row>
    <row r="12" customFormat="false" ht="18.75" hidden="false" customHeight="true" outlineLevel="0" collapsed="false">
      <c r="A12" s="57" t="s">
        <v>1919</v>
      </c>
      <c r="B12" s="64" t="n">
        <v>0.043</v>
      </c>
      <c r="C12" s="58" t="n">
        <f aca="false">B12/B$22*B$24</f>
        <v>0.0676197283774124</v>
      </c>
      <c r="D12" s="57" t="s">
        <v>434</v>
      </c>
      <c r="E12" s="59" t="n">
        <f aca="false">IFERROR(INDEX(Correspondance!$D$2:$D$3000,MATCH(A12,Correspondance!$A$2:$A$3000,0)),0)</f>
        <v>2</v>
      </c>
      <c r="F12" s="60" t="n">
        <f aca="false">C12*E12</f>
        <v>0.135239456754825</v>
      </c>
      <c r="G12" s="61"/>
      <c r="I12" s="63"/>
    </row>
    <row r="13" customFormat="false" ht="18.75" hidden="false" customHeight="true" outlineLevel="0" collapsed="false">
      <c r="A13" s="57" t="s">
        <v>1814</v>
      </c>
      <c r="B13" s="64"/>
      <c r="C13" s="58" t="n">
        <f aca="false">B13/B$22*B$24</f>
        <v>0</v>
      </c>
      <c r="D13" s="57" t="s">
        <v>434</v>
      </c>
      <c r="E13" s="59" t="n">
        <f aca="false">IFERROR(INDEX(Correspondance!$D$2:$D$3000,MATCH(A13,Correspondance!$A$2:$A$3000,0)),0)</f>
        <v>18</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31.6878627591137</v>
      </c>
      <c r="G19" s="61"/>
      <c r="I19" s="63"/>
    </row>
    <row r="20" customFormat="false" ht="18.75" hidden="false" customHeight="true" outlineLevel="0" collapsed="false">
      <c r="A20" s="68" t="s">
        <v>2628</v>
      </c>
      <c r="B20" s="69" t="n">
        <f aca="false">F19/B24</f>
        <v>0.288071479628306</v>
      </c>
      <c r="C20" s="70"/>
      <c r="G20" s="61"/>
      <c r="I20" s="63"/>
    </row>
    <row r="21" customFormat="false" ht="15.75" hidden="false" customHeight="false" outlineLevel="0" collapsed="false">
      <c r="A21" s="71" t="s">
        <v>2629</v>
      </c>
      <c r="B21" s="71" t="n">
        <f aca="false">SUM(B3:B18)</f>
        <v>6.995</v>
      </c>
      <c r="C21" s="66"/>
      <c r="G21" s="61"/>
      <c r="I21" s="63"/>
    </row>
    <row r="22" customFormat="false" ht="15.75" hidden="false" customHeight="false" outlineLevel="0" collapsed="false">
      <c r="A22" s="0" t="s">
        <v>2630</v>
      </c>
      <c r="B22" s="72" t="n">
        <f aca="false">B21/B23</f>
        <v>69.95</v>
      </c>
      <c r="C22" s="66"/>
      <c r="G22" s="61"/>
      <c r="I22" s="63"/>
    </row>
    <row r="23" customFormat="false" ht="15.75" hidden="false" customHeight="false" outlineLevel="0" collapsed="false">
      <c r="A23" s="0" t="s">
        <v>2631</v>
      </c>
      <c r="B23" s="0" t="n">
        <v>0.1</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100</v>
      </c>
      <c r="B1" s="50"/>
      <c r="C1" s="50"/>
      <c r="D1" s="50"/>
      <c r="E1" s="51" t="s">
        <v>2619</v>
      </c>
      <c r="F1" s="51"/>
      <c r="G1" s="52" t="s">
        <v>2752</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1756</v>
      </c>
      <c r="B4" s="57" t="n">
        <v>3.53</v>
      </c>
      <c r="C4" s="58" t="n">
        <f aca="false">B4/B$22*B$24</f>
        <v>5.54775250027476</v>
      </c>
      <c r="D4" s="57" t="s">
        <v>434</v>
      </c>
      <c r="E4" s="59" t="n">
        <f aca="false">IFERROR(INDEX(Correspondance!$D$2:$D$3000,MATCH(A4,Correspondance!$A$2:$A$3000,0)),0)</f>
        <v>2.8</v>
      </c>
      <c r="F4" s="60" t="n">
        <f aca="false">C4*E4</f>
        <v>15.5337070007693</v>
      </c>
      <c r="G4" s="61" t="s">
        <v>2753</v>
      </c>
    </row>
    <row r="5" customFormat="false" ht="15.75" hidden="false" customHeight="false" outlineLevel="0" collapsed="false">
      <c r="A5" s="57" t="s">
        <v>1680</v>
      </c>
      <c r="B5" s="57" t="n">
        <v>2.21</v>
      </c>
      <c r="C5" s="58" t="n">
        <f aca="false">B5/B$22*B$24</f>
        <v>3.47323881745247</v>
      </c>
      <c r="D5" s="57" t="s">
        <v>434</v>
      </c>
      <c r="E5" s="59" t="n">
        <f aca="false">IFERROR(INDEX(Correspondance!$D$2:$D$3000,MATCH(A5,Correspondance!$A$2:$A$3000,0)),0)</f>
        <v>9.5</v>
      </c>
      <c r="F5" s="60" t="n">
        <f aca="false">C5*E5</f>
        <v>32.9957687657984</v>
      </c>
      <c r="G5" s="61"/>
      <c r="I5" s="62"/>
    </row>
    <row r="6" customFormat="false" ht="15.75" hidden="false" customHeight="false" outlineLevel="0" collapsed="false">
      <c r="A6" s="57" t="s">
        <v>706</v>
      </c>
      <c r="B6" s="57" t="n">
        <v>1.47</v>
      </c>
      <c r="C6" s="58" t="n">
        <f aca="false">B6/B$22*B$24</f>
        <v>2.31025387405209</v>
      </c>
      <c r="D6" s="57" t="s">
        <v>434</v>
      </c>
      <c r="E6" s="59" t="n">
        <f aca="false">IFERROR(INDEX(Correspondance!$D$2:$D$3000,MATCH(A6,Correspondance!$A$2:$A$3000,0)),0)</f>
        <v>7.5</v>
      </c>
      <c r="F6" s="60" t="n">
        <f aca="false">C6*E6</f>
        <v>17.3269040553907</v>
      </c>
      <c r="G6" s="61"/>
      <c r="I6" s="63"/>
    </row>
    <row r="7" customFormat="false" ht="15.75" hidden="false" customHeight="false" outlineLevel="0" collapsed="false">
      <c r="A7" s="57" t="s">
        <v>1692</v>
      </c>
      <c r="B7" s="57" t="n">
        <v>1.47</v>
      </c>
      <c r="C7" s="58" t="n">
        <f aca="false">B7/B$22*B$24</f>
        <v>2.31025387405209</v>
      </c>
      <c r="D7" s="57" t="s">
        <v>682</v>
      </c>
      <c r="E7" s="59" t="n">
        <f aca="false">IFERROR(INDEX(Correspondance!$D$2:$D$3000,MATCH(A7,Correspondance!$A$2:$A$3000,0)),0)</f>
        <v>2.4</v>
      </c>
      <c r="F7" s="60" t="n">
        <f aca="false">C7*E7</f>
        <v>5.54460929772502</v>
      </c>
      <c r="G7" s="61"/>
      <c r="I7" s="63"/>
    </row>
    <row r="8" customFormat="false" ht="15.75" hidden="false" customHeight="false" outlineLevel="0" collapsed="false">
      <c r="A8" s="57" t="s">
        <v>1491</v>
      </c>
      <c r="B8" s="57" t="n">
        <v>0.294</v>
      </c>
      <c r="C8" s="58" t="n">
        <f aca="false">B8/B$22*B$24</f>
        <v>0.462050774810419</v>
      </c>
      <c r="D8" s="57" t="s">
        <v>434</v>
      </c>
      <c r="E8" s="59" t="n">
        <f aca="false">IFERROR(INDEX(Correspondance!$D$2:$D$3000,MATCH(A8,Correspondance!$A$2:$A$3000,0)),0)</f>
        <v>9</v>
      </c>
      <c r="F8" s="60" t="n">
        <f aca="false">C8*E8</f>
        <v>4.15845697329377</v>
      </c>
      <c r="G8" s="61"/>
      <c r="I8" s="63"/>
    </row>
    <row r="9" customFormat="false" ht="15.75" hidden="false" customHeight="false" outlineLevel="0" collapsed="false">
      <c r="A9" s="57" t="s">
        <v>1616</v>
      </c>
      <c r="B9" s="57" t="n">
        <v>0.11</v>
      </c>
      <c r="C9" s="58" t="n">
        <f aca="false">B9/B$22*B$24</f>
        <v>0.172876140235191</v>
      </c>
      <c r="D9" s="57" t="s">
        <v>434</v>
      </c>
      <c r="E9" s="59" t="n">
        <f aca="false">IFERROR(INDEX(Correspondance!$D$2:$D$3000,MATCH(A9,Correspondance!$A$2:$A$3000,0)),0)</f>
        <v>0.85</v>
      </c>
      <c r="F9" s="60" t="n">
        <f aca="false">C9*E9</f>
        <v>0.146944719199912</v>
      </c>
      <c r="G9" s="61"/>
      <c r="I9" s="63"/>
    </row>
    <row r="10" customFormat="false" ht="15.75" hidden="false" customHeight="false" outlineLevel="0" collapsed="false">
      <c r="A10" s="57" t="s">
        <v>1919</v>
      </c>
      <c r="B10" s="57" t="n">
        <v>0.015</v>
      </c>
      <c r="C10" s="58" t="n">
        <f aca="false">B10/B$22*B$24</f>
        <v>0.0235740191229805</v>
      </c>
      <c r="D10" s="57" t="s">
        <v>434</v>
      </c>
      <c r="E10" s="59" t="n">
        <f aca="false">IFERROR(INDEX(Correspondance!$D$2:$D$3000,MATCH(A10,Correspondance!$A$2:$A$3000,0)),0)</f>
        <v>2</v>
      </c>
      <c r="F10" s="60" t="n">
        <f aca="false">C10*E10</f>
        <v>0.0471480382459611</v>
      </c>
      <c r="G10" s="61"/>
      <c r="I10" s="63"/>
    </row>
    <row r="11" customFormat="false" ht="15.75" hidden="false" customHeight="false" outlineLevel="0" collapsed="false">
      <c r="A11" s="57" t="s">
        <v>1731</v>
      </c>
      <c r="B11" s="57"/>
      <c r="C11" s="58" t="n">
        <f aca="false">B11/B$22*B$24</f>
        <v>0</v>
      </c>
      <c r="D11" s="57" t="s">
        <v>434</v>
      </c>
      <c r="E11" s="59" t="n">
        <f aca="false">IFERROR(INDEX(Correspondance!$D$2:$D$3000,MATCH(A11,Correspondance!$A$2:$A$3000,0)),0)</f>
        <v>30</v>
      </c>
      <c r="F11" s="60" t="n">
        <f aca="false">C11*E11</f>
        <v>0</v>
      </c>
      <c r="G11" s="61"/>
      <c r="I11" s="63"/>
    </row>
    <row r="12" customFormat="false" ht="18.75" hidden="false" customHeight="true" outlineLevel="0" collapsed="false">
      <c r="A12" s="57"/>
      <c r="B12" s="64"/>
      <c r="C12" s="58" t="n">
        <f aca="false">B12/B$22*B$24</f>
        <v>0</v>
      </c>
      <c r="D12" s="57"/>
      <c r="E12" s="65" t="n">
        <f aca="false">IFERROR(INDEX(Correspondance!$D$2:$D$3000,MATCH(A12,Correspondance!$A$2:$A$3000,0)),0)</f>
        <v>0</v>
      </c>
      <c r="F12" s="60" t="n">
        <f aca="false">C12*E12</f>
        <v>0</v>
      </c>
      <c r="G12" s="61"/>
      <c r="I12" s="63"/>
    </row>
    <row r="13" customFormat="false" ht="18.75" hidden="false" customHeight="true" outlineLevel="0" collapsed="false">
      <c r="A13" s="57"/>
      <c r="B13" s="64"/>
      <c r="C13" s="58" t="n">
        <f aca="false">B13/B$22*B$24</f>
        <v>0</v>
      </c>
      <c r="D13" s="57"/>
      <c r="E13" s="65" t="n">
        <f aca="false">IFERROR(INDEX(Correspondance!$D$2:$D$3000,MATCH(A13,Correspondance!$A$2:$A$3000,0)),0)</f>
        <v>0</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75.7535388504231</v>
      </c>
      <c r="G19" s="61"/>
      <c r="I19" s="63"/>
    </row>
    <row r="20" customFormat="false" ht="18.75" hidden="false" customHeight="true" outlineLevel="0" collapsed="false">
      <c r="A20" s="68" t="s">
        <v>2628</v>
      </c>
      <c r="B20" s="69" t="n">
        <f aca="false">F19/B24</f>
        <v>0.688668535003847</v>
      </c>
      <c r="C20" s="70"/>
      <c r="G20" s="61"/>
      <c r="I20" s="63"/>
    </row>
    <row r="21" customFormat="false" ht="15.75" hidden="false" customHeight="false" outlineLevel="0" collapsed="false">
      <c r="A21" s="71" t="s">
        <v>2629</v>
      </c>
      <c r="B21" s="71" t="n">
        <f aca="false">SUM(B3:B18)</f>
        <v>9.099</v>
      </c>
      <c r="C21" s="66"/>
      <c r="G21" s="61"/>
      <c r="I21" s="63"/>
    </row>
    <row r="22" customFormat="false" ht="15.75" hidden="false" customHeight="false" outlineLevel="0" collapsed="false">
      <c r="A22" s="0" t="s">
        <v>2630</v>
      </c>
      <c r="B22" s="72" t="n">
        <f aca="false">B21/B23</f>
        <v>69.9923076923077</v>
      </c>
      <c r="C22" s="66"/>
      <c r="G22" s="61"/>
      <c r="I22" s="63"/>
    </row>
    <row r="23" customFormat="false" ht="15.75" hidden="false" customHeight="false" outlineLevel="0" collapsed="false">
      <c r="A23" s="0" t="s">
        <v>2631</v>
      </c>
      <c r="B23" s="0" t="n">
        <v>0.13</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102</v>
      </c>
      <c r="B1" s="50"/>
      <c r="C1" s="50"/>
      <c r="D1" s="50"/>
      <c r="E1" s="51" t="s">
        <v>2619</v>
      </c>
      <c r="F1" s="51"/>
      <c r="G1" s="52" t="s">
        <v>2754</v>
      </c>
    </row>
    <row r="2" customFormat="false" ht="24.75" hidden="false" customHeight="true" outlineLevel="0" collapsed="false">
      <c r="A2" s="50"/>
      <c r="B2" s="50"/>
      <c r="C2" s="50"/>
      <c r="D2" s="50"/>
      <c r="E2" s="53" t="s">
        <v>2717</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1625</v>
      </c>
      <c r="B4" s="57" t="n">
        <v>2.97</v>
      </c>
      <c r="C4" s="58" t="n">
        <f aca="false">B4/B$22*B$24</f>
        <v>4.66714285714286</v>
      </c>
      <c r="D4" s="57" t="s">
        <v>434</v>
      </c>
      <c r="E4" s="59" t="n">
        <f aca="false">IFERROR(INDEX(Correspondance!$D$2:$D$3000,MATCH(A4,Correspondance!$A$2:$A$3000,0)),0)</f>
        <v>9</v>
      </c>
      <c r="F4" s="60" t="n">
        <f aca="false">C4*E4</f>
        <v>42.0042857142857</v>
      </c>
      <c r="G4" s="61" t="s">
        <v>2755</v>
      </c>
    </row>
    <row r="5" customFormat="false" ht="15.75" hidden="false" customHeight="false" outlineLevel="0" collapsed="false">
      <c r="A5" s="57" t="s">
        <v>652</v>
      </c>
      <c r="B5" s="57" t="n">
        <v>0.989</v>
      </c>
      <c r="C5" s="58" t="n">
        <f aca="false">B5/B$22*B$24</f>
        <v>1.55414285714286</v>
      </c>
      <c r="D5" s="57" t="s">
        <v>434</v>
      </c>
      <c r="E5" s="59" t="n">
        <f aca="false">IFERROR(INDEX(Correspondance!$D$2:$D$3000,MATCH(A5,Correspondance!$A$2:$A$3000,0)),0)</f>
        <v>13.5</v>
      </c>
      <c r="F5" s="60" t="n">
        <f aca="false">C5*E5</f>
        <v>20.9809285714286</v>
      </c>
      <c r="G5" s="61"/>
      <c r="I5" s="62"/>
    </row>
    <row r="6" customFormat="false" ht="15.75" hidden="false" customHeight="false" outlineLevel="0" collapsed="false">
      <c r="A6" s="57" t="s">
        <v>681</v>
      </c>
      <c r="B6" s="57" t="n">
        <v>0.395</v>
      </c>
      <c r="C6" s="58" t="n">
        <f aca="false">B6/B$22*B$24</f>
        <v>0.620714285714286</v>
      </c>
      <c r="D6" s="57" t="s">
        <v>682</v>
      </c>
      <c r="E6" s="59" t="n">
        <f aca="false">IFERROR(INDEX(Correspondance!$D$2:$D$3000,MATCH(A6,Correspondance!$A$2:$A$3000,0)),0)</f>
        <v>4.5</v>
      </c>
      <c r="F6" s="60" t="n">
        <f aca="false">C6*E6</f>
        <v>2.79321428571429</v>
      </c>
      <c r="G6" s="61"/>
      <c r="I6" s="63"/>
    </row>
    <row r="7" customFormat="false" ht="15.75" hidden="false" customHeight="false" outlineLevel="0" collapsed="false">
      <c r="A7" s="57" t="s">
        <v>1576</v>
      </c>
      <c r="B7" s="57" t="n">
        <v>1.48</v>
      </c>
      <c r="C7" s="58" t="n">
        <f aca="false">B7/B$22*B$24</f>
        <v>2.32571428571429</v>
      </c>
      <c r="D7" s="57" t="s">
        <v>434</v>
      </c>
      <c r="E7" s="59" t="n">
        <f aca="false">IFERROR(INDEX(Correspondance!$D$2:$D$3000,MATCH(A7,Correspondance!$A$2:$A$3000,0)),0)</f>
        <v>5.5</v>
      </c>
      <c r="F7" s="60" t="n">
        <f aca="false">C7*E7</f>
        <v>12.7914285714286</v>
      </c>
      <c r="G7" s="61"/>
      <c r="I7" s="63"/>
    </row>
    <row r="8" customFormat="false" ht="15.75" hidden="false" customHeight="false" outlineLevel="0" collapsed="false">
      <c r="A8" s="57" t="s">
        <v>949</v>
      </c>
      <c r="B8" s="57" t="n">
        <v>0.494</v>
      </c>
      <c r="C8" s="58" t="n">
        <f aca="false">B8/B$22*B$24</f>
        <v>0.776285714285714</v>
      </c>
      <c r="D8" s="57" t="s">
        <v>434</v>
      </c>
      <c r="E8" s="59" t="n">
        <f aca="false">IFERROR(INDEX(Correspondance!$D$2:$D$3000,MATCH(A8,Correspondance!$A$2:$A$3000,0)),0)</f>
        <v>2.4</v>
      </c>
      <c r="F8" s="60" t="n">
        <f aca="false">C8*E8</f>
        <v>1.86308571428571</v>
      </c>
      <c r="G8" s="61"/>
      <c r="I8" s="63"/>
    </row>
    <row r="9" customFormat="false" ht="15.75" hidden="false" customHeight="false" outlineLevel="0" collapsed="false">
      <c r="A9" s="57" t="s">
        <v>1084</v>
      </c>
      <c r="B9" s="57" t="n">
        <v>0.074</v>
      </c>
      <c r="C9" s="58" t="n">
        <f aca="false">B9/B$22*B$24</f>
        <v>0.116285714285714</v>
      </c>
      <c r="D9" s="57" t="s">
        <v>434</v>
      </c>
      <c r="E9" s="59" t="n">
        <f aca="false">IFERROR(INDEX(Correspondance!$D$2:$D$3000,MATCH(A9,Correspondance!$A$2:$A$3000,0)),0)</f>
        <v>2.2</v>
      </c>
      <c r="F9" s="60" t="n">
        <f aca="false">C9*E9</f>
        <v>0.255828571428571</v>
      </c>
      <c r="G9" s="61"/>
      <c r="I9" s="63"/>
    </row>
    <row r="10" customFormat="false" ht="15.75" hidden="false" customHeight="false" outlineLevel="0" collapsed="false">
      <c r="A10" s="57" t="s">
        <v>1291</v>
      </c>
      <c r="B10" s="57" t="n">
        <v>0.04</v>
      </c>
      <c r="C10" s="58" t="n">
        <f aca="false">B10/B$22*B$24</f>
        <v>0.0628571428571429</v>
      </c>
      <c r="D10" s="57" t="s">
        <v>682</v>
      </c>
      <c r="E10" s="59" t="n">
        <f aca="false">IFERROR(INDEX(Correspondance!$D$2:$D$3000,MATCH(A10,Correspondance!$A$2:$A$3000,0)),0)</f>
        <v>2.5</v>
      </c>
      <c r="F10" s="60" t="n">
        <f aca="false">C10*E10</f>
        <v>0.157142857142857</v>
      </c>
      <c r="G10" s="61"/>
      <c r="I10" s="63"/>
    </row>
    <row r="11" customFormat="false" ht="15.75" hidden="false" customHeight="false" outlineLevel="0" collapsed="false">
      <c r="A11" s="57" t="s">
        <v>1919</v>
      </c>
      <c r="B11" s="57" t="n">
        <v>0.049</v>
      </c>
      <c r="C11" s="58" t="n">
        <f aca="false">B11/B$22*B$24</f>
        <v>0.077</v>
      </c>
      <c r="D11" s="57" t="s">
        <v>434</v>
      </c>
      <c r="E11" s="59" t="n">
        <f aca="false">IFERROR(INDEX(Correspondance!$D$2:$D$3000,MATCH(A11,Correspondance!$A$2:$A$3000,0)),0)</f>
        <v>2</v>
      </c>
      <c r="F11" s="60" t="n">
        <f aca="false">C11*E11</f>
        <v>0.154</v>
      </c>
      <c r="G11" s="61"/>
      <c r="I11" s="63"/>
    </row>
    <row r="12" customFormat="false" ht="18.75" hidden="false" customHeight="true" outlineLevel="0" collapsed="false">
      <c r="A12" s="57" t="s">
        <v>1810</v>
      </c>
      <c r="B12" s="64"/>
      <c r="C12" s="58" t="n">
        <f aca="false">B12/B$22*B$24</f>
        <v>0</v>
      </c>
      <c r="D12" s="57" t="s">
        <v>434</v>
      </c>
      <c r="E12" s="59" t="n">
        <f aca="false">IFERROR(INDEX(Correspondance!$D$2:$D$3000,MATCH(A12,Correspondance!$A$2:$A$3000,0)),0)</f>
        <v>22</v>
      </c>
      <c r="F12" s="60" t="n">
        <f aca="false">C12*E12</f>
        <v>0</v>
      </c>
      <c r="G12" s="61"/>
      <c r="I12" s="63"/>
    </row>
    <row r="13" customFormat="false" ht="18.75" hidden="false" customHeight="true" outlineLevel="0" collapsed="false">
      <c r="A13" s="57" t="s">
        <v>1711</v>
      </c>
      <c r="B13" s="64" t="n">
        <v>0.494</v>
      </c>
      <c r="C13" s="58" t="n">
        <f aca="false">B13/B$22*B$24</f>
        <v>0.776285714285714</v>
      </c>
      <c r="D13" s="57" t="s">
        <v>434</v>
      </c>
      <c r="E13" s="59" t="n">
        <f aca="false">IFERROR(INDEX(Correspondance!$D$2:$D$3000,MATCH(A13,Correspondance!$A$2:$A$3000,0)),0)</f>
        <v>4.5</v>
      </c>
      <c r="F13" s="60" t="n">
        <f aca="false">C13*E13</f>
        <v>3.49328571428571</v>
      </c>
      <c r="G13" s="61"/>
      <c r="I13" s="63"/>
    </row>
    <row r="14" customFormat="false" ht="15.75" hidden="false" customHeight="false" outlineLevel="0" collapsed="false">
      <c r="A14" s="57" t="s">
        <v>931</v>
      </c>
      <c r="B14" s="57" t="n">
        <v>0.015</v>
      </c>
      <c r="C14" s="58" t="n">
        <f aca="false">B14/B$22*B$24</f>
        <v>0.0235714285714286</v>
      </c>
      <c r="D14" s="57" t="s">
        <v>434</v>
      </c>
      <c r="E14" s="59" t="n">
        <f aca="false">IFERROR(INDEX(Correspondance!$D$2:$D$3000,MATCH(A14,Correspondance!$A$2:$A$3000,0)),0)</f>
        <v>13</v>
      </c>
      <c r="F14" s="60" t="n">
        <f aca="false">C14*E14</f>
        <v>0.306428571428571</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84.7996285714286</v>
      </c>
      <c r="G19" s="61"/>
      <c r="I19" s="63"/>
    </row>
    <row r="20" customFormat="false" ht="18.75" hidden="false" customHeight="true" outlineLevel="0" collapsed="false">
      <c r="A20" s="68" t="s">
        <v>2628</v>
      </c>
      <c r="B20" s="69" t="n">
        <f aca="false">F19/B24</f>
        <v>0.770905714285714</v>
      </c>
      <c r="C20" s="70"/>
      <c r="G20" s="61"/>
      <c r="I20" s="63"/>
    </row>
    <row r="21" customFormat="false" ht="15.75" hidden="false" customHeight="false" outlineLevel="0" collapsed="false">
      <c r="A21" s="71" t="s">
        <v>2629</v>
      </c>
      <c r="B21" s="71" t="n">
        <f aca="false">SUM(B3:B18)</f>
        <v>7</v>
      </c>
      <c r="C21" s="66"/>
      <c r="G21" s="61"/>
      <c r="I21" s="63"/>
    </row>
    <row r="22" customFormat="false" ht="15.75" hidden="false" customHeight="false" outlineLevel="0" collapsed="false">
      <c r="A22" s="0" t="s">
        <v>2630</v>
      </c>
      <c r="B22" s="72" t="n">
        <f aca="false">B21/B23</f>
        <v>70</v>
      </c>
      <c r="C22" s="66"/>
      <c r="G22" s="61"/>
      <c r="I22" s="63"/>
    </row>
    <row r="23" customFormat="false" ht="15.75" hidden="false" customHeight="false" outlineLevel="0" collapsed="false">
      <c r="A23" s="0" t="s">
        <v>2631</v>
      </c>
      <c r="B23" s="0" t="n">
        <v>0.1</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103</v>
      </c>
      <c r="B1" s="50"/>
      <c r="C1" s="50"/>
      <c r="D1" s="50"/>
      <c r="E1" s="51" t="s">
        <v>2619</v>
      </c>
      <c r="F1" s="51"/>
      <c r="G1" s="52" t="s">
        <v>2756</v>
      </c>
    </row>
    <row r="2" customFormat="false" ht="24.75" hidden="false" customHeight="true" outlineLevel="0" collapsed="false">
      <c r="A2" s="50"/>
      <c r="B2" s="50"/>
      <c r="C2" s="50"/>
      <c r="D2" s="50"/>
      <c r="E2" s="53" t="s">
        <v>2621</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671</v>
      </c>
      <c r="B4" s="57" t="n">
        <v>1.5</v>
      </c>
      <c r="C4" s="58" t="n">
        <f aca="false">B4/B$22*B$24</f>
        <v>2.35378031383738</v>
      </c>
      <c r="D4" s="57" t="s">
        <v>434</v>
      </c>
      <c r="E4" s="59" t="n">
        <f aca="false">IFERROR(INDEX(Correspondance!$D$2:$D$3000,MATCH(A4,Correspondance!$A$2:$A$3000,0)),0)</f>
        <v>26</v>
      </c>
      <c r="F4" s="60" t="n">
        <f aca="false">C4*E4</f>
        <v>61.1982881597718</v>
      </c>
      <c r="G4" s="61" t="s">
        <v>2757</v>
      </c>
    </row>
    <row r="5" customFormat="false" ht="15.75" hidden="false" customHeight="false" outlineLevel="0" collapsed="false">
      <c r="A5" s="57" t="s">
        <v>1771</v>
      </c>
      <c r="B5" s="57" t="n">
        <v>1.8</v>
      </c>
      <c r="C5" s="58" t="n">
        <f aca="false">B5/B$22*B$24</f>
        <v>2.82453637660485</v>
      </c>
      <c r="D5" s="57" t="s">
        <v>434</v>
      </c>
      <c r="E5" s="59" t="n">
        <f aca="false">IFERROR(INDEX(Correspondance!$D$2:$D$3000,MATCH(A5,Correspondance!$A$2:$A$3000,0)),0)</f>
        <v>15</v>
      </c>
      <c r="F5" s="60" t="n">
        <f aca="false">C5*E5</f>
        <v>42.3680456490728</v>
      </c>
      <c r="G5" s="61"/>
      <c r="I5" s="62"/>
    </row>
    <row r="6" customFormat="false" ht="15.75" hidden="false" customHeight="false" outlineLevel="0" collapsed="false">
      <c r="A6" s="57" t="s">
        <v>1987</v>
      </c>
      <c r="B6" s="57" t="n">
        <v>0.12</v>
      </c>
      <c r="C6" s="58" t="n">
        <f aca="false">B6/B$22*B$24</f>
        <v>0.18830242510699</v>
      </c>
      <c r="D6" s="57" t="s">
        <v>434</v>
      </c>
      <c r="E6" s="59" t="n">
        <f aca="false">IFERROR(INDEX(Correspondance!$D$2:$D$3000,MATCH(A6,Correspondance!$A$2:$A$3000,0)),0)</f>
        <v>4.5</v>
      </c>
      <c r="F6" s="60" t="n">
        <f aca="false">C6*E6</f>
        <v>0.847360912981455</v>
      </c>
      <c r="G6" s="61"/>
      <c r="I6" s="63"/>
    </row>
    <row r="7" customFormat="false" ht="15.75" hidden="false" customHeight="false" outlineLevel="0" collapsed="false">
      <c r="A7" s="57" t="s">
        <v>801</v>
      </c>
      <c r="B7" s="57" t="n">
        <v>0.898</v>
      </c>
      <c r="C7" s="58" t="n">
        <f aca="false">B7/B$22*B$24</f>
        <v>1.40912981455064</v>
      </c>
      <c r="D7" s="57" t="s">
        <v>434</v>
      </c>
      <c r="E7" s="59" t="n">
        <f aca="false">IFERROR(INDEX(Correspondance!$D$2:$D$3000,MATCH(A7,Correspondance!$A$2:$A$3000,0)),0)</f>
        <v>2.25</v>
      </c>
      <c r="F7" s="60" t="n">
        <f aca="false">C7*E7</f>
        <v>3.17054208273895</v>
      </c>
      <c r="G7" s="61"/>
      <c r="I7" s="63"/>
    </row>
    <row r="8" customFormat="false" ht="15.75" hidden="false" customHeight="false" outlineLevel="0" collapsed="false">
      <c r="A8" s="57" t="s">
        <v>1826</v>
      </c>
      <c r="B8" s="57" t="n">
        <v>0.599</v>
      </c>
      <c r="C8" s="58" t="n">
        <f aca="false">B8/B$22*B$24</f>
        <v>0.939942938659059</v>
      </c>
      <c r="D8" s="57" t="s">
        <v>434</v>
      </c>
      <c r="E8" s="59" t="n">
        <f aca="false">IFERROR(INDEX(Correspondance!$D$2:$D$3000,MATCH(A8,Correspondance!$A$2:$A$3000,0)),0)</f>
        <v>1.7</v>
      </c>
      <c r="F8" s="60" t="n">
        <f aca="false">C8*E8</f>
        <v>1.5979029957204</v>
      </c>
      <c r="G8" s="61"/>
      <c r="I8" s="63"/>
    </row>
    <row r="9" customFormat="false" ht="15.75" hidden="false" customHeight="false" outlineLevel="0" collapsed="false">
      <c r="A9" s="57" t="s">
        <v>1291</v>
      </c>
      <c r="B9" s="57" t="n">
        <v>0.12</v>
      </c>
      <c r="C9" s="58" t="n">
        <f aca="false">B9/B$22*B$24</f>
        <v>0.18830242510699</v>
      </c>
      <c r="D9" s="57" t="s">
        <v>682</v>
      </c>
      <c r="E9" s="59" t="n">
        <f aca="false">IFERROR(INDEX(Correspondance!$D$2:$D$3000,MATCH(A9,Correspondance!$A$2:$A$3000,0)),0)</f>
        <v>2.5</v>
      </c>
      <c r="F9" s="60" t="n">
        <f aca="false">C9*E9</f>
        <v>0.470756062767475</v>
      </c>
      <c r="G9" s="61"/>
      <c r="I9" s="63"/>
    </row>
    <row r="10" customFormat="false" ht="15.75" hidden="false" customHeight="false" outlineLevel="0" collapsed="false">
      <c r="A10" s="57" t="s">
        <v>1120</v>
      </c>
      <c r="B10" s="57" t="n">
        <v>0.18</v>
      </c>
      <c r="C10" s="58" t="n">
        <f aca="false">B10/B$22*B$24</f>
        <v>0.282453637660485</v>
      </c>
      <c r="D10" s="57" t="s">
        <v>682</v>
      </c>
      <c r="E10" s="59" t="n">
        <f aca="false">IFERROR(INDEX(Correspondance!$D$2:$D$3000,MATCH(A10,Correspondance!$A$2:$A$3000,0)),0)</f>
        <v>7.5</v>
      </c>
      <c r="F10" s="60" t="n">
        <f aca="false">C10*E10</f>
        <v>2.11840228245364</v>
      </c>
      <c r="G10" s="61"/>
      <c r="I10" s="63"/>
    </row>
    <row r="11" customFormat="false" ht="15.75" hidden="false" customHeight="false" outlineLevel="0" collapsed="false">
      <c r="A11" s="57" t="s">
        <v>1579</v>
      </c>
      <c r="B11" s="57" t="n">
        <v>0.299</v>
      </c>
      <c r="C11" s="58" t="n">
        <f aca="false">B11/B$22*B$24</f>
        <v>0.469186875891584</v>
      </c>
      <c r="D11" s="57" t="s">
        <v>434</v>
      </c>
      <c r="E11" s="59" t="n">
        <f aca="false">IFERROR(INDEX(Correspondance!$D$2:$D$3000,MATCH(A11,Correspondance!$A$2:$A$3000,0)),0)</f>
        <v>5</v>
      </c>
      <c r="F11" s="60" t="n">
        <f aca="false">C11*E11</f>
        <v>2.34593437945792</v>
      </c>
      <c r="G11" s="61"/>
      <c r="I11" s="63"/>
    </row>
    <row r="12" customFormat="false" ht="18.75" hidden="false" customHeight="true" outlineLevel="0" collapsed="false">
      <c r="A12" s="57" t="s">
        <v>896</v>
      </c>
      <c r="B12" s="64" t="n">
        <v>0.018</v>
      </c>
      <c r="C12" s="58" t="n">
        <f aca="false">B12/B$22*B$24</f>
        <v>0.0282453637660485</v>
      </c>
      <c r="D12" s="57" t="s">
        <v>434</v>
      </c>
      <c r="E12" s="59" t="n">
        <f aca="false">IFERROR(INDEX(Correspondance!$D$2:$D$3000,MATCH(A12,Correspondance!$A$2:$A$3000,0)),0)</f>
        <v>14</v>
      </c>
      <c r="F12" s="60" t="n">
        <f aca="false">C12*E12</f>
        <v>0.395435092724679</v>
      </c>
      <c r="G12" s="61"/>
      <c r="I12" s="63"/>
    </row>
    <row r="13" customFormat="false" ht="18.75" hidden="false" customHeight="true" outlineLevel="0" collapsed="false">
      <c r="A13" s="57" t="s">
        <v>931</v>
      </c>
      <c r="B13" s="64" t="n">
        <v>0.018</v>
      </c>
      <c r="C13" s="58" t="n">
        <f aca="false">B13/B$22*B$24</f>
        <v>0.0282453637660485</v>
      </c>
      <c r="D13" s="57" t="s">
        <v>434</v>
      </c>
      <c r="E13" s="59" t="n">
        <f aca="false">IFERROR(INDEX(Correspondance!$D$2:$D$3000,MATCH(A13,Correspondance!$A$2:$A$3000,0)),0)</f>
        <v>13</v>
      </c>
      <c r="F13" s="60" t="n">
        <f aca="false">C13*E13</f>
        <v>0.367189728958631</v>
      </c>
      <c r="G13" s="61"/>
      <c r="I13" s="63"/>
    </row>
    <row r="14" customFormat="false" ht="15.75" hidden="false" customHeight="false" outlineLevel="0" collapsed="false">
      <c r="A14" s="57" t="s">
        <v>1919</v>
      </c>
      <c r="B14" s="57" t="n">
        <v>0.018</v>
      </c>
      <c r="C14" s="58" t="n">
        <f aca="false">B14/B$22*B$24</f>
        <v>0.0282453637660485</v>
      </c>
      <c r="D14" s="57" t="s">
        <v>434</v>
      </c>
      <c r="E14" s="59" t="n">
        <f aca="false">IFERROR(INDEX(Correspondance!$D$2:$D$3000,MATCH(A14,Correspondance!$A$2:$A$3000,0)),0)</f>
        <v>2</v>
      </c>
      <c r="F14" s="60" t="n">
        <f aca="false">C14*E14</f>
        <v>0.056490727532097</v>
      </c>
      <c r="G14" s="61"/>
      <c r="I14" s="63"/>
    </row>
    <row r="15" customFormat="false" ht="15.75" hidden="false" customHeight="false" outlineLevel="0" collapsed="false">
      <c r="A15" s="57" t="s">
        <v>1814</v>
      </c>
      <c r="B15" s="57"/>
      <c r="C15" s="58" t="n">
        <f aca="false">B15/B$22*B$24</f>
        <v>0</v>
      </c>
      <c r="D15" s="57" t="s">
        <v>434</v>
      </c>
      <c r="E15" s="59" t="n">
        <f aca="false">IFERROR(INDEX(Correspondance!$D$2:$D$3000,MATCH(A15,Correspondance!$A$2:$A$3000,0)),0)</f>
        <v>18</v>
      </c>
      <c r="F15" s="60" t="n">
        <f aca="false">C15*E15</f>
        <v>0</v>
      </c>
      <c r="G15" s="61"/>
      <c r="I15" s="63"/>
    </row>
    <row r="16" customFormat="false" ht="15.75" hidden="false" customHeight="false" outlineLevel="0" collapsed="false">
      <c r="A16" s="57" t="s">
        <v>1757</v>
      </c>
      <c r="B16" s="57" t="n">
        <v>1.44</v>
      </c>
      <c r="C16" s="58" t="n">
        <f aca="false">B16/B$22*B$24</f>
        <v>2.25962910128388</v>
      </c>
      <c r="D16" s="57" t="s">
        <v>434</v>
      </c>
      <c r="E16" s="59" t="n">
        <f aca="false">IFERROR(INDEX(Correspondance!$D$2:$D$3000,MATCH(A16,Correspondance!$A$2:$A$3000,0)),0)</f>
        <v>2.8</v>
      </c>
      <c r="F16" s="60" t="n">
        <f aca="false">C16*E16</f>
        <v>6.32696148359486</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121.263309557775</v>
      </c>
      <c r="G19" s="61"/>
      <c r="I19" s="63"/>
    </row>
    <row r="20" customFormat="false" ht="18.75" hidden="false" customHeight="true" outlineLevel="0" collapsed="false">
      <c r="A20" s="68" t="s">
        <v>2628</v>
      </c>
      <c r="B20" s="69" t="n">
        <f aca="false">F19/B24</f>
        <v>1.1023937232525</v>
      </c>
      <c r="C20" s="70"/>
      <c r="G20" s="61"/>
      <c r="I20" s="63"/>
    </row>
    <row r="21" customFormat="false" ht="15.75" hidden="false" customHeight="false" outlineLevel="0" collapsed="false">
      <c r="A21" s="71" t="s">
        <v>2629</v>
      </c>
      <c r="B21" s="71" t="n">
        <f aca="false">SUM(B3:B18)</f>
        <v>7.01</v>
      </c>
      <c r="C21" s="66"/>
      <c r="G21" s="61"/>
      <c r="I21" s="63"/>
    </row>
    <row r="22" customFormat="false" ht="15.75" hidden="false" customHeight="false" outlineLevel="0" collapsed="false">
      <c r="A22" s="0" t="s">
        <v>2630</v>
      </c>
      <c r="B22" s="72" t="n">
        <f aca="false">B21/B23</f>
        <v>70.1</v>
      </c>
      <c r="C22" s="66"/>
      <c r="G22" s="61"/>
      <c r="I22" s="63"/>
    </row>
    <row r="23" customFormat="false" ht="15.75" hidden="false" customHeight="false" outlineLevel="0" collapsed="false">
      <c r="A23" s="0" t="s">
        <v>2631</v>
      </c>
      <c r="B23" s="0" t="n">
        <v>0.1</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105</v>
      </c>
      <c r="B1" s="50"/>
      <c r="C1" s="50"/>
      <c r="D1" s="50"/>
      <c r="E1" s="51" t="s">
        <v>2619</v>
      </c>
      <c r="F1" s="51"/>
      <c r="G1" s="52" t="s">
        <v>2758</v>
      </c>
    </row>
    <row r="2" customFormat="false" ht="24.75" hidden="false" customHeight="true" outlineLevel="0" collapsed="false">
      <c r="A2" s="50"/>
      <c r="B2" s="50"/>
      <c r="C2" s="50"/>
      <c r="D2" s="50"/>
      <c r="E2" s="53" t="s">
        <v>2636</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1593</v>
      </c>
      <c r="B4" s="57" t="n">
        <v>1.76</v>
      </c>
      <c r="C4" s="58" t="n">
        <f aca="false">B4/B$22*B$24</f>
        <v>2.76555625392835</v>
      </c>
      <c r="D4" s="57" t="s">
        <v>434</v>
      </c>
      <c r="E4" s="59" t="n">
        <f aca="false">IFERROR(INDEX(Correspondance!$D$2:$D$3000,MATCH(A4,Correspondance!$A$2:$A$3000,0)),0)</f>
        <v>16</v>
      </c>
      <c r="F4" s="60" t="n">
        <f aca="false">C4*E4</f>
        <v>44.2489000628536</v>
      </c>
      <c r="G4" s="61" t="s">
        <v>2759</v>
      </c>
    </row>
    <row r="5" customFormat="false" ht="15.75" hidden="false" customHeight="false" outlineLevel="0" collapsed="false">
      <c r="A5" s="57" t="s">
        <v>1537</v>
      </c>
      <c r="B5" s="57" t="n">
        <v>2.12</v>
      </c>
      <c r="C5" s="58" t="n">
        <f aca="false">B5/B$22*B$24</f>
        <v>3.33123821495915</v>
      </c>
      <c r="D5" s="57" t="s">
        <v>434</v>
      </c>
      <c r="E5" s="59" t="n">
        <f aca="false">IFERROR(INDEX(Correspondance!$D$2:$D$3000,MATCH(A5,Correspondance!$A$2:$A$3000,0)),0)</f>
        <v>9.5</v>
      </c>
      <c r="F5" s="60" t="n">
        <f aca="false">C5*E5</f>
        <v>31.6467630421119</v>
      </c>
      <c r="G5" s="61"/>
      <c r="I5" s="62"/>
    </row>
    <row r="6" customFormat="false" ht="15.75" hidden="false" customHeight="false" outlineLevel="0" collapsed="false">
      <c r="A6" s="57" t="s">
        <v>1834</v>
      </c>
      <c r="B6" s="57" t="n">
        <v>1.41</v>
      </c>
      <c r="C6" s="58" t="n">
        <f aca="false">B6/B$22*B$24</f>
        <v>2.21558768070396</v>
      </c>
      <c r="D6" s="57" t="s">
        <v>434</v>
      </c>
      <c r="E6" s="59" t="n">
        <f aca="false">IFERROR(INDEX(Correspondance!$D$2:$D$3000,MATCH(A6,Correspondance!$A$2:$A$3000,0)),0)</f>
        <v>2.2</v>
      </c>
      <c r="F6" s="60" t="n">
        <f aca="false">C6*E6</f>
        <v>4.87429289754871</v>
      </c>
      <c r="G6" s="61"/>
      <c r="I6" s="63"/>
    </row>
    <row r="7" customFormat="false" ht="15.75" hidden="false" customHeight="false" outlineLevel="0" collapsed="false">
      <c r="A7" s="57" t="s">
        <v>1001</v>
      </c>
      <c r="B7" s="57" t="n">
        <v>0.564</v>
      </c>
      <c r="C7" s="58" t="n">
        <f aca="false">B7/B$22*B$24</f>
        <v>0.886235072281584</v>
      </c>
      <c r="D7" s="57" t="s">
        <v>434</v>
      </c>
      <c r="E7" s="59" t="n">
        <f aca="false">IFERROR(INDEX(Correspondance!$D$2:$D$3000,MATCH(A7,Correspondance!$A$2:$A$3000,0)),0)</f>
        <v>1.8</v>
      </c>
      <c r="F7" s="60" t="n">
        <f aca="false">C7*E7</f>
        <v>1.59522313010685</v>
      </c>
      <c r="G7" s="61"/>
      <c r="I7" s="63"/>
    </row>
    <row r="8" customFormat="false" ht="15.75" hidden="false" customHeight="false" outlineLevel="0" collapsed="false">
      <c r="A8" s="57" t="s">
        <v>1491</v>
      </c>
      <c r="B8" s="57" t="n">
        <v>0.141</v>
      </c>
      <c r="C8" s="58" t="n">
        <f aca="false">B8/B$22*B$24</f>
        <v>0.221558768070396</v>
      </c>
      <c r="D8" s="57" t="s">
        <v>434</v>
      </c>
      <c r="E8" s="59" t="n">
        <f aca="false">IFERROR(INDEX(Correspondance!$D$2:$D$3000,MATCH(A8,Correspondance!$A$2:$A$3000,0)),0)</f>
        <v>9</v>
      </c>
      <c r="F8" s="60" t="n">
        <f aca="false">C8*E8</f>
        <v>1.99402891263356</v>
      </c>
      <c r="G8" s="61"/>
      <c r="I8" s="63"/>
    </row>
    <row r="9" customFormat="false" ht="15.75" hidden="false" customHeight="false" outlineLevel="0" collapsed="false">
      <c r="A9" s="57" t="s">
        <v>1100</v>
      </c>
      <c r="B9" s="57" t="n">
        <v>0.141</v>
      </c>
      <c r="C9" s="58" t="n">
        <f aca="false">B9/B$22*B$24</f>
        <v>0.221558768070396</v>
      </c>
      <c r="D9" s="57" t="s">
        <v>434</v>
      </c>
      <c r="E9" s="59" t="n">
        <f aca="false">IFERROR(INDEX(Correspondance!$D$2:$D$3000,MATCH(A9,Correspondance!$A$2:$A$3000,0)),0)</f>
        <v>10</v>
      </c>
      <c r="F9" s="60" t="n">
        <f aca="false">C9*E9</f>
        <v>2.21558768070396</v>
      </c>
      <c r="G9" s="61"/>
      <c r="I9" s="63"/>
    </row>
    <row r="10" customFormat="false" ht="15.75" hidden="false" customHeight="false" outlineLevel="0" collapsed="false">
      <c r="A10" s="57" t="s">
        <v>1459</v>
      </c>
      <c r="B10" s="57" t="n">
        <v>9.87</v>
      </c>
      <c r="C10" s="58" t="n">
        <f aca="false">B10/B$22*B$24</f>
        <v>15.5091137649277</v>
      </c>
      <c r="D10" s="57" t="s">
        <v>682</v>
      </c>
      <c r="E10" s="59" t="n">
        <f aca="false">IFERROR(INDEX(Correspondance!$D$2:$D$3000,MATCH(A10,Correspondance!$A$2:$A$3000,0)),0)</f>
        <v>0</v>
      </c>
      <c r="F10" s="60" t="n">
        <f aca="false">C10*E10</f>
        <v>0</v>
      </c>
      <c r="G10" s="61"/>
      <c r="I10" s="63"/>
    </row>
    <row r="11" customFormat="false" ht="15.75" hidden="false" customHeight="false" outlineLevel="0" collapsed="false">
      <c r="A11" s="57" t="s">
        <v>1576</v>
      </c>
      <c r="B11" s="57" t="n">
        <v>1.41</v>
      </c>
      <c r="C11" s="58" t="n">
        <f aca="false">B11/B$22*B$24</f>
        <v>2.21558768070396</v>
      </c>
      <c r="D11" s="57" t="s">
        <v>434</v>
      </c>
      <c r="E11" s="59" t="n">
        <f aca="false">IFERROR(INDEX(Correspondance!$D$2:$D$3000,MATCH(A11,Correspondance!$A$2:$A$3000,0)),0)</f>
        <v>5.5</v>
      </c>
      <c r="F11" s="60" t="n">
        <f aca="false">C11*E11</f>
        <v>12.1857322438718</v>
      </c>
      <c r="G11" s="61"/>
      <c r="I11" s="63"/>
    </row>
    <row r="12" customFormat="false" ht="18.75" hidden="false" customHeight="true" outlineLevel="0" collapsed="false">
      <c r="A12" s="57" t="s">
        <v>1919</v>
      </c>
      <c r="B12" s="64" t="n">
        <v>0.085</v>
      </c>
      <c r="C12" s="58" t="n">
        <f aca="false">B12/B$22*B$24</f>
        <v>0.133563796354494</v>
      </c>
      <c r="D12" s="57" t="s">
        <v>434</v>
      </c>
      <c r="E12" s="59" t="n">
        <f aca="false">IFERROR(INDEX(Correspondance!$D$2:$D$3000,MATCH(A12,Correspondance!$A$2:$A$3000,0)),0)</f>
        <v>2</v>
      </c>
      <c r="F12" s="60" t="n">
        <f aca="false">C12*E12</f>
        <v>0.267127592708988</v>
      </c>
      <c r="G12" s="61"/>
      <c r="I12" s="63"/>
    </row>
    <row r="13" customFormat="false" ht="18.75" hidden="false" customHeight="true" outlineLevel="0" collapsed="false">
      <c r="A13" s="57" t="s">
        <v>1809</v>
      </c>
      <c r="B13" s="64"/>
      <c r="C13" s="58" t="n">
        <f aca="false">B13/B$22*B$24</f>
        <v>0</v>
      </c>
      <c r="D13" s="57" t="s">
        <v>434</v>
      </c>
      <c r="E13" s="59" t="n">
        <f aca="false">IFERROR(INDEX(Correspondance!$D$2:$D$3000,MATCH(A13,Correspondance!$A$2:$A$3000,0)),0)</f>
        <v>18</v>
      </c>
      <c r="F13" s="60" t="n">
        <f aca="false">C13*E13</f>
        <v>0</v>
      </c>
      <c r="G13" s="61"/>
      <c r="I13" s="63"/>
    </row>
    <row r="14" customFormat="false" ht="15.75" hidden="false" customHeight="false" outlineLevel="0" collapsed="false">
      <c r="A14" s="57" t="s">
        <v>1775</v>
      </c>
      <c r="B14" s="57"/>
      <c r="C14" s="58" t="n">
        <f aca="false">B14/B$22*B$24</f>
        <v>0</v>
      </c>
      <c r="D14" s="57" t="s">
        <v>434</v>
      </c>
      <c r="E14" s="59" t="n">
        <f aca="false">IFERROR(INDEX(Correspondance!$D$2:$D$3000,MATCH(A14,Correspondance!$A$2:$A$3000,0)),0)</f>
        <v>8</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99.0276555625393</v>
      </c>
      <c r="G19" s="61"/>
      <c r="I19" s="63"/>
    </row>
    <row r="20" customFormat="false" ht="18.75" hidden="false" customHeight="true" outlineLevel="0" collapsed="false">
      <c r="A20" s="68" t="s">
        <v>2628</v>
      </c>
      <c r="B20" s="69" t="n">
        <f aca="false">F19/B24</f>
        <v>0.900251414204903</v>
      </c>
      <c r="C20" s="70"/>
      <c r="G20" s="61"/>
      <c r="I20" s="63"/>
    </row>
    <row r="21" customFormat="false" ht="15.75" hidden="false" customHeight="false" outlineLevel="0" collapsed="false">
      <c r="A21" s="71" t="s">
        <v>2629</v>
      </c>
      <c r="B21" s="71" t="n">
        <f aca="false">SUM(B3:B18)</f>
        <v>17.501</v>
      </c>
      <c r="C21" s="66"/>
      <c r="G21" s="61"/>
      <c r="I21" s="63"/>
    </row>
    <row r="22" customFormat="false" ht="15.75" hidden="false" customHeight="false" outlineLevel="0" collapsed="false">
      <c r="A22" s="0" t="s">
        <v>2630</v>
      </c>
      <c r="B22" s="72" t="n">
        <f aca="false">B21/B23</f>
        <v>70.004</v>
      </c>
      <c r="C22" s="66"/>
      <c r="G22" s="61"/>
      <c r="I22" s="63"/>
    </row>
    <row r="23" customFormat="false" ht="15.75" hidden="false" customHeight="false" outlineLevel="0" collapsed="false">
      <c r="A23" s="0" t="s">
        <v>2631</v>
      </c>
      <c r="B23" s="0" t="n">
        <v>0.25</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106</v>
      </c>
      <c r="B1" s="50"/>
      <c r="C1" s="50"/>
      <c r="D1" s="50"/>
      <c r="E1" s="51" t="s">
        <v>2619</v>
      </c>
      <c r="F1" s="51"/>
      <c r="G1" s="52" t="s">
        <v>2760</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899</v>
      </c>
      <c r="B4" s="57" t="n">
        <v>2.69</v>
      </c>
      <c r="C4" s="58" t="n">
        <f aca="false">B4/B$22*B$24</f>
        <v>4.22472872644203</v>
      </c>
      <c r="D4" s="57" t="s">
        <v>434</v>
      </c>
      <c r="E4" s="59" t="n">
        <f aca="false">IFERROR(INDEX(Correspondance!$D$2:$D$3000,MATCH(A4,Correspondance!$A$2:$A$3000,0)),0)</f>
        <v>7.5</v>
      </c>
      <c r="F4" s="60" t="n">
        <f aca="false">C4*E4</f>
        <v>31.6854654483152</v>
      </c>
      <c r="G4" s="61" t="s">
        <v>2761</v>
      </c>
    </row>
    <row r="5" customFormat="false" ht="15.75" hidden="false" customHeight="false" outlineLevel="0" collapsed="false">
      <c r="A5" s="57" t="s">
        <v>1790</v>
      </c>
      <c r="B5" s="57" t="n">
        <v>0.673</v>
      </c>
      <c r="C5" s="58" t="n">
        <f aca="false">B5/B$22*B$24</f>
        <v>1.05696744717304</v>
      </c>
      <c r="D5" s="57" t="s">
        <v>434</v>
      </c>
      <c r="E5" s="59" t="n">
        <f aca="false">IFERROR(INDEX(Correspondance!$D$2:$D$3000,MATCH(A5,Correspondance!$A$2:$A$3000,0)),0)</f>
        <v>9</v>
      </c>
      <c r="F5" s="60" t="n">
        <f aca="false">C5*E5</f>
        <v>9.5127070245574</v>
      </c>
      <c r="G5" s="61"/>
      <c r="I5" s="62"/>
    </row>
    <row r="6" customFormat="false" ht="15.75" hidden="false" customHeight="false" outlineLevel="0" collapsed="false">
      <c r="A6" s="57" t="s">
        <v>1016</v>
      </c>
      <c r="B6" s="57" t="n">
        <v>1.01</v>
      </c>
      <c r="C6" s="58" t="n">
        <f aca="false">B6/B$22*B$24</f>
        <v>1.5862364363221</v>
      </c>
      <c r="D6" s="57" t="s">
        <v>434</v>
      </c>
      <c r="E6" s="59" t="n">
        <f aca="false">IFERROR(INDEX(Correspondance!$D$2:$D$3000,MATCH(A6,Correspondance!$A$2:$A$3000,0)),0)</f>
        <v>2.6</v>
      </c>
      <c r="F6" s="60" t="n">
        <f aca="false">C6*E6</f>
        <v>4.12421473443746</v>
      </c>
      <c r="G6" s="61"/>
      <c r="I6" s="63"/>
    </row>
    <row r="7" customFormat="false" ht="15.75" hidden="false" customHeight="false" outlineLevel="0" collapsed="false">
      <c r="A7" s="57" t="s">
        <v>1834</v>
      </c>
      <c r="B7" s="57" t="n">
        <v>1.68</v>
      </c>
      <c r="C7" s="58" t="n">
        <f aca="false">B7/B$22*B$24</f>
        <v>2.63849229011993</v>
      </c>
      <c r="D7" s="57" t="s">
        <v>434</v>
      </c>
      <c r="E7" s="59" t="n">
        <f aca="false">IFERROR(INDEX(Correspondance!$D$2:$D$3000,MATCH(A7,Correspondance!$A$2:$A$3000,0)),0)</f>
        <v>2.2</v>
      </c>
      <c r="F7" s="60" t="n">
        <f aca="false">C7*E7</f>
        <v>5.80468303826385</v>
      </c>
      <c r="G7" s="61"/>
      <c r="I7" s="63"/>
    </row>
    <row r="8" customFormat="false" ht="15.75" hidden="false" customHeight="false" outlineLevel="0" collapsed="false">
      <c r="A8" s="57" t="s">
        <v>1001</v>
      </c>
      <c r="B8" s="57" t="n">
        <v>0.336</v>
      </c>
      <c r="C8" s="58" t="n">
        <f aca="false">B8/B$22*B$24</f>
        <v>0.527698458023986</v>
      </c>
      <c r="D8" s="57" t="s">
        <v>434</v>
      </c>
      <c r="E8" s="59" t="n">
        <f aca="false">IFERROR(INDEX(Correspondance!$D$2:$D$3000,MATCH(A8,Correspondance!$A$2:$A$3000,0)),0)</f>
        <v>1.8</v>
      </c>
      <c r="F8" s="60" t="n">
        <f aca="false">C8*E8</f>
        <v>0.949857224443175</v>
      </c>
      <c r="G8" s="61"/>
      <c r="I8" s="63"/>
    </row>
    <row r="9" customFormat="false" ht="15.75" hidden="false" customHeight="false" outlineLevel="0" collapsed="false">
      <c r="A9" s="57" t="s">
        <v>1491</v>
      </c>
      <c r="B9" s="57" t="n">
        <v>0.135</v>
      </c>
      <c r="C9" s="58" t="n">
        <f aca="false">B9/B$22*B$24</f>
        <v>0.212021701884637</v>
      </c>
      <c r="D9" s="57" t="s">
        <v>434</v>
      </c>
      <c r="E9" s="59" t="n">
        <f aca="false">IFERROR(INDEX(Correspondance!$D$2:$D$3000,MATCH(A9,Correspondance!$A$2:$A$3000,0)),0)</f>
        <v>9</v>
      </c>
      <c r="F9" s="60" t="n">
        <f aca="false">C9*E9</f>
        <v>1.90819531696174</v>
      </c>
      <c r="G9" s="61"/>
      <c r="I9" s="63"/>
    </row>
    <row r="10" customFormat="false" ht="15.75" hidden="false" customHeight="false" outlineLevel="0" collapsed="false">
      <c r="A10" s="57" t="s">
        <v>1100</v>
      </c>
      <c r="B10" s="57" t="n">
        <v>0.135</v>
      </c>
      <c r="C10" s="58" t="n">
        <f aca="false">B10/B$22*B$24</f>
        <v>0.212021701884637</v>
      </c>
      <c r="D10" s="57" t="s">
        <v>434</v>
      </c>
      <c r="E10" s="59" t="n">
        <f aca="false">IFERROR(INDEX(Correspondance!$D$2:$D$3000,MATCH(A10,Correspondance!$A$2:$A$3000,0)),0)</f>
        <v>10</v>
      </c>
      <c r="F10" s="60" t="n">
        <f aca="false">C10*E10</f>
        <v>2.12021701884637</v>
      </c>
      <c r="G10" s="61"/>
      <c r="I10" s="63"/>
    </row>
    <row r="11" customFormat="false" ht="15.75" hidden="false" customHeight="false" outlineLevel="0" collapsed="false">
      <c r="A11" s="57" t="s">
        <v>1459</v>
      </c>
      <c r="B11" s="57" t="n">
        <v>9.42</v>
      </c>
      <c r="C11" s="58" t="n">
        <f aca="false">B11/B$22*B$24</f>
        <v>14.7944031981725</v>
      </c>
      <c r="D11" s="57" t="s">
        <v>682</v>
      </c>
      <c r="E11" s="59" t="n">
        <f aca="false">IFERROR(INDEX(Correspondance!$D$2:$D$3000,MATCH(A11,Correspondance!$A$2:$A$3000,0)),0)</f>
        <v>0</v>
      </c>
      <c r="F11" s="60" t="n">
        <f aca="false">C11*E11</f>
        <v>0</v>
      </c>
      <c r="G11" s="61"/>
      <c r="I11" s="63"/>
    </row>
    <row r="12" customFormat="false" ht="18.75" hidden="false" customHeight="true" outlineLevel="0" collapsed="false">
      <c r="A12" s="57" t="s">
        <v>1576</v>
      </c>
      <c r="B12" s="64" t="n">
        <v>1.35</v>
      </c>
      <c r="C12" s="58" t="n">
        <f aca="false">B12/B$22*B$24</f>
        <v>2.12021701884637</v>
      </c>
      <c r="D12" s="57" t="s">
        <v>434</v>
      </c>
      <c r="E12" s="59" t="n">
        <f aca="false">IFERROR(INDEX(Correspondance!$D$2:$D$3000,MATCH(A12,Correspondance!$A$2:$A$3000,0)),0)</f>
        <v>5.5</v>
      </c>
      <c r="F12" s="60" t="n">
        <f aca="false">C12*E12</f>
        <v>11.6611936036551</v>
      </c>
      <c r="G12" s="61"/>
      <c r="I12" s="63"/>
    </row>
    <row r="13" customFormat="false" ht="18.75" hidden="false" customHeight="true" outlineLevel="0" collapsed="false">
      <c r="A13" s="57" t="s">
        <v>1919</v>
      </c>
      <c r="B13" s="64" t="n">
        <v>0.081</v>
      </c>
      <c r="C13" s="58" t="n">
        <f aca="false">B13/B$22*B$24</f>
        <v>0.127213021130782</v>
      </c>
      <c r="D13" s="57" t="s">
        <v>434</v>
      </c>
      <c r="E13" s="59" t="n">
        <f aca="false">IFERROR(INDEX(Correspondance!$D$2:$D$3000,MATCH(A13,Correspondance!$A$2:$A$3000,0)),0)</f>
        <v>2</v>
      </c>
      <c r="F13" s="60" t="n">
        <f aca="false">C13*E13</f>
        <v>0.254426042261565</v>
      </c>
      <c r="G13" s="61"/>
      <c r="I13" s="63"/>
    </row>
    <row r="14" customFormat="false" ht="15.75" hidden="false" customHeight="false" outlineLevel="0" collapsed="false">
      <c r="A14" s="57" t="s">
        <v>1797</v>
      </c>
      <c r="B14" s="57"/>
      <c r="C14" s="58" t="n">
        <f aca="false">B14/B$22*B$24</f>
        <v>0</v>
      </c>
      <c r="D14" s="57" t="s">
        <v>434</v>
      </c>
      <c r="E14" s="59" t="n">
        <f aca="false">IFERROR(INDEX(Correspondance!$D$2:$D$3000,MATCH(A14,Correspondance!$A$2:$A$3000,0)),0)</f>
        <v>18</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68.0209594517419</v>
      </c>
      <c r="G19" s="61"/>
      <c r="I19" s="63"/>
    </row>
    <row r="20" customFormat="false" ht="18.75" hidden="false" customHeight="true" outlineLevel="0" collapsed="false">
      <c r="A20" s="68" t="s">
        <v>2628</v>
      </c>
      <c r="B20" s="69" t="n">
        <f aca="false">F19/B24</f>
        <v>0.618372358652199</v>
      </c>
      <c r="C20" s="70"/>
      <c r="G20" s="61"/>
      <c r="I20" s="63"/>
    </row>
    <row r="21" customFormat="false" ht="15.75" hidden="false" customHeight="false" outlineLevel="0" collapsed="false">
      <c r="A21" s="71" t="s">
        <v>2629</v>
      </c>
      <c r="B21" s="71" t="n">
        <f aca="false">SUM(B3:B18)</f>
        <v>17.51</v>
      </c>
      <c r="C21" s="66"/>
      <c r="G21" s="61"/>
      <c r="I21" s="63"/>
    </row>
    <row r="22" customFormat="false" ht="15.75" hidden="false" customHeight="false" outlineLevel="0" collapsed="false">
      <c r="A22" s="0" t="s">
        <v>2630</v>
      </c>
      <c r="B22" s="72" t="n">
        <f aca="false">B21/B23</f>
        <v>70.04</v>
      </c>
      <c r="C22" s="66"/>
      <c r="G22" s="61"/>
      <c r="I22" s="63"/>
    </row>
    <row r="23" customFormat="false" ht="15.75" hidden="false" customHeight="false" outlineLevel="0" collapsed="false">
      <c r="A23" s="0" t="s">
        <v>2631</v>
      </c>
      <c r="B23" s="0" t="n">
        <v>0.25</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108</v>
      </c>
      <c r="B1" s="50"/>
      <c r="C1" s="50"/>
      <c r="D1" s="50"/>
      <c r="E1" s="51" t="s">
        <v>2619</v>
      </c>
      <c r="F1" s="51"/>
      <c r="G1" s="52" t="s">
        <v>2758</v>
      </c>
    </row>
    <row r="2" customFormat="false" ht="24.75" hidden="false" customHeight="true" outlineLevel="0" collapsed="false">
      <c r="A2" s="50"/>
      <c r="B2" s="50"/>
      <c r="C2" s="50"/>
      <c r="D2" s="50"/>
      <c r="E2" s="53" t="s">
        <v>2636</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1851</v>
      </c>
      <c r="B4" s="57" t="n">
        <v>5.8</v>
      </c>
      <c r="C4" s="58" t="n">
        <f aca="false">B4/B$22*B$24</f>
        <v>9.11376492771842</v>
      </c>
      <c r="D4" s="57" t="s">
        <v>434</v>
      </c>
      <c r="E4" s="59" t="n">
        <f aca="false">IFERROR(INDEX(Correspondance!$D$2:$D$3000,MATCH(A4,Correspondance!$A$2:$A$3000,0)),0)</f>
        <v>2.4</v>
      </c>
      <c r="F4" s="60" t="n">
        <f aca="false">C4*E4</f>
        <v>21.8730358265242</v>
      </c>
      <c r="G4" s="61" t="s">
        <v>2762</v>
      </c>
    </row>
    <row r="5" customFormat="false" ht="15.75" hidden="false" customHeight="false" outlineLevel="0" collapsed="false">
      <c r="A5" s="57" t="s">
        <v>1834</v>
      </c>
      <c r="B5" s="57" t="n">
        <v>1.09</v>
      </c>
      <c r="C5" s="58" t="n">
        <f aca="false">B5/B$22*B$24</f>
        <v>1.71275927089881</v>
      </c>
      <c r="D5" s="57" t="s">
        <v>434</v>
      </c>
      <c r="E5" s="59" t="n">
        <f aca="false">IFERROR(INDEX(Correspondance!$D$2:$D$3000,MATCH(A5,Correspondance!$A$2:$A$3000,0)),0)</f>
        <v>2.2</v>
      </c>
      <c r="F5" s="60" t="n">
        <f aca="false">C5*E5</f>
        <v>3.76807039597737</v>
      </c>
      <c r="G5" s="61"/>
      <c r="I5" s="62"/>
    </row>
    <row r="6" customFormat="false" ht="15.75" hidden="false" customHeight="false" outlineLevel="0" collapsed="false">
      <c r="A6" s="57" t="s">
        <v>917</v>
      </c>
      <c r="B6" s="57" t="n">
        <v>0.726</v>
      </c>
      <c r="C6" s="58" t="n">
        <f aca="false">B6/B$22*B$24</f>
        <v>1.14079195474544</v>
      </c>
      <c r="D6" s="57" t="s">
        <v>434</v>
      </c>
      <c r="E6" s="59" t="n">
        <f aca="false">IFERROR(INDEX(Correspondance!$D$2:$D$3000,MATCH(A6,Correspondance!$A$2:$A$3000,0)),0)</f>
        <v>1.8</v>
      </c>
      <c r="F6" s="60" t="n">
        <f aca="false">C6*E6</f>
        <v>2.0534255185418</v>
      </c>
      <c r="G6" s="61"/>
      <c r="I6" s="63"/>
    </row>
    <row r="7" customFormat="false" ht="15.75" hidden="false" customHeight="false" outlineLevel="0" collapsed="false">
      <c r="A7" s="57" t="s">
        <v>1001</v>
      </c>
      <c r="B7" s="57" t="n">
        <v>0.58</v>
      </c>
      <c r="C7" s="58" t="n">
        <f aca="false">B7/B$22*B$24</f>
        <v>0.911376492771842</v>
      </c>
      <c r="D7" s="57" t="s">
        <v>434</v>
      </c>
      <c r="E7" s="59" t="n">
        <f aca="false">IFERROR(INDEX(Correspondance!$D$2:$D$3000,MATCH(A7,Correspondance!$A$2:$A$3000,0)),0)</f>
        <v>1.8</v>
      </c>
      <c r="F7" s="60" t="n">
        <f aca="false">C7*E7</f>
        <v>1.64047768698931</v>
      </c>
      <c r="G7" s="61"/>
      <c r="I7" s="63"/>
    </row>
    <row r="8" customFormat="false" ht="15.75" hidden="false" customHeight="false" outlineLevel="0" collapsed="false">
      <c r="A8" s="57" t="s">
        <v>1100</v>
      </c>
      <c r="B8" s="57" t="n">
        <v>0.145</v>
      </c>
      <c r="C8" s="58" t="n">
        <f aca="false">B8/B$22*B$24</f>
        <v>0.22784412319296</v>
      </c>
      <c r="D8" s="57" t="s">
        <v>434</v>
      </c>
      <c r="E8" s="59" t="n">
        <f aca="false">IFERROR(INDEX(Correspondance!$D$2:$D$3000,MATCH(A8,Correspondance!$A$2:$A$3000,0)),0)</f>
        <v>10</v>
      </c>
      <c r="F8" s="60" t="n">
        <f aca="false">C8*E8</f>
        <v>2.2784412319296</v>
      </c>
      <c r="G8" s="61"/>
      <c r="I8" s="63"/>
    </row>
    <row r="9" customFormat="false" ht="15.75" hidden="false" customHeight="false" outlineLevel="0" collapsed="false">
      <c r="A9" s="57" t="s">
        <v>1459</v>
      </c>
      <c r="B9" s="57" t="n">
        <v>7.26</v>
      </c>
      <c r="C9" s="58" t="n">
        <f aca="false">B9/B$22*B$24</f>
        <v>11.4079195474544</v>
      </c>
      <c r="D9" s="57" t="s">
        <v>682</v>
      </c>
      <c r="E9" s="59" t="n">
        <f aca="false">IFERROR(INDEX(Correspondance!$D$2:$D$3000,MATCH(A9,Correspondance!$A$2:$A$3000,0)),0)</f>
        <v>0</v>
      </c>
      <c r="F9" s="60" t="n">
        <f aca="false">C9*E9</f>
        <v>0</v>
      </c>
      <c r="G9" s="61"/>
      <c r="I9" s="63"/>
    </row>
    <row r="10" customFormat="false" ht="15.75" hidden="false" customHeight="false" outlineLevel="0" collapsed="false">
      <c r="A10" s="57" t="s">
        <v>1576</v>
      </c>
      <c r="B10" s="57" t="n">
        <v>1.45</v>
      </c>
      <c r="C10" s="58" t="n">
        <f aca="false">B10/B$22*B$24</f>
        <v>2.2784412319296</v>
      </c>
      <c r="D10" s="57" t="s">
        <v>434</v>
      </c>
      <c r="E10" s="59" t="n">
        <f aca="false">IFERROR(INDEX(Correspondance!$D$2:$D$3000,MATCH(A10,Correspondance!$A$2:$A$3000,0)),0)</f>
        <v>5.5</v>
      </c>
      <c r="F10" s="60" t="n">
        <f aca="false">C10*E10</f>
        <v>12.5314267756128</v>
      </c>
      <c r="G10" s="61"/>
      <c r="I10" s="63"/>
    </row>
    <row r="11" customFormat="false" ht="15.75" hidden="false" customHeight="false" outlineLevel="0" collapsed="false">
      <c r="A11" s="57" t="s">
        <v>1491</v>
      </c>
      <c r="B11" s="57" t="n">
        <v>0.145</v>
      </c>
      <c r="C11" s="58" t="n">
        <f aca="false">B11/B$22*B$24</f>
        <v>0.22784412319296</v>
      </c>
      <c r="D11" s="57" t="s">
        <v>434</v>
      </c>
      <c r="E11" s="59" t="n">
        <f aca="false">IFERROR(INDEX(Correspondance!$D$2:$D$3000,MATCH(A11,Correspondance!$A$2:$A$3000,0)),0)</f>
        <v>9</v>
      </c>
      <c r="F11" s="60" t="n">
        <f aca="false">C11*E11</f>
        <v>2.05059710873664</v>
      </c>
      <c r="G11" s="61"/>
      <c r="I11" s="63"/>
    </row>
    <row r="12" customFormat="false" ht="18.75" hidden="false" customHeight="true" outlineLevel="0" collapsed="false">
      <c r="A12" s="57" t="s">
        <v>1919</v>
      </c>
      <c r="B12" s="64" t="n">
        <v>0.087</v>
      </c>
      <c r="C12" s="58" t="n">
        <f aca="false">B12/B$22*B$24</f>
        <v>0.136706473915776</v>
      </c>
      <c r="D12" s="57" t="s">
        <v>434</v>
      </c>
      <c r="E12" s="59" t="n">
        <f aca="false">IFERROR(INDEX(Correspondance!$D$2:$D$3000,MATCH(A12,Correspondance!$A$2:$A$3000,0)),0)</f>
        <v>2</v>
      </c>
      <c r="F12" s="60" t="n">
        <f aca="false">C12*E12</f>
        <v>0.273412947831552</v>
      </c>
      <c r="G12" s="61"/>
      <c r="I12" s="63"/>
    </row>
    <row r="13" customFormat="false" ht="18.75" hidden="false" customHeight="true" outlineLevel="0" collapsed="false">
      <c r="A13" s="57" t="s">
        <v>1802</v>
      </c>
      <c r="B13" s="64"/>
      <c r="C13" s="58" t="n">
        <f aca="false">B13/B$22*B$24</f>
        <v>0</v>
      </c>
      <c r="D13" s="57" t="s">
        <v>434</v>
      </c>
      <c r="E13" s="59" t="n">
        <f aca="false">IFERROR(INDEX(Correspondance!$D$2:$D$3000,MATCH(A13,Correspondance!$A$2:$A$3000,0)),0)</f>
        <v>18</v>
      </c>
      <c r="F13" s="60" t="n">
        <f aca="false">C13*E13</f>
        <v>0</v>
      </c>
      <c r="G13" s="61"/>
      <c r="I13" s="63"/>
    </row>
    <row r="14" customFormat="false" ht="15.75" hidden="false" customHeight="false" outlineLevel="0" collapsed="false">
      <c r="A14" s="57" t="s">
        <v>1652</v>
      </c>
      <c r="B14" s="57" t="n">
        <v>0.218</v>
      </c>
      <c r="C14" s="58" t="n">
        <f aca="false">B14/B$22*B$24</f>
        <v>0.342551854179761</v>
      </c>
      <c r="D14" s="57" t="s">
        <v>434</v>
      </c>
      <c r="E14" s="59" t="n">
        <f aca="false">IFERROR(INDEX(Correspondance!$D$2:$D$3000,MATCH(A14,Correspondance!$A$2:$A$3000,0)),0)</f>
        <v>8</v>
      </c>
      <c r="F14" s="60" t="n">
        <f aca="false">C14*E14</f>
        <v>2.74041483343809</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49.2093023255814</v>
      </c>
      <c r="G19" s="61"/>
      <c r="I19" s="63"/>
    </row>
    <row r="20" customFormat="false" ht="18.75" hidden="false" customHeight="true" outlineLevel="0" collapsed="false">
      <c r="A20" s="68" t="s">
        <v>2628</v>
      </c>
      <c r="B20" s="69" t="n">
        <f aca="false">F19/B24</f>
        <v>0.447357293868922</v>
      </c>
      <c r="C20" s="70"/>
      <c r="G20" s="61"/>
      <c r="I20" s="63"/>
    </row>
    <row r="21" customFormat="false" ht="15.75" hidden="false" customHeight="false" outlineLevel="0" collapsed="false">
      <c r="A21" s="71" t="s">
        <v>2629</v>
      </c>
      <c r="B21" s="71" t="n">
        <f aca="false">SUM(B3:B18)</f>
        <v>17.501</v>
      </c>
      <c r="C21" s="66"/>
      <c r="G21" s="61"/>
      <c r="I21" s="63"/>
    </row>
    <row r="22" customFormat="false" ht="15.75" hidden="false" customHeight="false" outlineLevel="0" collapsed="false">
      <c r="A22" s="0" t="s">
        <v>2630</v>
      </c>
      <c r="B22" s="72" t="n">
        <f aca="false">B21/B23</f>
        <v>70.004</v>
      </c>
      <c r="C22" s="66"/>
      <c r="G22" s="61"/>
      <c r="I22" s="63"/>
    </row>
    <row r="23" customFormat="false" ht="15.75" hidden="false" customHeight="false" outlineLevel="0" collapsed="false">
      <c r="A23" s="0" t="s">
        <v>2631</v>
      </c>
      <c r="B23" s="0" t="n">
        <v>0.25</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109</v>
      </c>
      <c r="B1" s="50"/>
      <c r="C1" s="50"/>
      <c r="D1" s="50"/>
      <c r="E1" s="51" t="s">
        <v>2619</v>
      </c>
      <c r="F1" s="51"/>
      <c r="G1" s="52" t="s">
        <v>2763</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1932</v>
      </c>
      <c r="B4" s="57" t="n">
        <v>8.19</v>
      </c>
      <c r="C4" s="58" t="n">
        <f aca="false">B4/B$22*B$24</f>
        <v>12.8626499143347</v>
      </c>
      <c r="D4" s="57" t="s">
        <v>682</v>
      </c>
      <c r="E4" s="59" t="n">
        <f aca="false">IFERROR(INDEX(Correspondance!$D$2:$D$3000,MATCH(A4,Correspondance!$A$2:$A$3000,0)),0)</f>
        <v>6</v>
      </c>
      <c r="F4" s="60" t="n">
        <f aca="false">C4*E4</f>
        <v>77.175899486008</v>
      </c>
      <c r="G4" s="61" t="s">
        <v>2764</v>
      </c>
    </row>
    <row r="5" customFormat="false" ht="15.75" hidden="false" customHeight="false" outlineLevel="0" collapsed="false">
      <c r="A5" s="57" t="s">
        <v>650</v>
      </c>
      <c r="B5" s="57" t="n">
        <v>2.46</v>
      </c>
      <c r="C5" s="58" t="n">
        <f aca="false">B5/B$22*B$24</f>
        <v>3.86350656767561</v>
      </c>
      <c r="D5" s="57" t="s">
        <v>434</v>
      </c>
      <c r="E5" s="59" t="n">
        <f aca="false">IFERROR(INDEX(Correspondance!$D$2:$D$3000,MATCH(A5,Correspondance!$A$2:$A$3000,0)),0)</f>
        <v>9</v>
      </c>
      <c r="F5" s="60" t="n">
        <f aca="false">C5*E5</f>
        <v>34.7715591090805</v>
      </c>
      <c r="G5" s="61"/>
      <c r="I5" s="62"/>
    </row>
    <row r="6" customFormat="false" ht="15.75" hidden="false" customHeight="false" outlineLevel="0" collapsed="false">
      <c r="A6" s="57" t="s">
        <v>1001</v>
      </c>
      <c r="B6" s="57" t="n">
        <v>0.491</v>
      </c>
      <c r="C6" s="58" t="n">
        <f aca="false">B6/B$22*B$24</f>
        <v>0.771130782410052</v>
      </c>
      <c r="D6" s="57" t="s">
        <v>434</v>
      </c>
      <c r="E6" s="59" t="n">
        <f aca="false">IFERROR(INDEX(Correspondance!$D$2:$D$3000,MATCH(A6,Correspondance!$A$2:$A$3000,0)),0)</f>
        <v>1.8</v>
      </c>
      <c r="F6" s="60" t="n">
        <f aca="false">C6*E6</f>
        <v>1.38803540833809</v>
      </c>
      <c r="G6" s="61"/>
      <c r="I6" s="63"/>
    </row>
    <row r="7" customFormat="false" ht="15.75" hidden="false" customHeight="false" outlineLevel="0" collapsed="false">
      <c r="A7" s="57" t="s">
        <v>1016</v>
      </c>
      <c r="B7" s="57" t="n">
        <v>0.655</v>
      </c>
      <c r="C7" s="58" t="n">
        <f aca="false">B7/B$22*B$24</f>
        <v>1.02869788692176</v>
      </c>
      <c r="D7" s="57" t="s">
        <v>434</v>
      </c>
      <c r="E7" s="59" t="n">
        <f aca="false">IFERROR(INDEX(Correspondance!$D$2:$D$3000,MATCH(A7,Correspondance!$A$2:$A$3000,0)),0)</f>
        <v>2.6</v>
      </c>
      <c r="F7" s="60" t="n">
        <f aca="false">C7*E7</f>
        <v>2.67461450599657</v>
      </c>
      <c r="G7" s="61"/>
      <c r="I7" s="63"/>
    </row>
    <row r="8" customFormat="false" ht="15.75" hidden="false" customHeight="false" outlineLevel="0" collapsed="false">
      <c r="A8" s="57" t="s">
        <v>1958</v>
      </c>
      <c r="B8" s="57" t="n">
        <v>1.23</v>
      </c>
      <c r="C8" s="58" t="n">
        <f aca="false">B8/B$22*B$24</f>
        <v>1.93175328383781</v>
      </c>
      <c r="D8" s="57" t="s">
        <v>434</v>
      </c>
      <c r="E8" s="59" t="n">
        <f aca="false">IFERROR(INDEX(Correspondance!$D$2:$D$3000,MATCH(A8,Correspondance!$A$2:$A$3000,0)),0)</f>
        <v>1.6</v>
      </c>
      <c r="F8" s="60" t="n">
        <f aca="false">C8*E8</f>
        <v>3.09080525414049</v>
      </c>
      <c r="G8" s="61"/>
      <c r="I8" s="63"/>
    </row>
    <row r="9" customFormat="false" ht="15.75" hidden="false" customHeight="false" outlineLevel="0" collapsed="false">
      <c r="A9" s="57" t="s">
        <v>1197</v>
      </c>
      <c r="B9" s="57" t="n">
        <v>0.123</v>
      </c>
      <c r="C9" s="58" t="n">
        <f aca="false">B9/B$22*B$24</f>
        <v>0.193175328383781</v>
      </c>
      <c r="D9" s="57" t="s">
        <v>434</v>
      </c>
      <c r="E9" s="59" t="n">
        <f aca="false">IFERROR(INDEX(Correspondance!$D$2:$D$3000,MATCH(A9,Correspondance!$A$2:$A$3000,0)),0)</f>
        <v>2.6</v>
      </c>
      <c r="F9" s="60" t="n">
        <f aca="false">C9*E9</f>
        <v>0.50225585379783</v>
      </c>
      <c r="G9" s="61"/>
      <c r="I9" s="63"/>
    </row>
    <row r="10" customFormat="false" ht="15.75" hidden="false" customHeight="false" outlineLevel="0" collapsed="false">
      <c r="A10" s="57" t="s">
        <v>894</v>
      </c>
      <c r="B10" s="57" t="n">
        <v>0.041</v>
      </c>
      <c r="C10" s="58" t="n">
        <f aca="false">B10/B$22*B$24</f>
        <v>0.0643917761279269</v>
      </c>
      <c r="D10" s="57" t="s">
        <v>434</v>
      </c>
      <c r="E10" s="59" t="n">
        <f aca="false">IFERROR(INDEX(Correspondance!$D$2:$D$3000,MATCH(A10,Correspondance!$A$2:$A$3000,0)),0)</f>
        <v>5.5</v>
      </c>
      <c r="F10" s="60" t="n">
        <f aca="false">C10*E10</f>
        <v>0.354154768703598</v>
      </c>
      <c r="G10" s="61"/>
      <c r="I10" s="63"/>
    </row>
    <row r="11" customFormat="false" ht="15.75" hidden="false" customHeight="false" outlineLevel="0" collapsed="false">
      <c r="A11" s="57" t="s">
        <v>1120</v>
      </c>
      <c r="B11" s="57" t="n">
        <v>0.164</v>
      </c>
      <c r="C11" s="58" t="n">
        <f aca="false">B11/B$22*B$24</f>
        <v>0.257567104511708</v>
      </c>
      <c r="D11" s="57" t="s">
        <v>682</v>
      </c>
      <c r="E11" s="59" t="n">
        <f aca="false">IFERROR(INDEX(Correspondance!$D$2:$D$3000,MATCH(A11,Correspondance!$A$2:$A$3000,0)),0)</f>
        <v>7.5</v>
      </c>
      <c r="F11" s="60" t="n">
        <f aca="false">C11*E11</f>
        <v>1.93175328383781</v>
      </c>
      <c r="G11" s="61"/>
      <c r="I11" s="63"/>
    </row>
    <row r="12" customFormat="false" ht="18.75" hidden="false" customHeight="true" outlineLevel="0" collapsed="false">
      <c r="A12" s="57" t="s">
        <v>1459</v>
      </c>
      <c r="B12" s="64" t="n">
        <v>3.28</v>
      </c>
      <c r="C12" s="58" t="n">
        <f aca="false">B12/B$22*B$24</f>
        <v>5.15134209023415</v>
      </c>
      <c r="D12" s="57" t="s">
        <v>682</v>
      </c>
      <c r="E12" s="59" t="n">
        <f aca="false">IFERROR(INDEX(Correspondance!$D$2:$D$3000,MATCH(A12,Correspondance!$A$2:$A$3000,0)),0)</f>
        <v>0</v>
      </c>
      <c r="F12" s="60" t="n">
        <f aca="false">C12*E12</f>
        <v>0</v>
      </c>
      <c r="G12" s="61"/>
      <c r="I12" s="63"/>
    </row>
    <row r="13" customFormat="false" ht="18.75" hidden="false" customHeight="true" outlineLevel="0" collapsed="false">
      <c r="A13" s="57" t="s">
        <v>1892</v>
      </c>
      <c r="B13" s="64" t="n">
        <v>0.008</v>
      </c>
      <c r="C13" s="58" t="n">
        <f aca="false">B13/B$22*B$24</f>
        <v>0.0125642490005711</v>
      </c>
      <c r="D13" s="57" t="s">
        <v>434</v>
      </c>
      <c r="E13" s="59" t="n">
        <f aca="false">IFERROR(INDEX(Correspondance!$D$2:$D$3000,MATCH(A13,Correspondance!$A$2:$A$3000,0)),0)</f>
        <v>120</v>
      </c>
      <c r="F13" s="60" t="n">
        <f aca="false">C13*E13</f>
        <v>1.50770988006853</v>
      </c>
      <c r="G13" s="61"/>
      <c r="I13" s="63"/>
    </row>
    <row r="14" customFormat="false" ht="15.75" hidden="false" customHeight="false" outlineLevel="0" collapsed="false">
      <c r="A14" s="57" t="s">
        <v>1919</v>
      </c>
      <c r="B14" s="57" t="n">
        <v>0.049</v>
      </c>
      <c r="C14" s="58" t="n">
        <f aca="false">B14/B$22*B$24</f>
        <v>0.076956025128498</v>
      </c>
      <c r="D14" s="57" t="s">
        <v>434</v>
      </c>
      <c r="E14" s="59" t="n">
        <f aca="false">IFERROR(INDEX(Correspondance!$D$2:$D$3000,MATCH(A14,Correspondance!$A$2:$A$3000,0)),0)</f>
        <v>2</v>
      </c>
      <c r="F14" s="60" t="n">
        <f aca="false">C14*E14</f>
        <v>0.153912050256996</v>
      </c>
      <c r="G14" s="61"/>
      <c r="I14" s="63"/>
    </row>
    <row r="15" customFormat="false" ht="15.75" hidden="false" customHeight="false" outlineLevel="0" collapsed="false">
      <c r="A15" s="57" t="s">
        <v>1799</v>
      </c>
      <c r="B15" s="57"/>
      <c r="C15" s="58" t="n">
        <f aca="false">B15/B$22*B$24</f>
        <v>0</v>
      </c>
      <c r="D15" s="57" t="s">
        <v>434</v>
      </c>
      <c r="E15" s="59" t="n">
        <f aca="false">IFERROR(INDEX(Correspondance!$D$2:$D$3000,MATCH(A15,Correspondance!$A$2:$A$3000,0)),0)</f>
        <v>18</v>
      </c>
      <c r="F15" s="60" t="n">
        <f aca="false">C15*E15</f>
        <v>0</v>
      </c>
      <c r="G15" s="61"/>
      <c r="I15" s="63"/>
    </row>
    <row r="16" customFormat="false" ht="15.75" hidden="false" customHeight="false" outlineLevel="0" collapsed="false">
      <c r="A16" s="57" t="s">
        <v>1575</v>
      </c>
      <c r="B16" s="57" t="n">
        <v>0.819</v>
      </c>
      <c r="C16" s="58" t="n">
        <f aca="false">B16/B$22*B$24</f>
        <v>1.28626499143347</v>
      </c>
      <c r="D16" s="57" t="s">
        <v>434</v>
      </c>
      <c r="E16" s="59" t="n">
        <f aca="false">IFERROR(INDEX(Correspondance!$D$2:$D$3000,MATCH(A16,Correspondance!$A$2:$A$3000,0)),0)</f>
        <v>6</v>
      </c>
      <c r="F16" s="60" t="n">
        <f aca="false">C16*E16</f>
        <v>7.7175899486008</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131.268289548829</v>
      </c>
      <c r="G19" s="61"/>
      <c r="I19" s="63"/>
    </row>
    <row r="20" customFormat="false" ht="18.75" hidden="false" customHeight="true" outlineLevel="0" collapsed="false">
      <c r="A20" s="68" t="s">
        <v>2628</v>
      </c>
      <c r="B20" s="69" t="n">
        <f aca="false">F19/B24</f>
        <v>1.19334808680754</v>
      </c>
      <c r="C20" s="70"/>
      <c r="G20" s="61"/>
      <c r="I20" s="63"/>
    </row>
    <row r="21" customFormat="false" ht="15.75" hidden="false" customHeight="false" outlineLevel="0" collapsed="false">
      <c r="A21" s="71" t="s">
        <v>2629</v>
      </c>
      <c r="B21" s="71" t="n">
        <f aca="false">SUM(B3:B18)</f>
        <v>17.51</v>
      </c>
      <c r="C21" s="66"/>
      <c r="G21" s="61"/>
      <c r="I21" s="63"/>
    </row>
    <row r="22" customFormat="false" ht="15.75" hidden="false" customHeight="false" outlineLevel="0" collapsed="false">
      <c r="A22" s="0" t="s">
        <v>2630</v>
      </c>
      <c r="B22" s="72" t="n">
        <f aca="false">B21/B23</f>
        <v>70.04</v>
      </c>
      <c r="C22" s="66"/>
      <c r="G22" s="61"/>
      <c r="I22" s="63"/>
    </row>
    <row r="23" customFormat="false" ht="15.75" hidden="false" customHeight="false" outlineLevel="0" collapsed="false">
      <c r="A23" s="0" t="s">
        <v>2631</v>
      </c>
      <c r="B23" s="0" t="n">
        <v>0.25</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111</v>
      </c>
      <c r="B1" s="50"/>
      <c r="C1" s="50"/>
      <c r="D1" s="50"/>
      <c r="E1" s="51" t="s">
        <v>2619</v>
      </c>
      <c r="F1" s="51"/>
      <c r="G1" s="52" t="s">
        <v>2765</v>
      </c>
    </row>
    <row r="2" customFormat="false" ht="24.75" hidden="false" customHeight="true" outlineLevel="0" collapsed="false">
      <c r="A2" s="50"/>
      <c r="B2" s="50"/>
      <c r="C2" s="50"/>
      <c r="D2" s="50"/>
      <c r="E2" s="53" t="s">
        <v>2636</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533</v>
      </c>
      <c r="B4" s="57" t="n">
        <v>2.46</v>
      </c>
      <c r="C4" s="58" t="n">
        <f aca="false">B4/B$22*B$24</f>
        <v>3.86203615604186</v>
      </c>
      <c r="D4" s="57" t="s">
        <v>434</v>
      </c>
      <c r="E4" s="59" t="n">
        <f aca="false">IFERROR(INDEX(Correspondance!$D$2:$D$3000,MATCH(A4,Correspondance!$A$2:$A$3000,0)),0)</f>
        <v>7</v>
      </c>
      <c r="F4" s="60" t="n">
        <f aca="false">C4*E4</f>
        <v>27.0342530922931</v>
      </c>
      <c r="G4" s="61" t="s">
        <v>2766</v>
      </c>
    </row>
    <row r="5" customFormat="false" ht="15.75" hidden="false" customHeight="false" outlineLevel="0" collapsed="false">
      <c r="A5" s="57" t="s">
        <v>1113</v>
      </c>
      <c r="B5" s="57" t="n">
        <v>0.614</v>
      </c>
      <c r="C5" s="58" t="n">
        <f aca="false">B5/B$22*B$24</f>
        <v>0.963939105613701</v>
      </c>
      <c r="D5" s="57" t="s">
        <v>434</v>
      </c>
      <c r="E5" s="59" t="n">
        <f aca="false">IFERROR(INDEX(Correspondance!$D$2:$D$3000,MATCH(A5,Correspondance!$A$2:$A$3000,0)),0)</f>
        <v>6</v>
      </c>
      <c r="F5" s="60" t="n">
        <f aca="false">C5*E5</f>
        <v>5.78363463368221</v>
      </c>
      <c r="G5" s="61"/>
      <c r="I5" s="62"/>
    </row>
    <row r="6" customFormat="false" ht="15.75" hidden="false" customHeight="false" outlineLevel="0" collapsed="false">
      <c r="A6" s="57" t="s">
        <v>589</v>
      </c>
      <c r="B6" s="57" t="n">
        <v>0.737</v>
      </c>
      <c r="C6" s="58" t="n">
        <f aca="false">B6/B$22*B$24</f>
        <v>1.15704091341579</v>
      </c>
      <c r="D6" s="57" t="s">
        <v>434</v>
      </c>
      <c r="E6" s="59" t="n">
        <f aca="false">IFERROR(INDEX(Correspondance!$D$2:$D$3000,MATCH(A6,Correspondance!$A$2:$A$3000,0)),0)</f>
        <v>28</v>
      </c>
      <c r="F6" s="60" t="n">
        <f aca="false">C6*E6</f>
        <v>32.3971455756422</v>
      </c>
      <c r="G6" s="61"/>
      <c r="I6" s="63"/>
    </row>
    <row r="7" customFormat="false" ht="15.75" hidden="false" customHeight="false" outlineLevel="0" collapsed="false">
      <c r="A7" s="57" t="s">
        <v>1723</v>
      </c>
      <c r="B7" s="57" t="n">
        <v>2.46</v>
      </c>
      <c r="C7" s="58" t="n">
        <f aca="false">B7/B$22*B$24</f>
        <v>3.86203615604186</v>
      </c>
      <c r="D7" s="57" t="s">
        <v>434</v>
      </c>
      <c r="E7" s="59" t="n">
        <f aca="false">IFERROR(INDEX(Correspondance!$D$2:$D$3000,MATCH(A7,Correspondance!$A$2:$A$3000,0)),0)</f>
        <v>7</v>
      </c>
      <c r="F7" s="60" t="n">
        <f aca="false">C7*E7</f>
        <v>27.0342530922931</v>
      </c>
      <c r="G7" s="61"/>
      <c r="I7" s="63"/>
    </row>
    <row r="8" customFormat="false" ht="15.75" hidden="false" customHeight="false" outlineLevel="0" collapsed="false">
      <c r="A8" s="57" t="s">
        <v>887</v>
      </c>
      <c r="B8" s="57" t="n">
        <v>0.921</v>
      </c>
      <c r="C8" s="58" t="n">
        <f aca="false">B8/B$22*B$24</f>
        <v>1.44590865842055</v>
      </c>
      <c r="D8" s="57" t="s">
        <v>434</v>
      </c>
      <c r="E8" s="59" t="n">
        <f aca="false">IFERROR(INDEX(Correspondance!$D$2:$D$3000,MATCH(A8,Correspondance!$A$2:$A$3000,0)),0)</f>
        <v>4.5</v>
      </c>
      <c r="F8" s="60" t="n">
        <f aca="false">C8*E8</f>
        <v>6.50658896289249</v>
      </c>
      <c r="G8" s="61"/>
      <c r="I8" s="63"/>
    </row>
    <row r="9" customFormat="false" ht="15.75" hidden="false" customHeight="false" outlineLevel="0" collapsed="false">
      <c r="A9" s="57" t="s">
        <v>1068</v>
      </c>
      <c r="B9" s="57" t="n">
        <v>0.246</v>
      </c>
      <c r="C9" s="58" t="n">
        <f aca="false">B9/B$22*B$24</f>
        <v>0.386203615604187</v>
      </c>
      <c r="D9" s="57" t="s">
        <v>434</v>
      </c>
      <c r="E9" s="59" t="n">
        <f aca="false">IFERROR(INDEX(Correspondance!$D$2:$D$3000,MATCH(A9,Correspondance!$A$2:$A$3000,0)),0)</f>
        <v>14</v>
      </c>
      <c r="F9" s="60" t="n">
        <f aca="false">C9*E9</f>
        <v>5.40685061845861</v>
      </c>
      <c r="G9" s="61"/>
      <c r="I9" s="63"/>
    </row>
    <row r="10" customFormat="false" ht="15.75" hidden="false" customHeight="false" outlineLevel="0" collapsed="false">
      <c r="A10" s="57" t="s">
        <v>1753</v>
      </c>
      <c r="B10" s="57" t="n">
        <v>0.491</v>
      </c>
      <c r="C10" s="58" t="n">
        <f aca="false">B10/B$22*B$24</f>
        <v>0.770837297811608</v>
      </c>
      <c r="D10" s="57" t="s">
        <v>434</v>
      </c>
      <c r="E10" s="59" t="n">
        <f aca="false">IFERROR(INDEX(Correspondance!$D$2:$D$3000,MATCH(A10,Correspondance!$A$2:$A$3000,0)),0)</f>
        <v>2.8</v>
      </c>
      <c r="F10" s="60" t="n">
        <f aca="false">C10*E10</f>
        <v>2.1583444338725</v>
      </c>
      <c r="G10" s="61"/>
      <c r="I10" s="63"/>
    </row>
    <row r="11" customFormat="false" ht="15.75" hidden="false" customHeight="false" outlineLevel="0" collapsed="false">
      <c r="A11" s="57" t="s">
        <v>1125</v>
      </c>
      <c r="B11" s="57" t="n">
        <v>0.184</v>
      </c>
      <c r="C11" s="58" t="n">
        <f aca="false">B11/B$22*B$24</f>
        <v>0.288867745004757</v>
      </c>
      <c r="D11" s="57" t="s">
        <v>682</v>
      </c>
      <c r="E11" s="59" t="n">
        <f aca="false">IFERROR(INDEX(Correspondance!$D$2:$D$3000,MATCH(A11,Correspondance!$A$2:$A$3000,0)),0)</f>
        <v>12</v>
      </c>
      <c r="F11" s="60" t="n">
        <f aca="false">C11*E11</f>
        <v>3.46641294005709</v>
      </c>
      <c r="G11" s="61"/>
      <c r="I11" s="63"/>
    </row>
    <row r="12" customFormat="false" ht="18.75" hidden="false" customHeight="true" outlineLevel="0" collapsed="false">
      <c r="A12" s="57" t="s">
        <v>1131</v>
      </c>
      <c r="B12" s="64" t="n">
        <v>0.123</v>
      </c>
      <c r="C12" s="58" t="n">
        <f aca="false">B12/B$22*B$24</f>
        <v>0.193101807802093</v>
      </c>
      <c r="D12" s="57" t="s">
        <v>682</v>
      </c>
      <c r="E12" s="59" t="n">
        <f aca="false">IFERROR(INDEX(Correspondance!$D$2:$D$3000,MATCH(A12,Correspondance!$A$2:$A$3000,0)),0)</f>
        <v>2.2</v>
      </c>
      <c r="F12" s="60" t="n">
        <f aca="false">C12*E12</f>
        <v>0.424823977164605</v>
      </c>
      <c r="G12" s="61"/>
      <c r="I12" s="63"/>
    </row>
    <row r="13" customFormat="false" ht="18.75" hidden="false" customHeight="true" outlineLevel="0" collapsed="false">
      <c r="A13" s="57" t="s">
        <v>1983</v>
      </c>
      <c r="B13" s="64" t="n">
        <v>0.092</v>
      </c>
      <c r="C13" s="58" t="n">
        <f aca="false">B13/B$22*B$24</f>
        <v>0.144433872502379</v>
      </c>
      <c r="D13" s="57" t="s">
        <v>682</v>
      </c>
      <c r="E13" s="59" t="n">
        <f aca="false">IFERROR(INDEX(Correspondance!$D$2:$D$3000,MATCH(A13,Correspondance!$A$2:$A$3000,0)),0)</f>
        <v>6</v>
      </c>
      <c r="F13" s="60" t="n">
        <f aca="false">C13*E13</f>
        <v>0.866603235014272</v>
      </c>
      <c r="G13" s="61"/>
      <c r="I13" s="63"/>
    </row>
    <row r="14" customFormat="false" ht="15.75" hidden="false" customHeight="false" outlineLevel="0" collapsed="false">
      <c r="A14" s="57" t="s">
        <v>1725</v>
      </c>
      <c r="B14" s="57" t="n">
        <v>0.037</v>
      </c>
      <c r="C14" s="58" t="n">
        <f aca="false">B14/B$22*B$24</f>
        <v>0.0580875356803045</v>
      </c>
      <c r="D14" s="57" t="s">
        <v>434</v>
      </c>
      <c r="E14" s="59" t="n">
        <f aca="false">IFERROR(INDEX(Correspondance!$D$2:$D$3000,MATCH(A14,Correspondance!$A$2:$A$3000,0)),0)</f>
        <v>9</v>
      </c>
      <c r="F14" s="60" t="n">
        <f aca="false">C14*E14</f>
        <v>0.52278782112274</v>
      </c>
      <c r="G14" s="61"/>
      <c r="I14" s="63"/>
    </row>
    <row r="15" customFormat="false" ht="15.75" hidden="false" customHeight="false" outlineLevel="0" collapsed="false">
      <c r="A15" s="57" t="s">
        <v>1919</v>
      </c>
      <c r="B15" s="57" t="n">
        <v>0.043</v>
      </c>
      <c r="C15" s="58" t="n">
        <f aca="false">B15/B$22*B$24</f>
        <v>0.0675071360608944</v>
      </c>
      <c r="D15" s="57" t="s">
        <v>434</v>
      </c>
      <c r="E15" s="59" t="n">
        <f aca="false">IFERROR(INDEX(Correspondance!$D$2:$D$3000,MATCH(A15,Correspondance!$A$2:$A$3000,0)),0)</f>
        <v>2</v>
      </c>
      <c r="F15" s="60" t="n">
        <f aca="false">C15*E15</f>
        <v>0.135014272121789</v>
      </c>
      <c r="G15" s="61"/>
      <c r="I15" s="63"/>
    </row>
    <row r="16" customFormat="false" ht="15.75" hidden="false" customHeight="false" outlineLevel="0" collapsed="false">
      <c r="A16" s="57" t="s">
        <v>1807</v>
      </c>
      <c r="B16" s="57"/>
      <c r="C16" s="58" t="n">
        <f aca="false">B16/B$22*B$24</f>
        <v>0</v>
      </c>
      <c r="D16" s="57" t="s">
        <v>434</v>
      </c>
      <c r="E16" s="59" t="n">
        <f aca="false">IFERROR(INDEX(Correspondance!$D$2:$D$3000,MATCH(A16,Correspondance!$A$2:$A$3000,0)),0)</f>
        <v>18</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111.736712654615</v>
      </c>
      <c r="G19" s="61"/>
      <c r="I19" s="63"/>
    </row>
    <row r="20" customFormat="false" ht="18.75" hidden="false" customHeight="true" outlineLevel="0" collapsed="false">
      <c r="A20" s="68" t="s">
        <v>2628</v>
      </c>
      <c r="B20" s="69" t="n">
        <f aca="false">F19/B24</f>
        <v>1.01578829686013</v>
      </c>
      <c r="C20" s="70"/>
      <c r="G20" s="61"/>
      <c r="I20" s="63"/>
    </row>
    <row r="21" customFormat="false" ht="15.75" hidden="false" customHeight="false" outlineLevel="0" collapsed="false">
      <c r="A21" s="71" t="s">
        <v>2629</v>
      </c>
      <c r="B21" s="71" t="n">
        <f aca="false">SUM(B3:B18)</f>
        <v>8.408</v>
      </c>
      <c r="C21" s="66"/>
      <c r="G21" s="61"/>
      <c r="I21" s="63"/>
    </row>
    <row r="22" customFormat="false" ht="15.75" hidden="false" customHeight="false" outlineLevel="0" collapsed="false">
      <c r="A22" s="0" t="s">
        <v>2630</v>
      </c>
      <c r="B22" s="72" t="n">
        <f aca="false">B21/B23</f>
        <v>70.0666666666667</v>
      </c>
      <c r="C22" s="66"/>
      <c r="G22" s="61"/>
      <c r="I22" s="63"/>
    </row>
    <row r="23" customFormat="false" ht="15.75" hidden="false" customHeight="false" outlineLevel="0" collapsed="false">
      <c r="A23" s="0" t="s">
        <v>2631</v>
      </c>
      <c r="B23" s="0" t="n">
        <v>0.12</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113</v>
      </c>
      <c r="B1" s="50"/>
      <c r="C1" s="50"/>
      <c r="D1" s="50"/>
      <c r="E1" s="51" t="s">
        <v>2619</v>
      </c>
      <c r="F1" s="51"/>
      <c r="G1" s="52" t="s">
        <v>2765</v>
      </c>
    </row>
    <row r="2" customFormat="false" ht="24.75" hidden="false" customHeight="true" outlineLevel="0" collapsed="false">
      <c r="A2" s="50"/>
      <c r="B2" s="50"/>
      <c r="C2" s="50"/>
      <c r="D2" s="50"/>
      <c r="E2" s="53" t="s">
        <v>2636</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533</v>
      </c>
      <c r="B4" s="57" t="n">
        <v>2.54</v>
      </c>
      <c r="C4" s="58" t="n">
        <f aca="false">B4/B$22*B$24</f>
        <v>3.99506044455999</v>
      </c>
      <c r="D4" s="57" t="s">
        <v>434</v>
      </c>
      <c r="E4" s="59" t="n">
        <f aca="false">IFERROR(INDEX(Correspondance!$D$2:$D$3000,MATCH(A4,Correspondance!$A$2:$A$3000,0)),0)</f>
        <v>7</v>
      </c>
      <c r="F4" s="60" t="n">
        <f aca="false">C4*E4</f>
        <v>27.9654231119199</v>
      </c>
      <c r="G4" s="61" t="s">
        <v>2767</v>
      </c>
    </row>
    <row r="5" customFormat="false" ht="15.75" hidden="false" customHeight="false" outlineLevel="0" collapsed="false">
      <c r="A5" s="57" t="s">
        <v>1113</v>
      </c>
      <c r="B5" s="57" t="n">
        <v>0.636</v>
      </c>
      <c r="C5" s="58" t="n">
        <f aca="false">B5/B$22*B$24</f>
        <v>1.00033796958274</v>
      </c>
      <c r="D5" s="57" t="s">
        <v>434</v>
      </c>
      <c r="E5" s="59" t="n">
        <f aca="false">IFERROR(INDEX(Correspondance!$D$2:$D$3000,MATCH(A5,Correspondance!$A$2:$A$3000,0)),0)</f>
        <v>6</v>
      </c>
      <c r="F5" s="60" t="n">
        <f aca="false">C5*E5</f>
        <v>6.00202781749642</v>
      </c>
      <c r="G5" s="61"/>
      <c r="I5" s="62"/>
    </row>
    <row r="6" customFormat="false" ht="15.75" hidden="false" customHeight="false" outlineLevel="0" collapsed="false">
      <c r="A6" s="57" t="s">
        <v>1896</v>
      </c>
      <c r="B6" s="57" t="n">
        <v>2.54</v>
      </c>
      <c r="C6" s="58" t="n">
        <f aca="false">B6/B$22*B$24</f>
        <v>3.99506044455999</v>
      </c>
      <c r="D6" s="57" t="s">
        <v>434</v>
      </c>
      <c r="E6" s="59" t="n">
        <f aca="false">IFERROR(INDEX(Correspondance!$D$2:$D$3000,MATCH(A6,Correspondance!$A$2:$A$3000,0)),0)</f>
        <v>5.5</v>
      </c>
      <c r="F6" s="60" t="n">
        <f aca="false">C6*E6</f>
        <v>21.9728324450799</v>
      </c>
      <c r="G6" s="61"/>
      <c r="I6" s="63"/>
    </row>
    <row r="7" customFormat="false" ht="15.75" hidden="false" customHeight="false" outlineLevel="0" collapsed="false">
      <c r="A7" s="57" t="s">
        <v>1754</v>
      </c>
      <c r="B7" s="57" t="n">
        <v>0.763</v>
      </c>
      <c r="C7" s="58" t="n">
        <f aca="false">B7/B$22*B$24</f>
        <v>1.20009099181074</v>
      </c>
      <c r="D7" s="57" t="s">
        <v>434</v>
      </c>
      <c r="E7" s="59" t="n">
        <f aca="false">IFERROR(INDEX(Correspondance!$D$2:$D$3000,MATCH(A7,Correspondance!$A$2:$A$3000,0)),0)</f>
        <v>2.8</v>
      </c>
      <c r="F7" s="60" t="n">
        <f aca="false">C7*E7</f>
        <v>3.36025477707006</v>
      </c>
      <c r="G7" s="61"/>
      <c r="I7" s="63"/>
    </row>
    <row r="8" customFormat="false" ht="15.75" hidden="false" customHeight="false" outlineLevel="0" collapsed="false">
      <c r="A8" s="57" t="s">
        <v>587</v>
      </c>
      <c r="B8" s="57" t="n">
        <v>0.636</v>
      </c>
      <c r="C8" s="58" t="n">
        <f aca="false">B8/B$22*B$24</f>
        <v>1.00033796958274</v>
      </c>
      <c r="D8" s="57" t="s">
        <v>434</v>
      </c>
      <c r="E8" s="59" t="n">
        <f aca="false">IFERROR(INDEX(Correspondance!$D$2:$D$3000,MATCH(A8,Correspondance!$A$2:$A$3000,0)),0)</f>
        <v>8</v>
      </c>
      <c r="F8" s="60" t="n">
        <f aca="false">C8*E8</f>
        <v>8.0027037566619</v>
      </c>
      <c r="G8" s="61"/>
      <c r="I8" s="63"/>
    </row>
    <row r="9" customFormat="false" ht="15.75" hidden="false" customHeight="false" outlineLevel="0" collapsed="false">
      <c r="A9" s="57" t="s">
        <v>1987</v>
      </c>
      <c r="B9" s="57" t="n">
        <v>0.127</v>
      </c>
      <c r="C9" s="58" t="n">
        <f aca="false">B9/B$22*B$24</f>
        <v>0.199753022227999</v>
      </c>
      <c r="D9" s="57" t="s">
        <v>434</v>
      </c>
      <c r="E9" s="59" t="n">
        <f aca="false">IFERROR(INDEX(Correspondance!$D$2:$D$3000,MATCH(A9,Correspondance!$A$2:$A$3000,0)),0)</f>
        <v>4.5</v>
      </c>
      <c r="F9" s="60" t="n">
        <f aca="false">C9*E9</f>
        <v>0.898888600025998</v>
      </c>
      <c r="G9" s="61"/>
      <c r="I9" s="63"/>
    </row>
    <row r="10" customFormat="false" ht="15.75" hidden="false" customHeight="false" outlineLevel="0" collapsed="false">
      <c r="A10" s="57" t="s">
        <v>1131</v>
      </c>
      <c r="B10" s="57" t="n">
        <v>0.254</v>
      </c>
      <c r="C10" s="58" t="n">
        <f aca="false">B10/B$22*B$24</f>
        <v>0.399506044455999</v>
      </c>
      <c r="D10" s="57" t="s">
        <v>682</v>
      </c>
      <c r="E10" s="59" t="n">
        <f aca="false">IFERROR(INDEX(Correspondance!$D$2:$D$3000,MATCH(A10,Correspondance!$A$2:$A$3000,0)),0)</f>
        <v>2.2</v>
      </c>
      <c r="F10" s="60" t="n">
        <f aca="false">C10*E10</f>
        <v>0.878913297803198</v>
      </c>
      <c r="G10" s="61"/>
      <c r="I10" s="63"/>
    </row>
    <row r="11" customFormat="false" ht="15.75" hidden="false" customHeight="false" outlineLevel="0" collapsed="false">
      <c r="A11" s="57" t="s">
        <v>1982</v>
      </c>
      <c r="B11" s="57" t="n">
        <v>0.095</v>
      </c>
      <c r="C11" s="58" t="n">
        <f aca="false">B11/B$22*B$24</f>
        <v>0.149421552060315</v>
      </c>
      <c r="D11" s="57" t="s">
        <v>682</v>
      </c>
      <c r="E11" s="59" t="n">
        <f aca="false">IFERROR(INDEX(Correspondance!$D$2:$D$3000,MATCH(A11,Correspondance!$A$2:$A$3000,0)),0)</f>
        <v>1.5</v>
      </c>
      <c r="F11" s="60" t="n">
        <f aca="false">C11*E11</f>
        <v>0.224132328090472</v>
      </c>
      <c r="G11" s="61"/>
      <c r="I11" s="63"/>
    </row>
    <row r="12" customFormat="false" ht="18.75" hidden="false" customHeight="true" outlineLevel="0" collapsed="false">
      <c r="A12" s="57" t="s">
        <v>1725</v>
      </c>
      <c r="B12" s="64" t="n">
        <v>0.038</v>
      </c>
      <c r="C12" s="58" t="n">
        <f aca="false">B12/B$22*B$24</f>
        <v>0.0597686208241258</v>
      </c>
      <c r="D12" s="57" t="s">
        <v>434</v>
      </c>
      <c r="E12" s="59" t="n">
        <f aca="false">IFERROR(INDEX(Correspondance!$D$2:$D$3000,MATCH(A12,Correspondance!$A$2:$A$3000,0)),0)</f>
        <v>9</v>
      </c>
      <c r="F12" s="60" t="n">
        <f aca="false">C12*E12</f>
        <v>0.537917587417133</v>
      </c>
      <c r="G12" s="61"/>
      <c r="I12" s="63"/>
    </row>
    <row r="13" customFormat="false" ht="18.75" hidden="false" customHeight="true" outlineLevel="0" collapsed="false">
      <c r="A13" s="57" t="s">
        <v>894</v>
      </c>
      <c r="B13" s="64" t="n">
        <v>0.019</v>
      </c>
      <c r="C13" s="58" t="n">
        <f aca="false">B13/B$22*B$24</f>
        <v>0.0298843104120629</v>
      </c>
      <c r="D13" s="57" t="s">
        <v>434</v>
      </c>
      <c r="E13" s="59" t="n">
        <f aca="false">IFERROR(INDEX(Correspondance!$D$2:$D$3000,MATCH(A13,Correspondance!$A$2:$A$3000,0)),0)</f>
        <v>5.5</v>
      </c>
      <c r="F13" s="60" t="n">
        <f aca="false">C13*E13</f>
        <v>0.164363707266346</v>
      </c>
      <c r="G13" s="61"/>
      <c r="I13" s="63"/>
    </row>
    <row r="14" customFormat="false" ht="15.75" hidden="false" customHeight="false" outlineLevel="0" collapsed="false">
      <c r="A14" s="57" t="s">
        <v>1919</v>
      </c>
      <c r="B14" s="57" t="n">
        <v>0.045</v>
      </c>
      <c r="C14" s="58" t="n">
        <f aca="false">B14/B$22*B$24</f>
        <v>0.0707786299233069</v>
      </c>
      <c r="D14" s="57" t="s">
        <v>434</v>
      </c>
      <c r="E14" s="59" t="n">
        <f aca="false">IFERROR(INDEX(Correspondance!$D$2:$D$3000,MATCH(A14,Correspondance!$A$2:$A$3000,0)),0)</f>
        <v>2</v>
      </c>
      <c r="F14" s="60" t="n">
        <f aca="false">C14*E14</f>
        <v>0.141557259846614</v>
      </c>
      <c r="G14" s="61"/>
      <c r="I14" s="63"/>
    </row>
    <row r="15" customFormat="false" ht="15.75" hidden="false" customHeight="false" outlineLevel="0" collapsed="false">
      <c r="A15" s="57" t="s">
        <v>1808</v>
      </c>
      <c r="B15" s="57"/>
      <c r="C15" s="58" t="n">
        <f aca="false">B15/B$22*B$24</f>
        <v>0</v>
      </c>
      <c r="D15" s="57" t="s">
        <v>434</v>
      </c>
      <c r="E15" s="59" t="n">
        <f aca="false">IFERROR(INDEX(Correspondance!$D$2:$D$3000,MATCH(A15,Correspondance!$A$2:$A$3000,0)),0)</f>
        <v>18</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70.149014688678</v>
      </c>
      <c r="G19" s="61"/>
      <c r="I19" s="63"/>
    </row>
    <row r="20" customFormat="false" ht="18.75" hidden="false" customHeight="true" outlineLevel="0" collapsed="false">
      <c r="A20" s="68" t="s">
        <v>2628</v>
      </c>
      <c r="B20" s="69" t="n">
        <f aca="false">F19/B24</f>
        <v>0.637718315351618</v>
      </c>
      <c r="C20" s="70"/>
      <c r="G20" s="61"/>
      <c r="I20" s="63"/>
    </row>
    <row r="21" customFormat="false" ht="15.75" hidden="false" customHeight="false" outlineLevel="0" collapsed="false">
      <c r="A21" s="71" t="s">
        <v>2629</v>
      </c>
      <c r="B21" s="71" t="n">
        <f aca="false">SUM(B3:B18)</f>
        <v>7.693</v>
      </c>
      <c r="C21" s="66"/>
      <c r="G21" s="61"/>
      <c r="I21" s="63"/>
    </row>
    <row r="22" customFormat="false" ht="15.75" hidden="false" customHeight="false" outlineLevel="0" collapsed="false">
      <c r="A22" s="0" t="s">
        <v>2630</v>
      </c>
      <c r="B22" s="72" t="n">
        <f aca="false">B21/B23</f>
        <v>69.9363636363636</v>
      </c>
      <c r="C22" s="66"/>
      <c r="G22" s="61"/>
      <c r="I22" s="63"/>
    </row>
    <row r="23" customFormat="false" ht="15.75" hidden="false" customHeight="false" outlineLevel="0" collapsed="false">
      <c r="A23" s="0" t="s">
        <v>2631</v>
      </c>
      <c r="B23" s="0" t="n">
        <v>0.11</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114</v>
      </c>
      <c r="B1" s="50"/>
      <c r="C1" s="50"/>
      <c r="D1" s="50"/>
      <c r="E1" s="51" t="s">
        <v>2619</v>
      </c>
      <c r="F1" s="51"/>
      <c r="G1" s="52" t="s">
        <v>2768</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1994</v>
      </c>
      <c r="B4" s="57" t="n">
        <v>4.05</v>
      </c>
      <c r="C4" s="58" t="n">
        <f aca="false">B4/B$22*B$24</f>
        <v>6.36701443475775</v>
      </c>
      <c r="D4" s="57" t="s">
        <v>434</v>
      </c>
      <c r="E4" s="59" t="n">
        <f aca="false">IFERROR(INDEX(Correspondance!$D$2:$D$3000,MATCH(A4,Correspondance!$A$2:$A$3000,0)),0)</f>
        <v>3</v>
      </c>
      <c r="F4" s="60" t="n">
        <f aca="false">C4*E4</f>
        <v>19.1010433042733</v>
      </c>
      <c r="G4" s="61" t="s">
        <v>2769</v>
      </c>
    </row>
    <row r="5" customFormat="false" ht="15.75" hidden="false" customHeight="false" outlineLevel="0" collapsed="false">
      <c r="A5" s="57" t="s">
        <v>1223</v>
      </c>
      <c r="B5" s="57" t="n">
        <v>1.41</v>
      </c>
      <c r="C5" s="58" t="n">
        <f aca="false">B5/B$22*B$24</f>
        <v>2.21666428469344</v>
      </c>
      <c r="D5" s="57" t="s">
        <v>434</v>
      </c>
      <c r="E5" s="59" t="n">
        <f aca="false">IFERROR(INDEX(Correspondance!$D$2:$D$3000,MATCH(A5,Correspondance!$A$2:$A$3000,0)),0)</f>
        <v>4.5</v>
      </c>
      <c r="F5" s="60" t="n">
        <f aca="false">C5*E5</f>
        <v>9.97498928112048</v>
      </c>
      <c r="G5" s="61"/>
      <c r="I5" s="62"/>
    </row>
    <row r="6" customFormat="false" ht="15.75" hidden="false" customHeight="false" outlineLevel="0" collapsed="false">
      <c r="A6" s="57" t="s">
        <v>1725</v>
      </c>
      <c r="B6" s="57" t="n">
        <v>0.056</v>
      </c>
      <c r="C6" s="58" t="n">
        <f aca="false">B6/B$22*B$24</f>
        <v>0.0880377304559097</v>
      </c>
      <c r="D6" s="57" t="s">
        <v>434</v>
      </c>
      <c r="E6" s="59" t="n">
        <f aca="false">IFERROR(INDEX(Correspondance!$D$2:$D$3000,MATCH(A6,Correspondance!$A$2:$A$3000,0)),0)</f>
        <v>9</v>
      </c>
      <c r="F6" s="60" t="n">
        <f aca="false">C6*E6</f>
        <v>0.792339574103187</v>
      </c>
      <c r="G6" s="61"/>
      <c r="I6" s="63"/>
    </row>
    <row r="7" customFormat="false" ht="15.75" hidden="false" customHeight="false" outlineLevel="0" collapsed="false">
      <c r="A7" s="57" t="s">
        <v>1898</v>
      </c>
      <c r="B7" s="57" t="n">
        <v>0.563</v>
      </c>
      <c r="C7" s="58" t="n">
        <f aca="false">B7/B$22*B$24</f>
        <v>0.885093611547806</v>
      </c>
      <c r="D7" s="57" t="s">
        <v>434</v>
      </c>
      <c r="E7" s="59" t="n">
        <f aca="false">IFERROR(INDEX(Correspondance!$D$2:$D$3000,MATCH(A7,Correspondance!$A$2:$A$3000,0)),0)</f>
        <v>5.5</v>
      </c>
      <c r="F7" s="60" t="n">
        <f aca="false">C7*E7</f>
        <v>4.86801486351293</v>
      </c>
      <c r="G7" s="61"/>
      <c r="I7" s="63"/>
    </row>
    <row r="8" customFormat="false" ht="15.75" hidden="false" customHeight="false" outlineLevel="0" collapsed="false">
      <c r="A8" s="57" t="s">
        <v>1960</v>
      </c>
      <c r="B8" s="57" t="n">
        <v>0.845</v>
      </c>
      <c r="C8" s="58" t="n">
        <f aca="false">B8/B$22*B$24</f>
        <v>1.32842646848649</v>
      </c>
      <c r="D8" s="57" t="s">
        <v>434</v>
      </c>
      <c r="E8" s="59" t="n">
        <f aca="false">IFERROR(INDEX(Correspondance!$D$2:$D$3000,MATCH(A8,Correspondance!$A$2:$A$3000,0)),0)</f>
        <v>2.4</v>
      </c>
      <c r="F8" s="60" t="n">
        <f aca="false">C8*E8</f>
        <v>3.18822352436759</v>
      </c>
      <c r="G8" s="61"/>
      <c r="I8" s="63"/>
    </row>
    <row r="9" customFormat="false" ht="15.75" hidden="false" customHeight="false" outlineLevel="0" collapsed="false">
      <c r="A9" s="57" t="s">
        <v>1131</v>
      </c>
      <c r="B9" s="57" t="n">
        <v>0.056</v>
      </c>
      <c r="C9" s="58" t="n">
        <f aca="false">B9/B$22*B$24</f>
        <v>0.0880377304559097</v>
      </c>
      <c r="D9" s="57" t="s">
        <v>682</v>
      </c>
      <c r="E9" s="59" t="n">
        <f aca="false">IFERROR(INDEX(Correspondance!$D$2:$D$3000,MATCH(A9,Correspondance!$A$2:$A$3000,0)),0)</f>
        <v>2.2</v>
      </c>
      <c r="F9" s="60" t="n">
        <f aca="false">C9*E9</f>
        <v>0.193683007003001</v>
      </c>
      <c r="G9" s="61"/>
      <c r="I9" s="63"/>
    </row>
    <row r="10" customFormat="false" ht="15.75" hidden="false" customHeight="false" outlineLevel="0" collapsed="false">
      <c r="A10" s="57" t="s">
        <v>1978</v>
      </c>
      <c r="B10" s="57" t="n">
        <v>0.017</v>
      </c>
      <c r="C10" s="58" t="n">
        <f aca="false">B10/B$22*B$24</f>
        <v>0.0267257396026869</v>
      </c>
      <c r="D10" s="57" t="s">
        <v>682</v>
      </c>
      <c r="E10" s="59" t="n">
        <f aca="false">IFERROR(INDEX(Correspondance!$D$2:$D$3000,MATCH(A10,Correspondance!$A$2:$A$3000,0)),0)</f>
        <v>1.5</v>
      </c>
      <c r="F10" s="60" t="n">
        <f aca="false">C10*E10</f>
        <v>0.0400886094040303</v>
      </c>
      <c r="G10" s="61"/>
      <c r="I10" s="63"/>
    </row>
    <row r="11" customFormat="false" ht="15.75" hidden="false" customHeight="false" outlineLevel="0" collapsed="false">
      <c r="A11" s="57" t="s">
        <v>1540</v>
      </c>
      <c r="B11" s="57"/>
      <c r="C11" s="58" t="n">
        <f aca="false">B11/B$22*B$24</f>
        <v>0</v>
      </c>
      <c r="D11" s="57" t="s">
        <v>434</v>
      </c>
      <c r="E11" s="59" t="n">
        <f aca="false">IFERROR(INDEX(Correspondance!$D$2:$D$3000,MATCH(A11,Correspondance!$A$2:$A$3000,0)),0)</f>
        <v>13</v>
      </c>
      <c r="F11" s="60" t="n">
        <f aca="false">C11*E11</f>
        <v>0</v>
      </c>
      <c r="G11" s="61"/>
      <c r="I11" s="63"/>
    </row>
    <row r="12" customFormat="false" ht="18.75" hidden="false" customHeight="true" outlineLevel="0" collapsed="false">
      <c r="A12" s="57" t="s">
        <v>1925</v>
      </c>
      <c r="B12" s="64"/>
      <c r="C12" s="58" t="n">
        <f aca="false">B12/B$22*B$24</f>
        <v>0</v>
      </c>
      <c r="D12" s="57" t="s">
        <v>434</v>
      </c>
      <c r="E12" s="59" t="n">
        <f aca="false">IFERROR(INDEX(Correspondance!$D$2:$D$3000,MATCH(A12,Correspondance!$A$2:$A$3000,0)),0)</f>
        <v>2</v>
      </c>
      <c r="F12" s="60" t="n">
        <f aca="false">C12*E12</f>
        <v>0</v>
      </c>
      <c r="G12" s="61"/>
      <c r="I12" s="63"/>
    </row>
    <row r="13" customFormat="false" ht="18.75" hidden="false" customHeight="true" outlineLevel="0" collapsed="false">
      <c r="A13" s="57"/>
      <c r="B13" s="64"/>
      <c r="C13" s="58" t="n">
        <f aca="false">B13/B$22*B$24</f>
        <v>0</v>
      </c>
      <c r="D13" s="57"/>
      <c r="E13" s="65" t="n">
        <f aca="false">IFERROR(INDEX(Correspondance!$D$2:$D$3000,MATCH(A13,Correspondance!$A$2:$A$3000,0)),0)</f>
        <v>0</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38.1583821637845</v>
      </c>
      <c r="G19" s="61"/>
      <c r="I19" s="63"/>
    </row>
    <row r="20" customFormat="false" ht="18.75" hidden="false" customHeight="true" outlineLevel="0" collapsed="false">
      <c r="A20" s="68" t="s">
        <v>2628</v>
      </c>
      <c r="B20" s="69" t="n">
        <f aca="false">F19/B24</f>
        <v>0.346894383307132</v>
      </c>
      <c r="C20" s="70"/>
      <c r="G20" s="61"/>
      <c r="I20" s="63"/>
    </row>
    <row r="21" customFormat="false" ht="15.75" hidden="false" customHeight="false" outlineLevel="0" collapsed="false">
      <c r="A21" s="71" t="s">
        <v>2629</v>
      </c>
      <c r="B21" s="71" t="n">
        <f aca="false">SUM(B3:B18)</f>
        <v>6.997</v>
      </c>
      <c r="C21" s="66"/>
      <c r="G21" s="61"/>
      <c r="I21" s="63"/>
    </row>
    <row r="22" customFormat="false" ht="15.75" hidden="false" customHeight="false" outlineLevel="0" collapsed="false">
      <c r="A22" s="0" t="s">
        <v>2630</v>
      </c>
      <c r="B22" s="72" t="n">
        <f aca="false">B21/B23</f>
        <v>69.97</v>
      </c>
      <c r="C22" s="66"/>
      <c r="G22" s="61"/>
      <c r="I22" s="63"/>
    </row>
    <row r="23" customFormat="false" ht="15.75" hidden="false" customHeight="false" outlineLevel="0" collapsed="false">
      <c r="A23" s="0" t="s">
        <v>2631</v>
      </c>
      <c r="B23" s="0" t="n">
        <v>0.1</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116</v>
      </c>
      <c r="B1" s="50"/>
      <c r="C1" s="50"/>
      <c r="D1" s="50"/>
      <c r="E1" s="51" t="s">
        <v>2619</v>
      </c>
      <c r="F1" s="51"/>
      <c r="G1" s="52" t="s">
        <v>2707</v>
      </c>
    </row>
    <row r="2" customFormat="false" ht="24.75" hidden="false" customHeight="true" outlineLevel="0" collapsed="false">
      <c r="A2" s="50"/>
      <c r="B2" s="50"/>
      <c r="C2" s="50"/>
      <c r="D2" s="50"/>
      <c r="E2" s="53" t="s">
        <v>2636</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1636</v>
      </c>
      <c r="B4" s="57" t="n">
        <v>4.33</v>
      </c>
      <c r="C4" s="58" t="n">
        <f aca="false">B4/B$22*B$24</f>
        <v>6.8072030870373</v>
      </c>
      <c r="D4" s="57" t="s">
        <v>434</v>
      </c>
      <c r="E4" s="59" t="n">
        <f aca="false">IFERROR(INDEX(Correspondance!$D$2:$D$3000,MATCH(A4,Correspondance!$A$2:$A$3000,0)),0)</f>
        <v>8</v>
      </c>
      <c r="F4" s="60" t="n">
        <f aca="false">C4*E4</f>
        <v>54.4576246962984</v>
      </c>
      <c r="G4" s="61" t="s">
        <v>2770</v>
      </c>
    </row>
    <row r="5" customFormat="false" ht="15.75" hidden="false" customHeight="false" outlineLevel="0" collapsed="false">
      <c r="A5" s="57" t="s">
        <v>1291</v>
      </c>
      <c r="B5" s="57" t="n">
        <v>0.18</v>
      </c>
      <c r="C5" s="58" t="n">
        <f aca="false">B5/B$22*B$24</f>
        <v>0.282978419322567</v>
      </c>
      <c r="D5" s="57" t="s">
        <v>682</v>
      </c>
      <c r="E5" s="59" t="n">
        <f aca="false">IFERROR(INDEX(Correspondance!$D$2:$D$3000,MATCH(A5,Correspondance!$A$2:$A$3000,0)),0)</f>
        <v>2.5</v>
      </c>
      <c r="F5" s="60" t="n">
        <f aca="false">C5*E5</f>
        <v>0.707446048306417</v>
      </c>
      <c r="G5" s="61"/>
      <c r="I5" s="62"/>
    </row>
    <row r="6" customFormat="false" ht="15.75" hidden="false" customHeight="false" outlineLevel="0" collapsed="false">
      <c r="A6" s="57" t="s">
        <v>1960</v>
      </c>
      <c r="B6" s="57" t="n">
        <v>1.44</v>
      </c>
      <c r="C6" s="58" t="n">
        <f aca="false">B6/B$22*B$24</f>
        <v>2.26382735458053</v>
      </c>
      <c r="D6" s="57" t="s">
        <v>434</v>
      </c>
      <c r="E6" s="59" t="n">
        <f aca="false">IFERROR(INDEX(Correspondance!$D$2:$D$3000,MATCH(A6,Correspondance!$A$2:$A$3000,0)),0)</f>
        <v>2.4</v>
      </c>
      <c r="F6" s="60" t="n">
        <f aca="false">C6*E6</f>
        <v>5.43318565099328</v>
      </c>
      <c r="G6" s="61"/>
      <c r="I6" s="63"/>
    </row>
    <row r="7" customFormat="false" ht="15.75" hidden="false" customHeight="false" outlineLevel="0" collapsed="false">
      <c r="A7" s="57" t="s">
        <v>1987</v>
      </c>
      <c r="B7" s="57" t="n">
        <v>0.216</v>
      </c>
      <c r="C7" s="58" t="n">
        <f aca="false">B7/B$22*B$24</f>
        <v>0.33957410318708</v>
      </c>
      <c r="D7" s="57" t="s">
        <v>434</v>
      </c>
      <c r="E7" s="59" t="n">
        <f aca="false">IFERROR(INDEX(Correspondance!$D$2:$D$3000,MATCH(A7,Correspondance!$A$2:$A$3000,0)),0)</f>
        <v>4.5</v>
      </c>
      <c r="F7" s="60" t="n">
        <f aca="false">C7*E7</f>
        <v>1.52808346434186</v>
      </c>
      <c r="G7" s="61"/>
      <c r="I7" s="63"/>
    </row>
    <row r="8" customFormat="false" ht="15.75" hidden="false" customHeight="false" outlineLevel="0" collapsed="false">
      <c r="A8" s="57" t="s">
        <v>1227</v>
      </c>
      <c r="B8" s="57" t="n">
        <v>0.289</v>
      </c>
      <c r="C8" s="58" t="n">
        <f aca="false">B8/B$22*B$24</f>
        <v>0.454337573245677</v>
      </c>
      <c r="D8" s="57" t="s">
        <v>434</v>
      </c>
      <c r="E8" s="59" t="n">
        <f aca="false">IFERROR(INDEX(Correspondance!$D$2:$D$3000,MATCH(A8,Correspondance!$A$2:$A$3000,0)),0)</f>
        <v>5.5</v>
      </c>
      <c r="F8" s="60" t="n">
        <f aca="false">C8*E8</f>
        <v>2.49885665285122</v>
      </c>
      <c r="G8" s="61"/>
      <c r="I8" s="63"/>
    </row>
    <row r="9" customFormat="false" ht="15.75" hidden="false" customHeight="false" outlineLevel="0" collapsed="false">
      <c r="A9" s="57" t="s">
        <v>1120</v>
      </c>
      <c r="B9" s="57" t="n">
        <v>0.361</v>
      </c>
      <c r="C9" s="58" t="n">
        <f aca="false">B9/B$22*B$24</f>
        <v>0.567528940974703</v>
      </c>
      <c r="D9" s="57" t="s">
        <v>682</v>
      </c>
      <c r="E9" s="59" t="n">
        <f aca="false">IFERROR(INDEX(Correspondance!$D$2:$D$3000,MATCH(A9,Correspondance!$A$2:$A$3000,0)),0)</f>
        <v>7.5</v>
      </c>
      <c r="F9" s="60" t="n">
        <f aca="false">C9*E9</f>
        <v>4.25646705731028</v>
      </c>
      <c r="G9" s="61"/>
      <c r="I9" s="63"/>
    </row>
    <row r="10" customFormat="false" ht="15.75" hidden="false" customHeight="false" outlineLevel="0" collapsed="false">
      <c r="A10" s="57" t="s">
        <v>1344</v>
      </c>
      <c r="B10" s="57" t="n">
        <v>0.087</v>
      </c>
      <c r="C10" s="58" t="n">
        <f aca="false">B10/B$22*B$24</f>
        <v>0.136772902672574</v>
      </c>
      <c r="D10" s="57" t="s">
        <v>682</v>
      </c>
      <c r="E10" s="59" t="n">
        <f aca="false">IFERROR(INDEX(Correspondance!$D$2:$D$3000,MATCH(A10,Correspondance!$A$2:$A$3000,0)),0)</f>
        <v>1.6</v>
      </c>
      <c r="F10" s="60" t="n">
        <f aca="false">C10*E10</f>
        <v>0.218836644276118</v>
      </c>
      <c r="G10" s="61"/>
      <c r="I10" s="63"/>
    </row>
    <row r="11" customFormat="false" ht="15.75" hidden="false" customHeight="false" outlineLevel="0" collapsed="false">
      <c r="A11" s="57" t="s">
        <v>1725</v>
      </c>
      <c r="B11" s="57" t="n">
        <v>0.043</v>
      </c>
      <c r="C11" s="58" t="n">
        <f aca="false">B11/B$22*B$24</f>
        <v>0.0676004001715021</v>
      </c>
      <c r="D11" s="57" t="s">
        <v>434</v>
      </c>
      <c r="E11" s="59" t="n">
        <f aca="false">IFERROR(INDEX(Correspondance!$D$2:$D$3000,MATCH(A11,Correspondance!$A$2:$A$3000,0)),0)</f>
        <v>9</v>
      </c>
      <c r="F11" s="60" t="n">
        <f aca="false">C11*E11</f>
        <v>0.608403601543519</v>
      </c>
      <c r="G11" s="61"/>
      <c r="I11" s="63"/>
    </row>
    <row r="12" customFormat="false" ht="18.75" hidden="false" customHeight="true" outlineLevel="0" collapsed="false">
      <c r="A12" s="57" t="s">
        <v>1919</v>
      </c>
      <c r="B12" s="64" t="n">
        <v>0.051</v>
      </c>
      <c r="C12" s="58" t="n">
        <f aca="false">B12/B$22*B$24</f>
        <v>0.0801772188080606</v>
      </c>
      <c r="D12" s="57" t="s">
        <v>434</v>
      </c>
      <c r="E12" s="59" t="n">
        <f aca="false">IFERROR(INDEX(Correspondance!$D$2:$D$3000,MATCH(A12,Correspondance!$A$2:$A$3000,0)),0)</f>
        <v>2</v>
      </c>
      <c r="F12" s="60" t="n">
        <f aca="false">C12*E12</f>
        <v>0.160354437616121</v>
      </c>
      <c r="G12" s="61"/>
      <c r="I12" s="63"/>
    </row>
    <row r="13" customFormat="false" ht="18.75" hidden="false" customHeight="true" outlineLevel="0" collapsed="false">
      <c r="A13" s="57" t="s">
        <v>1806</v>
      </c>
      <c r="B13" s="64"/>
      <c r="C13" s="58" t="n">
        <f aca="false">B13/B$22*B$24</f>
        <v>0</v>
      </c>
      <c r="D13" s="57" t="s">
        <v>434</v>
      </c>
      <c r="E13" s="59" t="n">
        <f aca="false">IFERROR(INDEX(Correspondance!$D$2:$D$3000,MATCH(A13,Correspondance!$A$2:$A$3000,0)),0)</f>
        <v>18</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69.8692582535372</v>
      </c>
      <c r="G19" s="61"/>
      <c r="I19" s="63"/>
    </row>
    <row r="20" customFormat="false" ht="18.75" hidden="false" customHeight="true" outlineLevel="0" collapsed="false">
      <c r="A20" s="68" t="s">
        <v>2628</v>
      </c>
      <c r="B20" s="69" t="n">
        <f aca="false">F19/B24</f>
        <v>0.635175075032157</v>
      </c>
      <c r="C20" s="70"/>
      <c r="G20" s="61"/>
      <c r="I20" s="63"/>
    </row>
    <row r="21" customFormat="false" ht="15.75" hidden="false" customHeight="false" outlineLevel="0" collapsed="false">
      <c r="A21" s="71" t="s">
        <v>2629</v>
      </c>
      <c r="B21" s="71" t="n">
        <f aca="false">SUM(B3:B18)</f>
        <v>6.997</v>
      </c>
      <c r="C21" s="66"/>
      <c r="G21" s="61"/>
      <c r="I21" s="63"/>
    </row>
    <row r="22" customFormat="false" ht="15.75" hidden="false" customHeight="false" outlineLevel="0" collapsed="false">
      <c r="A22" s="0" t="s">
        <v>2630</v>
      </c>
      <c r="B22" s="72" t="n">
        <f aca="false">B21/B23</f>
        <v>69.97</v>
      </c>
      <c r="C22" s="66"/>
      <c r="G22" s="61"/>
      <c r="I22" s="63"/>
    </row>
    <row r="23" customFormat="false" ht="15.75" hidden="false" customHeight="false" outlineLevel="0" collapsed="false">
      <c r="A23" s="0" t="s">
        <v>2631</v>
      </c>
      <c r="B23" s="0" t="n">
        <v>0.1</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118</v>
      </c>
      <c r="B1" s="50"/>
      <c r="C1" s="50"/>
      <c r="D1" s="50"/>
      <c r="E1" s="51" t="s">
        <v>2619</v>
      </c>
      <c r="F1" s="51"/>
      <c r="G1" s="52" t="s">
        <v>2771</v>
      </c>
    </row>
    <row r="2" customFormat="false" ht="24.75" hidden="false" customHeight="true" outlineLevel="0" collapsed="false">
      <c r="A2" s="50"/>
      <c r="B2" s="50"/>
      <c r="C2" s="50"/>
      <c r="D2" s="50"/>
      <c r="E2" s="53" t="s">
        <v>2636</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1528</v>
      </c>
      <c r="B4" s="57" t="n">
        <v>4.77</v>
      </c>
      <c r="C4" s="58" t="n">
        <f aca="false">B4/B$22*B$24</f>
        <v>7.49036402569593</v>
      </c>
      <c r="D4" s="57" t="s">
        <v>434</v>
      </c>
      <c r="E4" s="59" t="n">
        <f aca="false">IFERROR(INDEX(Correspondance!$D$2:$D$3000,MATCH(A4,Correspondance!$A$2:$A$3000,0)),0)</f>
        <v>4.5</v>
      </c>
      <c r="F4" s="60" t="n">
        <f aca="false">C4*E4</f>
        <v>33.7066381156317</v>
      </c>
      <c r="G4" s="61" t="s">
        <v>2772</v>
      </c>
    </row>
    <row r="5" customFormat="false" ht="15.75" hidden="false" customHeight="false" outlineLevel="0" collapsed="false">
      <c r="A5" s="57" t="s">
        <v>1001</v>
      </c>
      <c r="B5" s="57" t="n">
        <v>0.477</v>
      </c>
      <c r="C5" s="58" t="n">
        <f aca="false">B5/B$22*B$24</f>
        <v>0.749036402569593</v>
      </c>
      <c r="D5" s="57" t="s">
        <v>434</v>
      </c>
      <c r="E5" s="59" t="n">
        <f aca="false">IFERROR(INDEX(Correspondance!$D$2:$D$3000,MATCH(A5,Correspondance!$A$2:$A$3000,0)),0)</f>
        <v>1.8</v>
      </c>
      <c r="F5" s="60" t="n">
        <f aca="false">C5*E5</f>
        <v>1.34826552462527</v>
      </c>
      <c r="G5" s="61"/>
      <c r="I5" s="62"/>
    </row>
    <row r="6" customFormat="false" ht="15.75" hidden="false" customHeight="false" outlineLevel="0" collapsed="false">
      <c r="A6" s="57" t="s">
        <v>1958</v>
      </c>
      <c r="B6" s="57" t="n">
        <v>0.894</v>
      </c>
      <c r="C6" s="58" t="n">
        <f aca="false">B6/B$22*B$24</f>
        <v>1.40385438972163</v>
      </c>
      <c r="D6" s="57" t="s">
        <v>434</v>
      </c>
      <c r="E6" s="59" t="n">
        <f aca="false">IFERROR(INDEX(Correspondance!$D$2:$D$3000,MATCH(A6,Correspondance!$A$2:$A$3000,0)),0)</f>
        <v>1.6</v>
      </c>
      <c r="F6" s="60" t="n">
        <f aca="false">C6*E6</f>
        <v>2.2461670235546</v>
      </c>
      <c r="G6" s="61"/>
      <c r="I6" s="63"/>
    </row>
    <row r="7" customFormat="false" ht="15.75" hidden="false" customHeight="false" outlineLevel="0" collapsed="false">
      <c r="A7" s="57" t="s">
        <v>1197</v>
      </c>
      <c r="B7" s="57" t="n">
        <v>0.089</v>
      </c>
      <c r="C7" s="58" t="n">
        <f aca="false">B7/B$22*B$24</f>
        <v>0.139757316202712</v>
      </c>
      <c r="D7" s="57" t="s">
        <v>434</v>
      </c>
      <c r="E7" s="59" t="n">
        <f aca="false">IFERROR(INDEX(Correspondance!$D$2:$D$3000,MATCH(A7,Correspondance!$A$2:$A$3000,0)),0)</f>
        <v>2.6</v>
      </c>
      <c r="F7" s="60" t="n">
        <f aca="false">C7*E7</f>
        <v>0.363369022127052</v>
      </c>
      <c r="G7" s="61"/>
      <c r="I7" s="63"/>
    </row>
    <row r="8" customFormat="false" ht="15.75" hidden="false" customHeight="false" outlineLevel="0" collapsed="false">
      <c r="A8" s="57" t="s">
        <v>1120</v>
      </c>
      <c r="B8" s="57" t="n">
        <v>0.298</v>
      </c>
      <c r="C8" s="58" t="n">
        <f aca="false">B8/B$22*B$24</f>
        <v>0.467951463240542</v>
      </c>
      <c r="D8" s="57" t="s">
        <v>682</v>
      </c>
      <c r="E8" s="59" t="n">
        <f aca="false">IFERROR(INDEX(Correspondance!$D$2:$D$3000,MATCH(A8,Correspondance!$A$2:$A$3000,0)),0)</f>
        <v>7.5</v>
      </c>
      <c r="F8" s="60" t="n">
        <f aca="false">C8*E8</f>
        <v>3.50963597430407</v>
      </c>
      <c r="G8" s="61"/>
      <c r="I8" s="63"/>
    </row>
    <row r="9" customFormat="false" ht="15.75" hidden="false" customHeight="false" outlineLevel="0" collapsed="false">
      <c r="A9" s="57" t="s">
        <v>1973</v>
      </c>
      <c r="B9" s="57" t="n">
        <v>0.298</v>
      </c>
      <c r="C9" s="58" t="n">
        <f aca="false">B9/B$22*B$24</f>
        <v>0.467951463240542</v>
      </c>
      <c r="D9" s="57" t="s">
        <v>682</v>
      </c>
      <c r="E9" s="59" t="n">
        <f aca="false">IFERROR(INDEX(Correspondance!$D$2:$D$3000,MATCH(A9,Correspondance!$A$2:$A$3000,0)),0)</f>
        <v>2</v>
      </c>
      <c r="F9" s="60" t="n">
        <f aca="false">C9*E9</f>
        <v>0.935902926481085</v>
      </c>
      <c r="G9" s="61"/>
      <c r="I9" s="63"/>
    </row>
    <row r="10" customFormat="false" ht="15.75" hidden="false" customHeight="false" outlineLevel="0" collapsed="false">
      <c r="A10" s="57" t="s">
        <v>1291</v>
      </c>
      <c r="B10" s="57" t="n">
        <v>0.119</v>
      </c>
      <c r="C10" s="58" t="n">
        <f aca="false">B10/B$22*B$24</f>
        <v>0.186866523911492</v>
      </c>
      <c r="D10" s="57" t="s">
        <v>682</v>
      </c>
      <c r="E10" s="59" t="n">
        <f aca="false">IFERROR(INDEX(Correspondance!$D$2:$D$3000,MATCH(A10,Correspondance!$A$2:$A$3000,0)),0)</f>
        <v>2.5</v>
      </c>
      <c r="F10" s="60" t="n">
        <f aca="false">C10*E10</f>
        <v>0.46716630977873</v>
      </c>
      <c r="G10" s="61"/>
      <c r="I10" s="63"/>
    </row>
    <row r="11" customFormat="false" ht="15.75" hidden="false" customHeight="false" outlineLevel="0" collapsed="false">
      <c r="A11" s="57" t="s">
        <v>1282</v>
      </c>
      <c r="B11" s="57" t="n">
        <v>0.012</v>
      </c>
      <c r="C11" s="58" t="n">
        <f aca="false">B11/B$22*B$24</f>
        <v>0.0188436830835118</v>
      </c>
      <c r="D11" s="57" t="s">
        <v>434</v>
      </c>
      <c r="E11" s="59" t="n">
        <f aca="false">IFERROR(INDEX(Correspondance!$D$2:$D$3000,MATCH(A11,Correspondance!$A$2:$A$3000,0)),0)</f>
        <v>12</v>
      </c>
      <c r="F11" s="60" t="n">
        <f aca="false">C11*E11</f>
        <v>0.226124197002141</v>
      </c>
      <c r="G11" s="61"/>
      <c r="I11" s="63"/>
    </row>
    <row r="12" customFormat="false" ht="18.75" hidden="false" customHeight="true" outlineLevel="0" collapsed="false">
      <c r="A12" s="57" t="s">
        <v>1919</v>
      </c>
      <c r="B12" s="64" t="n">
        <v>0.048</v>
      </c>
      <c r="C12" s="58" t="n">
        <f aca="false">B12/B$22*B$24</f>
        <v>0.0753747323340471</v>
      </c>
      <c r="D12" s="57" t="s">
        <v>434</v>
      </c>
      <c r="E12" s="59" t="n">
        <f aca="false">IFERROR(INDEX(Correspondance!$D$2:$D$3000,MATCH(A12,Correspondance!$A$2:$A$3000,0)),0)</f>
        <v>2</v>
      </c>
      <c r="F12" s="60" t="n">
        <f aca="false">C12*E12</f>
        <v>0.150749464668094</v>
      </c>
      <c r="G12" s="61"/>
      <c r="I12" s="63"/>
    </row>
    <row r="13" customFormat="false" ht="18.75" hidden="false" customHeight="true" outlineLevel="0" collapsed="false">
      <c r="A13" s="57" t="s">
        <v>1808</v>
      </c>
      <c r="B13" s="64"/>
      <c r="C13" s="58" t="n">
        <f aca="false">B13/B$22*B$24</f>
        <v>0</v>
      </c>
      <c r="D13" s="57" t="s">
        <v>434</v>
      </c>
      <c r="E13" s="59" t="n">
        <f aca="false">IFERROR(INDEX(Correspondance!$D$2:$D$3000,MATCH(A13,Correspondance!$A$2:$A$3000,0)),0)</f>
        <v>18</v>
      </c>
      <c r="F13" s="60" t="n">
        <f aca="false">C13*E13</f>
        <v>0</v>
      </c>
      <c r="G13" s="61"/>
      <c r="I13" s="63"/>
    </row>
    <row r="14" customFormat="false" ht="15.75" hidden="false" customHeight="false" outlineLevel="0" collapsed="false">
      <c r="A14" s="57" t="s">
        <v>1775</v>
      </c>
      <c r="B14" s="57"/>
      <c r="C14" s="58" t="n">
        <f aca="false">B14/B$22*B$24</f>
        <v>0</v>
      </c>
      <c r="D14" s="57" t="s">
        <v>434</v>
      </c>
      <c r="E14" s="59" t="n">
        <f aca="false">IFERROR(INDEX(Correspondance!$D$2:$D$3000,MATCH(A14,Correspondance!$A$2:$A$3000,0)),0)</f>
        <v>8</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42.9540185581727</v>
      </c>
      <c r="G19" s="61"/>
      <c r="I19" s="63"/>
    </row>
    <row r="20" customFormat="false" ht="18.75" hidden="false" customHeight="true" outlineLevel="0" collapsed="false">
      <c r="A20" s="68" t="s">
        <v>2628</v>
      </c>
      <c r="B20" s="69" t="n">
        <f aca="false">F19/B24</f>
        <v>0.39049107780157</v>
      </c>
      <c r="C20" s="70"/>
      <c r="G20" s="61"/>
      <c r="I20" s="63"/>
    </row>
    <row r="21" customFormat="false" ht="15.75" hidden="false" customHeight="false" outlineLevel="0" collapsed="false">
      <c r="A21" s="71" t="s">
        <v>2629</v>
      </c>
      <c r="B21" s="71" t="n">
        <f aca="false">SUM(B3:B18)</f>
        <v>7.005</v>
      </c>
      <c r="C21" s="66"/>
      <c r="G21" s="61"/>
      <c r="I21" s="63"/>
    </row>
    <row r="22" customFormat="false" ht="15.75" hidden="false" customHeight="false" outlineLevel="0" collapsed="false">
      <c r="A22" s="0" t="s">
        <v>2630</v>
      </c>
      <c r="B22" s="72" t="n">
        <f aca="false">B21/B23</f>
        <v>70.05</v>
      </c>
      <c r="C22" s="66"/>
      <c r="G22" s="61"/>
      <c r="I22" s="63"/>
    </row>
    <row r="23" customFormat="false" ht="15.75" hidden="false" customHeight="false" outlineLevel="0" collapsed="false">
      <c r="A23" s="0" t="s">
        <v>2631</v>
      </c>
      <c r="B23" s="0" t="n">
        <v>0.1</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119</v>
      </c>
      <c r="B1" s="50"/>
      <c r="C1" s="50"/>
      <c r="D1" s="50"/>
      <c r="E1" s="51" t="s">
        <v>2619</v>
      </c>
      <c r="F1" s="51"/>
      <c r="G1" s="52" t="s">
        <v>2645</v>
      </c>
    </row>
    <row r="2" customFormat="false" ht="24.75" hidden="false" customHeight="true" outlineLevel="0" collapsed="false">
      <c r="A2" s="50"/>
      <c r="B2" s="50"/>
      <c r="C2" s="50"/>
      <c r="D2" s="50"/>
      <c r="E2" s="53" t="s">
        <v>2621</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1960</v>
      </c>
      <c r="B4" s="57" t="n">
        <v>3</v>
      </c>
      <c r="C4" s="58" t="n">
        <f aca="false">B4/B$22*B$24</f>
        <v>4.7148470055959</v>
      </c>
      <c r="D4" s="57" t="s">
        <v>434</v>
      </c>
      <c r="E4" s="59" t="n">
        <f aca="false">IFERROR(INDEX(Correspondance!$D$2:$D$3000,MATCH(A4,Correspondance!$A$2:$A$3000,0)),0)</f>
        <v>2.4</v>
      </c>
      <c r="F4" s="60" t="n">
        <f aca="false">C4*E4</f>
        <v>11.3156328134302</v>
      </c>
      <c r="G4" s="61" t="s">
        <v>2773</v>
      </c>
    </row>
    <row r="5" customFormat="false" ht="15.75" hidden="false" customHeight="false" outlineLevel="0" collapsed="false">
      <c r="A5" s="57" t="s">
        <v>801</v>
      </c>
      <c r="B5" s="57" t="n">
        <v>2.25</v>
      </c>
      <c r="C5" s="58" t="n">
        <f aca="false">B5/B$22*B$24</f>
        <v>3.53613525419693</v>
      </c>
      <c r="D5" s="57" t="s">
        <v>434</v>
      </c>
      <c r="E5" s="59" t="n">
        <f aca="false">IFERROR(INDEX(Correspondance!$D$2:$D$3000,MATCH(A5,Correspondance!$A$2:$A$3000,0)),0)</f>
        <v>2.25</v>
      </c>
      <c r="F5" s="60" t="n">
        <f aca="false">C5*E5</f>
        <v>7.95630432194309</v>
      </c>
      <c r="G5" s="61"/>
      <c r="I5" s="62"/>
    </row>
    <row r="6" customFormat="false" ht="15.75" hidden="false" customHeight="false" outlineLevel="0" collapsed="false">
      <c r="A6" s="57" t="s">
        <v>1620</v>
      </c>
      <c r="B6" s="57" t="n">
        <v>1.13</v>
      </c>
      <c r="C6" s="58" t="n">
        <f aca="false">B6/B$22*B$24</f>
        <v>1.77592570544112</v>
      </c>
      <c r="D6" s="57" t="s">
        <v>434</v>
      </c>
      <c r="E6" s="59" t="n">
        <f aca="false">IFERROR(INDEX(Correspondance!$D$2:$D$3000,MATCH(A6,Correspondance!$A$2:$A$3000,0)),0)</f>
        <v>9</v>
      </c>
      <c r="F6" s="60" t="n">
        <f aca="false">C6*E6</f>
        <v>15.9833313489701</v>
      </c>
      <c r="G6" s="61"/>
      <c r="I6" s="63"/>
    </row>
    <row r="7" customFormat="false" ht="15.75" hidden="false" customHeight="false" outlineLevel="0" collapsed="false">
      <c r="A7" s="57" t="s">
        <v>1823</v>
      </c>
      <c r="B7" s="57" t="n">
        <v>0.751</v>
      </c>
      <c r="C7" s="58" t="n">
        <f aca="false">B7/B$22*B$24</f>
        <v>1.18028336706751</v>
      </c>
      <c r="D7" s="57" t="s">
        <v>434</v>
      </c>
      <c r="E7" s="59" t="n">
        <f aca="false">IFERROR(INDEX(Correspondance!$D$2:$D$3000,MATCH(A7,Correspondance!$A$2:$A$3000,0)),0)</f>
        <v>3</v>
      </c>
      <c r="F7" s="60" t="n">
        <f aca="false">C7*E7</f>
        <v>3.54085010120252</v>
      </c>
      <c r="G7" s="61"/>
      <c r="I7" s="63"/>
    </row>
    <row r="8" customFormat="false" ht="15.75" hidden="false" customHeight="false" outlineLevel="0" collapsed="false">
      <c r="A8" s="57" t="s">
        <v>1747</v>
      </c>
      <c r="B8" s="57" t="n">
        <v>0.375</v>
      </c>
      <c r="C8" s="58" t="n">
        <f aca="false">B8/B$22*B$24</f>
        <v>0.589355875699488</v>
      </c>
      <c r="D8" s="57" t="s">
        <v>434</v>
      </c>
      <c r="E8" s="59" t="n">
        <f aca="false">IFERROR(INDEX(Correspondance!$D$2:$D$3000,MATCH(A8,Correspondance!$A$2:$A$3000,0)),0)</f>
        <v>1.8</v>
      </c>
      <c r="F8" s="60" t="n">
        <f aca="false">C8*E8</f>
        <v>1.06084057625908</v>
      </c>
      <c r="G8" s="61"/>
      <c r="I8" s="63"/>
    </row>
    <row r="9" customFormat="false" ht="15.75" hidden="false" customHeight="false" outlineLevel="0" collapsed="false">
      <c r="A9" s="57" t="s">
        <v>1227</v>
      </c>
      <c r="B9" s="57" t="n">
        <v>0.375</v>
      </c>
      <c r="C9" s="58" t="n">
        <f aca="false">B9/B$22*B$24</f>
        <v>0.589355875699488</v>
      </c>
      <c r="D9" s="57" t="s">
        <v>434</v>
      </c>
      <c r="E9" s="59" t="n">
        <f aca="false">IFERROR(INDEX(Correspondance!$D$2:$D$3000,MATCH(A9,Correspondance!$A$2:$A$3000,0)),0)</f>
        <v>5.5</v>
      </c>
      <c r="F9" s="60" t="n">
        <f aca="false">C9*E9</f>
        <v>3.24145731634718</v>
      </c>
      <c r="G9" s="61"/>
      <c r="I9" s="63"/>
    </row>
    <row r="10" customFormat="false" ht="15.75" hidden="false" customHeight="false" outlineLevel="0" collapsed="false">
      <c r="A10" s="57" t="s">
        <v>1120</v>
      </c>
      <c r="B10" s="57" t="n">
        <v>0.375</v>
      </c>
      <c r="C10" s="58" t="n">
        <f aca="false">B10/B$22*B$24</f>
        <v>0.589355875699488</v>
      </c>
      <c r="D10" s="57" t="s">
        <v>682</v>
      </c>
      <c r="E10" s="59" t="n">
        <f aca="false">IFERROR(INDEX(Correspondance!$D$2:$D$3000,MATCH(A10,Correspondance!$A$2:$A$3000,0)),0)</f>
        <v>7.5</v>
      </c>
      <c r="F10" s="60" t="n">
        <f aca="false">C10*E10</f>
        <v>4.42016906774616</v>
      </c>
      <c r="G10" s="61"/>
      <c r="I10" s="63"/>
    </row>
    <row r="11" customFormat="false" ht="15.75" hidden="false" customHeight="false" outlineLevel="0" collapsed="false">
      <c r="A11" s="57" t="s">
        <v>1291</v>
      </c>
      <c r="B11" s="57" t="n">
        <v>0.09</v>
      </c>
      <c r="C11" s="58" t="n">
        <f aca="false">B11/B$22*B$24</f>
        <v>0.141445410167877</v>
      </c>
      <c r="D11" s="57" t="s">
        <v>682</v>
      </c>
      <c r="E11" s="59" t="n">
        <f aca="false">IFERROR(INDEX(Correspondance!$D$2:$D$3000,MATCH(A11,Correspondance!$A$2:$A$3000,0)),0)</f>
        <v>2.5</v>
      </c>
      <c r="F11" s="60" t="n">
        <f aca="false">C11*E11</f>
        <v>0.353613525419693</v>
      </c>
      <c r="G11" s="61"/>
      <c r="I11" s="63"/>
    </row>
    <row r="12" customFormat="false" ht="18.75" hidden="false" customHeight="true" outlineLevel="0" collapsed="false">
      <c r="A12" s="57" t="s">
        <v>1306</v>
      </c>
      <c r="B12" s="64" t="n">
        <v>0.008</v>
      </c>
      <c r="C12" s="58" t="n">
        <f aca="false">B12/B$22*B$24</f>
        <v>0.0125729253482557</v>
      </c>
      <c r="D12" s="57" t="s">
        <v>434</v>
      </c>
      <c r="E12" s="59" t="n">
        <f aca="false">IFERROR(INDEX(Correspondance!$D$2:$D$3000,MATCH(A12,Correspondance!$A$2:$A$3000,0)),0)</f>
        <v>14</v>
      </c>
      <c r="F12" s="60" t="n">
        <f aca="false">C12*E12</f>
        <v>0.17602095487558</v>
      </c>
      <c r="G12" s="61"/>
      <c r="I12" s="63"/>
    </row>
    <row r="13" customFormat="false" ht="18.75" hidden="false" customHeight="true" outlineLevel="0" collapsed="false">
      <c r="A13" s="57" t="s">
        <v>1919</v>
      </c>
      <c r="B13" s="64" t="n">
        <v>0.045</v>
      </c>
      <c r="C13" s="58" t="n">
        <f aca="false">B13/B$22*B$24</f>
        <v>0.0707227050839386</v>
      </c>
      <c r="D13" s="57" t="s">
        <v>434</v>
      </c>
      <c r="E13" s="59" t="n">
        <f aca="false">IFERROR(INDEX(Correspondance!$D$2:$D$3000,MATCH(A13,Correspondance!$A$2:$A$3000,0)),0)</f>
        <v>2</v>
      </c>
      <c r="F13" s="60" t="n">
        <f aca="false">C13*E13</f>
        <v>0.141445410167877</v>
      </c>
      <c r="G13" s="61"/>
      <c r="I13" s="63"/>
    </row>
    <row r="14" customFormat="false" ht="15.75" hidden="false" customHeight="false" outlineLevel="0" collapsed="false">
      <c r="A14" s="57" t="s">
        <v>1814</v>
      </c>
      <c r="B14" s="57"/>
      <c r="C14" s="58" t="n">
        <f aca="false">B14/B$22*B$24</f>
        <v>0</v>
      </c>
      <c r="D14" s="57" t="s">
        <v>434</v>
      </c>
      <c r="E14" s="59" t="n">
        <f aca="false">IFERROR(INDEX(Correspondance!$D$2:$D$3000,MATCH(A14,Correspondance!$A$2:$A$3000,0)),0)</f>
        <v>18</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48.1896654363615</v>
      </c>
      <c r="G19" s="61"/>
      <c r="I19" s="63"/>
    </row>
    <row r="20" customFormat="false" ht="18.75" hidden="false" customHeight="true" outlineLevel="0" collapsed="false">
      <c r="A20" s="68" t="s">
        <v>2628</v>
      </c>
      <c r="B20" s="69" t="n">
        <f aca="false">F19/B24</f>
        <v>0.438087867603286</v>
      </c>
      <c r="C20" s="70"/>
      <c r="G20" s="61"/>
      <c r="I20" s="63"/>
    </row>
    <row r="21" customFormat="false" ht="15.75" hidden="false" customHeight="false" outlineLevel="0" collapsed="false">
      <c r="A21" s="71" t="s">
        <v>2629</v>
      </c>
      <c r="B21" s="71" t="n">
        <f aca="false">SUM(B3:B18)</f>
        <v>8.399</v>
      </c>
      <c r="C21" s="66"/>
      <c r="G21" s="61"/>
      <c r="I21" s="63"/>
    </row>
    <row r="22" customFormat="false" ht="15.75" hidden="false" customHeight="false" outlineLevel="0" collapsed="false">
      <c r="A22" s="0" t="s">
        <v>2630</v>
      </c>
      <c r="B22" s="72" t="n">
        <f aca="false">B21/B23</f>
        <v>69.9916666666667</v>
      </c>
      <c r="C22" s="66"/>
      <c r="G22" s="61"/>
      <c r="I22" s="63"/>
    </row>
    <row r="23" customFormat="false" ht="15.75" hidden="false" customHeight="false" outlineLevel="0" collapsed="false">
      <c r="A23" s="0" t="s">
        <v>2631</v>
      </c>
      <c r="B23" s="0" t="n">
        <v>0.12</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122</v>
      </c>
      <c r="B1" s="50"/>
      <c r="C1" s="50"/>
      <c r="D1" s="50"/>
      <c r="E1" s="51" t="s">
        <v>2619</v>
      </c>
      <c r="F1" s="51"/>
      <c r="G1" s="52" t="s">
        <v>2774</v>
      </c>
    </row>
    <row r="2" customFormat="false" ht="24.75" hidden="false" customHeight="true" outlineLevel="0" collapsed="false">
      <c r="A2" s="50"/>
      <c r="B2" s="50"/>
      <c r="C2" s="50"/>
      <c r="D2" s="50"/>
      <c r="E2" s="53" t="s">
        <v>2692</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1890</v>
      </c>
      <c r="B4" s="57" t="n">
        <v>5.79</v>
      </c>
      <c r="C4" s="58" t="n">
        <f aca="false">B4/B$22*B$24</f>
        <v>9.09857142857143</v>
      </c>
      <c r="D4" s="57" t="s">
        <v>434</v>
      </c>
      <c r="E4" s="59" t="n">
        <f aca="false">IFERROR(INDEX(Correspondance!$D$2:$D$3000,MATCH(A4,Correspondance!$A$2:$A$3000,0)),0)</f>
        <v>15</v>
      </c>
      <c r="F4" s="60" t="n">
        <f aca="false">C4*E4</f>
        <v>136.478571428571</v>
      </c>
      <c r="G4" s="61" t="s">
        <v>2775</v>
      </c>
    </row>
    <row r="5" customFormat="false" ht="15.75" hidden="false" customHeight="false" outlineLevel="0" collapsed="false">
      <c r="A5" s="57" t="s">
        <v>1919</v>
      </c>
      <c r="B5" s="57" t="n">
        <v>0.058</v>
      </c>
      <c r="C5" s="58" t="n">
        <f aca="false">B5/B$22*B$24</f>
        <v>0.0911428571428572</v>
      </c>
      <c r="D5" s="57" t="s">
        <v>434</v>
      </c>
      <c r="E5" s="59" t="n">
        <f aca="false">IFERROR(INDEX(Correspondance!$D$2:$D$3000,MATCH(A5,Correspondance!$A$2:$A$3000,0)),0)</f>
        <v>2</v>
      </c>
      <c r="F5" s="60" t="n">
        <f aca="false">C5*E5</f>
        <v>0.182285714285714</v>
      </c>
      <c r="G5" s="61"/>
      <c r="I5" s="62"/>
    </row>
    <row r="6" customFormat="false" ht="15.75" hidden="false" customHeight="false" outlineLevel="0" collapsed="false">
      <c r="A6" s="57" t="s">
        <v>1814</v>
      </c>
      <c r="B6" s="57"/>
      <c r="C6" s="58" t="n">
        <f aca="false">B6/B$22*B$24</f>
        <v>0</v>
      </c>
      <c r="D6" s="57" t="s">
        <v>434</v>
      </c>
      <c r="E6" s="59" t="n">
        <f aca="false">IFERROR(INDEX(Correspondance!$D$2:$D$3000,MATCH(A6,Correspondance!$A$2:$A$3000,0)),0)</f>
        <v>18</v>
      </c>
      <c r="F6" s="60" t="n">
        <f aca="false">C6*E6</f>
        <v>0</v>
      </c>
      <c r="G6" s="61"/>
      <c r="I6" s="63"/>
    </row>
    <row r="7" customFormat="false" ht="15.75" hidden="false" customHeight="false" outlineLevel="0" collapsed="false">
      <c r="A7" s="57" t="s">
        <v>1675</v>
      </c>
      <c r="B7" s="57" t="n">
        <v>0.087</v>
      </c>
      <c r="C7" s="58" t="n">
        <f aca="false">B7/B$22*B$24</f>
        <v>0.136714285714286</v>
      </c>
      <c r="D7" s="57" t="s">
        <v>682</v>
      </c>
      <c r="E7" s="59" t="n">
        <f aca="false">IFERROR(INDEX(Correspondance!$D$2:$D$3000,MATCH(A7,Correspondance!$A$2:$A$3000,0)),0)</f>
        <v>2.2</v>
      </c>
      <c r="F7" s="60" t="n">
        <f aca="false">C7*E7</f>
        <v>0.300771428571429</v>
      </c>
      <c r="G7" s="61"/>
      <c r="I7" s="63"/>
    </row>
    <row r="8" customFormat="false" ht="15.75" hidden="false" customHeight="false" outlineLevel="0" collapsed="false">
      <c r="A8" s="57" t="s">
        <v>1001</v>
      </c>
      <c r="B8" s="57" t="n">
        <v>0.29</v>
      </c>
      <c r="C8" s="58" t="n">
        <f aca="false">B8/B$22*B$24</f>
        <v>0.455714285714286</v>
      </c>
      <c r="D8" s="57" t="s">
        <v>434</v>
      </c>
      <c r="E8" s="59" t="n">
        <f aca="false">IFERROR(INDEX(Correspondance!$D$2:$D$3000,MATCH(A8,Correspondance!$A$2:$A$3000,0)),0)</f>
        <v>1.8</v>
      </c>
      <c r="F8" s="60" t="n">
        <f aca="false">C8*E8</f>
        <v>0.820285714285714</v>
      </c>
      <c r="G8" s="61"/>
      <c r="I8" s="63"/>
    </row>
    <row r="9" customFormat="false" ht="15.75" hidden="false" customHeight="false" outlineLevel="0" collapsed="false">
      <c r="A9" s="57" t="s">
        <v>917</v>
      </c>
      <c r="B9" s="57" t="n">
        <v>0.29</v>
      </c>
      <c r="C9" s="58" t="n">
        <f aca="false">B9/B$22*B$24</f>
        <v>0.455714285714286</v>
      </c>
      <c r="D9" s="57" t="s">
        <v>434</v>
      </c>
      <c r="E9" s="59" t="n">
        <f aca="false">IFERROR(INDEX(Correspondance!$D$2:$D$3000,MATCH(A9,Correspondance!$A$2:$A$3000,0)),0)</f>
        <v>1.8</v>
      </c>
      <c r="F9" s="60" t="n">
        <f aca="false">C9*E9</f>
        <v>0.820285714285714</v>
      </c>
      <c r="G9" s="61"/>
      <c r="I9" s="63"/>
    </row>
    <row r="10" customFormat="false" ht="15.75" hidden="false" customHeight="false" outlineLevel="0" collapsed="false">
      <c r="A10" s="57" t="s">
        <v>1098</v>
      </c>
      <c r="B10" s="57" t="n">
        <v>0.087</v>
      </c>
      <c r="C10" s="58" t="n">
        <f aca="false">B10/B$22*B$24</f>
        <v>0.136714285714286</v>
      </c>
      <c r="D10" s="57" t="s">
        <v>434</v>
      </c>
      <c r="E10" s="59" t="n">
        <f aca="false">IFERROR(INDEX(Correspondance!$D$2:$D$3000,MATCH(A10,Correspondance!$A$2:$A$3000,0)),0)</f>
        <v>12</v>
      </c>
      <c r="F10" s="60" t="n">
        <f aca="false">C10*E10</f>
        <v>1.64057142857143</v>
      </c>
      <c r="G10" s="61"/>
      <c r="I10" s="63"/>
    </row>
    <row r="11" customFormat="false" ht="15.75" hidden="false" customHeight="false" outlineLevel="0" collapsed="false">
      <c r="A11" s="57" t="s">
        <v>1459</v>
      </c>
      <c r="B11" s="57" t="n">
        <v>1.74</v>
      </c>
      <c r="C11" s="58" t="n">
        <f aca="false">B11/B$22*B$24</f>
        <v>2.73428571428571</v>
      </c>
      <c r="D11" s="57" t="s">
        <v>682</v>
      </c>
      <c r="E11" s="59" t="n">
        <f aca="false">IFERROR(INDEX(Correspondance!$D$2:$D$3000,MATCH(A11,Correspondance!$A$2:$A$3000,0)),0)</f>
        <v>0</v>
      </c>
      <c r="F11" s="60" t="n">
        <f aca="false">C11*E11</f>
        <v>0</v>
      </c>
      <c r="G11" s="61"/>
      <c r="I11" s="63"/>
    </row>
    <row r="12" customFormat="false" ht="18.75" hidden="false" customHeight="true" outlineLevel="0" collapsed="false">
      <c r="A12" s="57" t="s">
        <v>1084</v>
      </c>
      <c r="B12" s="64" t="n">
        <v>0.058</v>
      </c>
      <c r="C12" s="58" t="n">
        <f aca="false">B12/B$22*B$24</f>
        <v>0.0911428571428572</v>
      </c>
      <c r="D12" s="57" t="s">
        <v>434</v>
      </c>
      <c r="E12" s="59" t="n">
        <f aca="false">IFERROR(INDEX(Correspondance!$D$2:$D$3000,MATCH(A12,Correspondance!$A$2:$A$3000,0)),0)</f>
        <v>2.2</v>
      </c>
      <c r="F12" s="60" t="n">
        <f aca="false">C12*E12</f>
        <v>0.200514285714286</v>
      </c>
      <c r="G12" s="61"/>
      <c r="I12" s="63"/>
    </row>
    <row r="13" customFormat="false" ht="18.75" hidden="false" customHeight="true" outlineLevel="0" collapsed="false">
      <c r="A13" s="57" t="s">
        <v>1948</v>
      </c>
      <c r="B13" s="64"/>
      <c r="C13" s="58" t="n">
        <f aca="false">B13/B$22*B$24</f>
        <v>0</v>
      </c>
      <c r="D13" s="57" t="s">
        <v>434</v>
      </c>
      <c r="E13" s="59" t="n">
        <f aca="false">IFERROR(INDEX(Correspondance!$D$2:$D$3000,MATCH(A13,Correspondance!$A$2:$A$3000,0)),0)</f>
        <v>16</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140.443285714286</v>
      </c>
      <c r="G19" s="61"/>
      <c r="I19" s="63"/>
    </row>
    <row r="20" customFormat="false" ht="18.75" hidden="false" customHeight="true" outlineLevel="0" collapsed="false">
      <c r="A20" s="68" t="s">
        <v>2628</v>
      </c>
      <c r="B20" s="69" t="n">
        <f aca="false">F19/B24</f>
        <v>1.27675714285714</v>
      </c>
      <c r="C20" s="70"/>
      <c r="G20" s="61"/>
      <c r="I20" s="63"/>
    </row>
    <row r="21" customFormat="false" ht="15.75" hidden="false" customHeight="false" outlineLevel="0" collapsed="false">
      <c r="A21" s="71" t="s">
        <v>2629</v>
      </c>
      <c r="B21" s="71" t="n">
        <f aca="false">SUM(B3:B18)</f>
        <v>8.4</v>
      </c>
      <c r="C21" s="66"/>
      <c r="G21" s="61"/>
      <c r="I21" s="63"/>
    </row>
    <row r="22" customFormat="false" ht="15.75" hidden="false" customHeight="false" outlineLevel="0" collapsed="false">
      <c r="A22" s="0" t="s">
        <v>2630</v>
      </c>
      <c r="B22" s="72" t="n">
        <f aca="false">B21/B23</f>
        <v>70</v>
      </c>
      <c r="C22" s="66"/>
      <c r="G22" s="61"/>
      <c r="I22" s="63"/>
    </row>
    <row r="23" customFormat="false" ht="15.75" hidden="false" customHeight="false" outlineLevel="0" collapsed="false">
      <c r="A23" s="0" t="s">
        <v>2631</v>
      </c>
      <c r="B23" s="0" t="n">
        <v>0.12</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123</v>
      </c>
      <c r="B1" s="50"/>
      <c r="C1" s="50"/>
      <c r="D1" s="50"/>
      <c r="E1" s="51" t="s">
        <v>2619</v>
      </c>
      <c r="F1" s="51"/>
      <c r="G1" s="52" t="s">
        <v>2776</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1562</v>
      </c>
      <c r="B4" s="57" t="n">
        <v>7</v>
      </c>
      <c r="C4" s="58" t="n">
        <f aca="false">B4/B$22*B$24</f>
        <v>11</v>
      </c>
      <c r="D4" s="57" t="s">
        <v>434</v>
      </c>
      <c r="E4" s="59" t="n">
        <f aca="false">IFERROR(INDEX(Correspondance!$D$2:$D$3000,MATCH(A4,Correspondance!$A$2:$A$3000,0)),0)</f>
        <v>6.5</v>
      </c>
      <c r="F4" s="60" t="n">
        <f aca="false">C4*E4</f>
        <v>71.5</v>
      </c>
      <c r="G4" s="61" t="s">
        <v>2777</v>
      </c>
    </row>
    <row r="5" customFormat="false" ht="15.75" hidden="false" customHeight="false" outlineLevel="0" collapsed="false">
      <c r="A5" s="57" t="s">
        <v>1675</v>
      </c>
      <c r="B5" s="57" t="n">
        <v>0.07</v>
      </c>
      <c r="C5" s="58" t="n">
        <f aca="false">B5/B$22*B$24</f>
        <v>0.11</v>
      </c>
      <c r="D5" s="57" t="s">
        <v>682</v>
      </c>
      <c r="E5" s="59" t="n">
        <f aca="false">IFERROR(INDEX(Correspondance!$D$2:$D$3000,MATCH(A5,Correspondance!$A$2:$A$3000,0)),0)</f>
        <v>2.2</v>
      </c>
      <c r="F5" s="60" t="n">
        <f aca="false">C5*E5</f>
        <v>0.242</v>
      </c>
      <c r="G5" s="61"/>
      <c r="I5" s="62"/>
    </row>
    <row r="6" customFormat="false" ht="15.75" hidden="false" customHeight="false" outlineLevel="0" collapsed="false">
      <c r="A6" s="57" t="s">
        <v>1001</v>
      </c>
      <c r="B6" s="57" t="n">
        <v>0.28</v>
      </c>
      <c r="C6" s="58" t="n">
        <f aca="false">B6/B$22*B$24</f>
        <v>0.44</v>
      </c>
      <c r="D6" s="57" t="s">
        <v>434</v>
      </c>
      <c r="E6" s="59" t="n">
        <f aca="false">IFERROR(INDEX(Correspondance!$D$2:$D$3000,MATCH(A6,Correspondance!$A$2:$A$3000,0)),0)</f>
        <v>1.8</v>
      </c>
      <c r="F6" s="60" t="n">
        <f aca="false">C6*E6</f>
        <v>0.792</v>
      </c>
      <c r="G6" s="61"/>
      <c r="I6" s="63"/>
    </row>
    <row r="7" customFormat="false" ht="15.75" hidden="false" customHeight="false" outlineLevel="0" collapsed="false">
      <c r="A7" s="57" t="s">
        <v>1197</v>
      </c>
      <c r="B7" s="57" t="n">
        <v>0.21</v>
      </c>
      <c r="C7" s="58" t="n">
        <f aca="false">B7/B$22*B$24</f>
        <v>0.33</v>
      </c>
      <c r="D7" s="57" t="s">
        <v>434</v>
      </c>
      <c r="E7" s="59" t="n">
        <f aca="false">IFERROR(INDEX(Correspondance!$D$2:$D$3000,MATCH(A7,Correspondance!$A$2:$A$3000,0)),0)</f>
        <v>2.6</v>
      </c>
      <c r="F7" s="60" t="n">
        <f aca="false">C7*E7</f>
        <v>0.858</v>
      </c>
      <c r="G7" s="61"/>
      <c r="I7" s="63"/>
    </row>
    <row r="8" customFormat="false" ht="15.75" hidden="false" customHeight="false" outlineLevel="0" collapsed="false">
      <c r="A8" s="57" t="s">
        <v>1459</v>
      </c>
      <c r="B8" s="57" t="n">
        <v>1.4</v>
      </c>
      <c r="C8" s="58" t="n">
        <f aca="false">B8/B$22*B$24</f>
        <v>2.2</v>
      </c>
      <c r="D8" s="57" t="s">
        <v>682</v>
      </c>
      <c r="E8" s="59" t="n">
        <f aca="false">IFERROR(INDEX(Correspondance!$D$2:$D$3000,MATCH(A8,Correspondance!$A$2:$A$3000,0)),0)</f>
        <v>0</v>
      </c>
      <c r="F8" s="60" t="n">
        <f aca="false">C8*E8</f>
        <v>0</v>
      </c>
      <c r="G8" s="61"/>
      <c r="I8" s="63"/>
    </row>
    <row r="9" customFormat="false" ht="15.75" hidden="false" customHeight="false" outlineLevel="0" collapsed="false">
      <c r="A9" s="57" t="s">
        <v>1100</v>
      </c>
      <c r="B9" s="57" t="n">
        <v>0.056</v>
      </c>
      <c r="C9" s="58" t="n">
        <f aca="false">B9/B$22*B$24</f>
        <v>0.088</v>
      </c>
      <c r="D9" s="57" t="s">
        <v>434</v>
      </c>
      <c r="E9" s="59" t="n">
        <f aca="false">IFERROR(INDEX(Correspondance!$D$2:$D$3000,MATCH(A9,Correspondance!$A$2:$A$3000,0)),0)</f>
        <v>10</v>
      </c>
      <c r="F9" s="60" t="n">
        <f aca="false">C9*E9</f>
        <v>0.88</v>
      </c>
      <c r="G9" s="61"/>
      <c r="I9" s="63"/>
    </row>
    <row r="10" customFormat="false" ht="15.75" hidden="false" customHeight="false" outlineLevel="0" collapsed="false">
      <c r="A10" s="57" t="s">
        <v>1084</v>
      </c>
      <c r="B10" s="57" t="n">
        <v>0.07</v>
      </c>
      <c r="C10" s="58" t="n">
        <f aca="false">B10/B$22*B$24</f>
        <v>0.11</v>
      </c>
      <c r="D10" s="57" t="s">
        <v>434</v>
      </c>
      <c r="E10" s="59" t="n">
        <f aca="false">IFERROR(INDEX(Correspondance!$D$2:$D$3000,MATCH(A10,Correspondance!$A$2:$A$3000,0)),0)</f>
        <v>2.2</v>
      </c>
      <c r="F10" s="60" t="n">
        <f aca="false">C10*E10</f>
        <v>0.242</v>
      </c>
      <c r="G10" s="61"/>
      <c r="I10" s="63"/>
    </row>
    <row r="11" customFormat="false" ht="15.75" hidden="false" customHeight="false" outlineLevel="0" collapsed="false">
      <c r="A11" s="57" t="s">
        <v>1919</v>
      </c>
      <c r="B11" s="57" t="n">
        <v>0.014</v>
      </c>
      <c r="C11" s="58" t="n">
        <f aca="false">B11/B$22*B$24</f>
        <v>0.022</v>
      </c>
      <c r="D11" s="57" t="s">
        <v>434</v>
      </c>
      <c r="E11" s="59" t="n">
        <f aca="false">IFERROR(INDEX(Correspondance!$D$2:$D$3000,MATCH(A11,Correspondance!$A$2:$A$3000,0)),0)</f>
        <v>2</v>
      </c>
      <c r="F11" s="60" t="n">
        <f aca="false">C11*E11</f>
        <v>0.044</v>
      </c>
      <c r="G11" s="61"/>
      <c r="I11" s="63"/>
    </row>
    <row r="12" customFormat="false" ht="18.75" hidden="false" customHeight="true" outlineLevel="0" collapsed="false">
      <c r="A12" s="57" t="s">
        <v>1814</v>
      </c>
      <c r="B12" s="64"/>
      <c r="C12" s="58" t="n">
        <f aca="false">B12/B$22*B$24</f>
        <v>0</v>
      </c>
      <c r="D12" s="57" t="s">
        <v>434</v>
      </c>
      <c r="E12" s="59" t="n">
        <f aca="false">IFERROR(INDEX(Correspondance!$D$2:$D$3000,MATCH(A12,Correspondance!$A$2:$A$3000,0)),0)</f>
        <v>18</v>
      </c>
      <c r="F12" s="60" t="n">
        <f aca="false">C12*E12</f>
        <v>0</v>
      </c>
      <c r="G12" s="61"/>
      <c r="I12" s="63"/>
    </row>
    <row r="13" customFormat="false" ht="18.75" hidden="false" customHeight="true" outlineLevel="0" collapsed="false">
      <c r="A13" s="57" t="s">
        <v>1664</v>
      </c>
      <c r="B13" s="64"/>
      <c r="C13" s="58" t="n">
        <f aca="false">B13/B$22*B$24</f>
        <v>0</v>
      </c>
      <c r="D13" s="57" t="s">
        <v>434</v>
      </c>
      <c r="E13" s="59" t="n">
        <f aca="false">IFERROR(INDEX(Correspondance!$D$2:$D$3000,MATCH(A13,Correspondance!$A$2:$A$3000,0)),0)</f>
        <v>11</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74.558</v>
      </c>
      <c r="G19" s="61"/>
      <c r="I19" s="63"/>
    </row>
    <row r="20" customFormat="false" ht="18.75" hidden="false" customHeight="true" outlineLevel="0" collapsed="false">
      <c r="A20" s="68" t="s">
        <v>2628</v>
      </c>
      <c r="B20" s="69" t="n">
        <f aca="false">F19/B24</f>
        <v>0.6778</v>
      </c>
      <c r="C20" s="70"/>
      <c r="G20" s="61"/>
      <c r="I20" s="63"/>
    </row>
    <row r="21" customFormat="false" ht="15.75" hidden="false" customHeight="false" outlineLevel="0" collapsed="false">
      <c r="A21" s="71" t="s">
        <v>2629</v>
      </c>
      <c r="B21" s="71" t="n">
        <f aca="false">SUM(B3:B18)</f>
        <v>9.1</v>
      </c>
      <c r="C21" s="66"/>
      <c r="G21" s="61"/>
      <c r="I21" s="63"/>
    </row>
    <row r="22" customFormat="false" ht="15.75" hidden="false" customHeight="false" outlineLevel="0" collapsed="false">
      <c r="A22" s="0" t="s">
        <v>2630</v>
      </c>
      <c r="B22" s="72" t="n">
        <f aca="false">B21/B23</f>
        <v>70</v>
      </c>
      <c r="C22" s="66"/>
      <c r="G22" s="61"/>
      <c r="I22" s="63"/>
    </row>
    <row r="23" customFormat="false" ht="15.75" hidden="false" customHeight="false" outlineLevel="0" collapsed="false">
      <c r="A23" s="0" t="s">
        <v>2631</v>
      </c>
      <c r="B23" s="0" t="n">
        <v>0.13</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124</v>
      </c>
      <c r="B1" s="50"/>
      <c r="C1" s="50"/>
      <c r="D1" s="50"/>
      <c r="E1" s="51" t="s">
        <v>2619</v>
      </c>
      <c r="F1" s="51"/>
      <c r="G1" s="52" t="s">
        <v>2645</v>
      </c>
    </row>
    <row r="2" customFormat="false" ht="24.75" hidden="false" customHeight="true" outlineLevel="0" collapsed="false">
      <c r="A2" s="50"/>
      <c r="B2" s="50"/>
      <c r="C2" s="50"/>
      <c r="D2" s="50"/>
      <c r="E2" s="53" t="s">
        <v>2621</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1678</v>
      </c>
      <c r="B4" s="57" t="n">
        <v>6.95</v>
      </c>
      <c r="C4" s="58" t="n">
        <f aca="false">B4/B$22*B$24</f>
        <v>10.9236578893652</v>
      </c>
      <c r="D4" s="57" t="s">
        <v>434</v>
      </c>
      <c r="E4" s="59" t="n">
        <f aca="false">IFERROR(INDEX(Correspondance!$D$2:$D$3000,MATCH(A4,Correspondance!$A$2:$A$3000,0)),0)</f>
        <v>9.5</v>
      </c>
      <c r="F4" s="60" t="n">
        <f aca="false">C4*E4</f>
        <v>103.774749948969</v>
      </c>
      <c r="G4" s="61" t="s">
        <v>2778</v>
      </c>
    </row>
    <row r="5" customFormat="false" ht="15.75" hidden="false" customHeight="false" outlineLevel="0" collapsed="false">
      <c r="A5" s="57" t="s">
        <v>1567</v>
      </c>
      <c r="B5" s="57" t="n">
        <v>0.695</v>
      </c>
      <c r="C5" s="58" t="n">
        <f aca="false">B5/B$22*B$24</f>
        <v>1.09236578893652</v>
      </c>
      <c r="D5" s="57" t="s">
        <v>434</v>
      </c>
      <c r="E5" s="59" t="n">
        <f aca="false">IFERROR(INDEX(Correspondance!$D$2:$D$3000,MATCH(A5,Correspondance!$A$2:$A$3000,0)),0)</f>
        <v>6.5</v>
      </c>
      <c r="F5" s="60" t="n">
        <f aca="false">C5*E5</f>
        <v>7.10037762808737</v>
      </c>
      <c r="G5" s="61"/>
      <c r="I5" s="62"/>
    </row>
    <row r="6" customFormat="false" ht="15.75" hidden="false" customHeight="false" outlineLevel="0" collapsed="false">
      <c r="A6" s="57" t="s">
        <v>1725</v>
      </c>
      <c r="B6" s="57" t="n">
        <v>0.209</v>
      </c>
      <c r="C6" s="58" t="n">
        <f aca="false">B6/B$22*B$24</f>
        <v>0.328495611349255</v>
      </c>
      <c r="D6" s="57" t="s">
        <v>434</v>
      </c>
      <c r="E6" s="59" t="n">
        <f aca="false">IFERROR(INDEX(Correspondance!$D$2:$D$3000,MATCH(A6,Correspondance!$A$2:$A$3000,0)),0)</f>
        <v>9</v>
      </c>
      <c r="F6" s="60" t="n">
        <f aca="false">C6*E6</f>
        <v>2.9564605021433</v>
      </c>
      <c r="G6" s="61"/>
      <c r="I6" s="63"/>
    </row>
    <row r="7" customFormat="false" ht="15.75" hidden="false" customHeight="false" outlineLevel="0" collapsed="false">
      <c r="A7" s="57" t="s">
        <v>1710</v>
      </c>
      <c r="B7" s="57" t="n">
        <v>0.695</v>
      </c>
      <c r="C7" s="58" t="n">
        <f aca="false">B7/B$22*B$24</f>
        <v>1.09236578893652</v>
      </c>
      <c r="D7" s="57" t="s">
        <v>434</v>
      </c>
      <c r="E7" s="59" t="n">
        <f aca="false">IFERROR(INDEX(Correspondance!$D$2:$D$3000,MATCH(A7,Correspondance!$A$2:$A$3000,0)),0)</f>
        <v>4.5</v>
      </c>
      <c r="F7" s="60" t="n">
        <f aca="false">C7*E7</f>
        <v>4.91564605021433</v>
      </c>
      <c r="G7" s="61"/>
      <c r="I7" s="63"/>
    </row>
    <row r="8" customFormat="false" ht="15.75" hidden="false" customHeight="false" outlineLevel="0" collapsed="false">
      <c r="A8" s="57" t="s">
        <v>1898</v>
      </c>
      <c r="B8" s="57" t="n">
        <v>1.04</v>
      </c>
      <c r="C8" s="58" t="n">
        <f aca="false">B8/B$22*B$24</f>
        <v>1.63461931006328</v>
      </c>
      <c r="D8" s="57" t="s">
        <v>434</v>
      </c>
      <c r="E8" s="59" t="n">
        <f aca="false">IFERROR(INDEX(Correspondance!$D$2:$D$3000,MATCH(A8,Correspondance!$A$2:$A$3000,0)),0)</f>
        <v>5.5</v>
      </c>
      <c r="F8" s="60" t="n">
        <f aca="false">C8*E8</f>
        <v>8.99040620534803</v>
      </c>
      <c r="G8" s="61"/>
      <c r="I8" s="63"/>
    </row>
    <row r="9" customFormat="false" ht="15.75" hidden="false" customHeight="false" outlineLevel="0" collapsed="false">
      <c r="A9" s="57" t="s">
        <v>1984</v>
      </c>
      <c r="B9" s="57" t="n">
        <v>0.209</v>
      </c>
      <c r="C9" s="58" t="n">
        <f aca="false">B9/B$22*B$24</f>
        <v>0.328495611349255</v>
      </c>
      <c r="D9" s="57" t="s">
        <v>682</v>
      </c>
      <c r="E9" s="59" t="n">
        <f aca="false">IFERROR(INDEX(Correspondance!$D$2:$D$3000,MATCH(A9,Correspondance!$A$2:$A$3000,0)),0)</f>
        <v>3</v>
      </c>
      <c r="F9" s="60" t="n">
        <f aca="false">C9*E9</f>
        <v>0.985486834047765</v>
      </c>
      <c r="G9" s="61"/>
      <c r="I9" s="63"/>
    </row>
    <row r="10" customFormat="false" ht="15.75" hidden="false" customHeight="false" outlineLevel="0" collapsed="false">
      <c r="A10" s="57" t="s">
        <v>1779</v>
      </c>
      <c r="B10" s="57"/>
      <c r="C10" s="58" t="n">
        <f aca="false">B10/B$22*B$24</f>
        <v>0</v>
      </c>
      <c r="D10" s="57" t="s">
        <v>434</v>
      </c>
      <c r="E10" s="59" t="n">
        <f aca="false">IFERROR(INDEX(Correspondance!$D$2:$D$3000,MATCH(A10,Correspondance!$A$2:$A$3000,0)),0)</f>
        <v>8</v>
      </c>
      <c r="F10" s="60" t="n">
        <f aca="false">C10*E10</f>
        <v>0</v>
      </c>
      <c r="G10" s="61"/>
      <c r="I10" s="63"/>
    </row>
    <row r="11" customFormat="false" ht="15.75" hidden="false" customHeight="false" outlineLevel="0" collapsed="false">
      <c r="A11" s="57" t="s">
        <v>1814</v>
      </c>
      <c r="B11" s="57"/>
      <c r="C11" s="58" t="n">
        <f aca="false">B11/B$22*B$24</f>
        <v>0</v>
      </c>
      <c r="D11" s="57" t="s">
        <v>434</v>
      </c>
      <c r="E11" s="59" t="n">
        <f aca="false">IFERROR(INDEX(Correspondance!$D$2:$D$3000,MATCH(A11,Correspondance!$A$2:$A$3000,0)),0)</f>
        <v>18</v>
      </c>
      <c r="F11" s="60" t="n">
        <f aca="false">C11*E11</f>
        <v>0</v>
      </c>
      <c r="G11" s="61"/>
      <c r="I11" s="63"/>
    </row>
    <row r="12" customFormat="false" ht="18.75" hidden="false" customHeight="true" outlineLevel="0" collapsed="false">
      <c r="A12" s="57"/>
      <c r="B12" s="64"/>
      <c r="C12" s="58" t="n">
        <f aca="false">B12/B$22*B$24</f>
        <v>0</v>
      </c>
      <c r="D12" s="57"/>
      <c r="E12" s="65" t="n">
        <f aca="false">IFERROR(INDEX(Correspondance!$D$2:$D$3000,MATCH(A12,Correspondance!$A$2:$A$3000,0)),0)</f>
        <v>0</v>
      </c>
      <c r="F12" s="60" t="n">
        <f aca="false">C12*E12</f>
        <v>0</v>
      </c>
      <c r="G12" s="61"/>
      <c r="I12" s="63"/>
    </row>
    <row r="13" customFormat="false" ht="18.75" hidden="false" customHeight="true" outlineLevel="0" collapsed="false">
      <c r="A13" s="57"/>
      <c r="B13" s="64"/>
      <c r="C13" s="58" t="n">
        <f aca="false">B13/B$22*B$24</f>
        <v>0</v>
      </c>
      <c r="D13" s="57"/>
      <c r="E13" s="65" t="n">
        <f aca="false">IFERROR(INDEX(Correspondance!$D$2:$D$3000,MATCH(A13,Correspondance!$A$2:$A$3000,0)),0)</f>
        <v>0</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128.72312716881</v>
      </c>
      <c r="G19" s="61"/>
      <c r="I19" s="63"/>
    </row>
    <row r="20" customFormat="false" ht="18.75" hidden="false" customHeight="true" outlineLevel="0" collapsed="false">
      <c r="A20" s="68" t="s">
        <v>2628</v>
      </c>
      <c r="B20" s="69" t="n">
        <f aca="false">F19/B24</f>
        <v>1.17021024698918</v>
      </c>
      <c r="C20" s="70"/>
      <c r="G20" s="61"/>
      <c r="I20" s="63"/>
    </row>
    <row r="21" customFormat="false" ht="15.75" hidden="false" customHeight="false" outlineLevel="0" collapsed="false">
      <c r="A21" s="71" t="s">
        <v>2629</v>
      </c>
      <c r="B21" s="71" t="n">
        <f aca="false">SUM(B3:B18)</f>
        <v>9.798</v>
      </c>
      <c r="C21" s="66"/>
      <c r="G21" s="61"/>
      <c r="I21" s="63"/>
    </row>
    <row r="22" customFormat="false" ht="15.75" hidden="false" customHeight="false" outlineLevel="0" collapsed="false">
      <c r="A22" s="0" t="s">
        <v>2630</v>
      </c>
      <c r="B22" s="72" t="n">
        <f aca="false">B21/B23</f>
        <v>69.9857142857143</v>
      </c>
      <c r="C22" s="66"/>
      <c r="G22" s="61"/>
      <c r="I22" s="63"/>
    </row>
    <row r="23" customFormat="false" ht="15.75" hidden="false" customHeight="false" outlineLevel="0" collapsed="false">
      <c r="A23" s="0" t="s">
        <v>2631</v>
      </c>
      <c r="B23" s="0" t="n">
        <v>0.14</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125</v>
      </c>
      <c r="B1" s="50"/>
      <c r="C1" s="50"/>
      <c r="D1" s="50"/>
      <c r="E1" s="51" t="s">
        <v>2619</v>
      </c>
      <c r="F1" s="51"/>
      <c r="G1" s="52" t="s">
        <v>2645</v>
      </c>
    </row>
    <row r="2" customFormat="false" ht="24.75" hidden="false" customHeight="true" outlineLevel="0" collapsed="false">
      <c r="A2" s="50"/>
      <c r="B2" s="50"/>
      <c r="C2" s="50"/>
      <c r="D2" s="50"/>
      <c r="E2" s="53" t="s">
        <v>2621</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1678</v>
      </c>
      <c r="B4" s="57" t="n">
        <v>5.88</v>
      </c>
      <c r="C4" s="58" t="n">
        <f aca="false">B4/B$22*B$24</f>
        <v>9.24293426484598</v>
      </c>
      <c r="D4" s="57" t="s">
        <v>434</v>
      </c>
      <c r="E4" s="59" t="n">
        <f aca="false">IFERROR(INDEX(Correspondance!$D$2:$D$3000,MATCH(A4,Correspondance!$A$2:$A$3000,0)),0)</f>
        <v>9.5</v>
      </c>
      <c r="F4" s="60" t="n">
        <f aca="false">C4*E4</f>
        <v>87.8078755160368</v>
      </c>
      <c r="G4" s="61" t="s">
        <v>2779</v>
      </c>
    </row>
    <row r="5" customFormat="false" ht="15.75" hidden="false" customHeight="false" outlineLevel="0" collapsed="false">
      <c r="A5" s="57" t="s">
        <v>985</v>
      </c>
      <c r="B5" s="57" t="n">
        <v>3.68</v>
      </c>
      <c r="C5" s="58" t="n">
        <f aca="false">B5/B$22*B$24</f>
        <v>5.78469355350905</v>
      </c>
      <c r="D5" s="57" t="s">
        <v>434</v>
      </c>
      <c r="E5" s="59" t="n">
        <f aca="false">IFERROR(INDEX(Correspondance!$D$2:$D$3000,MATCH(A5,Correspondance!$A$2:$A$3000,0)),0)</f>
        <v>2.2</v>
      </c>
      <c r="F5" s="60" t="n">
        <f aca="false">C5*E5</f>
        <v>12.7263258177199</v>
      </c>
      <c r="G5" s="61"/>
      <c r="I5" s="62"/>
    </row>
    <row r="6" customFormat="false" ht="15.75" hidden="false" customHeight="false" outlineLevel="0" collapsed="false">
      <c r="A6" s="57" t="s">
        <v>1710</v>
      </c>
      <c r="B6" s="57" t="n">
        <v>1.1</v>
      </c>
      <c r="C6" s="58" t="n">
        <f aca="false">B6/B$22*B$24</f>
        <v>1.72912035566847</v>
      </c>
      <c r="D6" s="57" t="s">
        <v>434</v>
      </c>
      <c r="E6" s="59" t="n">
        <f aca="false">IFERROR(INDEX(Correspondance!$D$2:$D$3000,MATCH(A6,Correspondance!$A$2:$A$3000,0)),0)</f>
        <v>4.5</v>
      </c>
      <c r="F6" s="60" t="n">
        <f aca="false">C6*E6</f>
        <v>7.7810416005081</v>
      </c>
      <c r="G6" s="61"/>
      <c r="I6" s="63"/>
    </row>
    <row r="7" customFormat="false" ht="15.75" hidden="false" customHeight="false" outlineLevel="0" collapsed="false">
      <c r="A7" s="57" t="s">
        <v>1725</v>
      </c>
      <c r="B7" s="57" t="n">
        <v>0.074</v>
      </c>
      <c r="C7" s="58" t="n">
        <f aca="false">B7/B$22*B$24</f>
        <v>0.116322642108606</v>
      </c>
      <c r="D7" s="57" t="s">
        <v>434</v>
      </c>
      <c r="E7" s="59" t="n">
        <f aca="false">IFERROR(INDEX(Correspondance!$D$2:$D$3000,MATCH(A7,Correspondance!$A$2:$A$3000,0)),0)</f>
        <v>9</v>
      </c>
      <c r="F7" s="60" t="n">
        <f aca="false">C7*E7</f>
        <v>1.04690377897745</v>
      </c>
      <c r="G7" s="61"/>
      <c r="I7" s="63"/>
    </row>
    <row r="8" customFormat="false" ht="15.75" hidden="false" customHeight="false" outlineLevel="0" collapsed="false">
      <c r="A8" s="57" t="s">
        <v>1567</v>
      </c>
      <c r="B8" s="57" t="n">
        <v>0.368</v>
      </c>
      <c r="C8" s="58" t="n">
        <f aca="false">B8/B$22*B$24</f>
        <v>0.578469355350905</v>
      </c>
      <c r="D8" s="57" t="s">
        <v>434</v>
      </c>
      <c r="E8" s="59" t="n">
        <f aca="false">IFERROR(INDEX(Correspondance!$D$2:$D$3000,MATCH(A8,Correspondance!$A$2:$A$3000,0)),0)</f>
        <v>6.5</v>
      </c>
      <c r="F8" s="60" t="n">
        <f aca="false">C8*E8</f>
        <v>3.76005080978088</v>
      </c>
      <c r="G8" s="61"/>
      <c r="I8" s="63"/>
    </row>
    <row r="9" customFormat="false" ht="15.75" hidden="false" customHeight="false" outlineLevel="0" collapsed="false">
      <c r="A9" s="57" t="s">
        <v>1996</v>
      </c>
      <c r="B9" s="57" t="n">
        <v>0.736</v>
      </c>
      <c r="C9" s="58" t="n">
        <f aca="false">B9/B$22*B$24</f>
        <v>1.15693871070181</v>
      </c>
      <c r="D9" s="57" t="s">
        <v>434</v>
      </c>
      <c r="E9" s="59" t="n">
        <f aca="false">IFERROR(INDEX(Correspondance!$D$2:$D$3000,MATCH(A9,Correspondance!$A$2:$A$3000,0)),0)</f>
        <v>5.6</v>
      </c>
      <c r="F9" s="60" t="n">
        <f aca="false">C9*E9</f>
        <v>6.47885677993014</v>
      </c>
      <c r="G9" s="61"/>
      <c r="I9" s="63"/>
    </row>
    <row r="10" customFormat="false" ht="15.75" hidden="false" customHeight="false" outlineLevel="0" collapsed="false">
      <c r="A10" s="57" t="s">
        <v>1898</v>
      </c>
      <c r="B10" s="57" t="n">
        <v>0.736</v>
      </c>
      <c r="C10" s="58" t="n">
        <f aca="false">B10/B$22*B$24</f>
        <v>1.15693871070181</v>
      </c>
      <c r="D10" s="57" t="s">
        <v>434</v>
      </c>
      <c r="E10" s="59" t="n">
        <f aca="false">IFERROR(INDEX(Correspondance!$D$2:$D$3000,MATCH(A10,Correspondance!$A$2:$A$3000,0)),0)</f>
        <v>5.5</v>
      </c>
      <c r="F10" s="60" t="n">
        <f aca="false">C10*E10</f>
        <v>6.36316290885996</v>
      </c>
      <c r="G10" s="61"/>
      <c r="I10" s="63"/>
    </row>
    <row r="11" customFormat="false" ht="15.75" hidden="false" customHeight="false" outlineLevel="0" collapsed="false">
      <c r="A11" s="57" t="s">
        <v>1919</v>
      </c>
      <c r="B11" s="57" t="n">
        <v>0.022</v>
      </c>
      <c r="C11" s="58" t="n">
        <f aca="false">B11/B$22*B$24</f>
        <v>0.0345824071133693</v>
      </c>
      <c r="D11" s="57" t="s">
        <v>434</v>
      </c>
      <c r="E11" s="59" t="n">
        <f aca="false">IFERROR(INDEX(Correspondance!$D$2:$D$3000,MATCH(A11,Correspondance!$A$2:$A$3000,0)),0)</f>
        <v>2</v>
      </c>
      <c r="F11" s="60" t="n">
        <f aca="false">C11*E11</f>
        <v>0.0691648142267387</v>
      </c>
      <c r="G11" s="61"/>
      <c r="I11" s="63"/>
    </row>
    <row r="12" customFormat="false" ht="18.75" hidden="false" customHeight="true" outlineLevel="0" collapsed="false">
      <c r="A12" s="57" t="s">
        <v>1814</v>
      </c>
      <c r="B12" s="64"/>
      <c r="C12" s="58" t="n">
        <f aca="false">B12/B$22*B$24</f>
        <v>0</v>
      </c>
      <c r="D12" s="57" t="s">
        <v>434</v>
      </c>
      <c r="E12" s="59" t="n">
        <f aca="false">IFERROR(INDEX(Correspondance!$D$2:$D$3000,MATCH(A12,Correspondance!$A$2:$A$3000,0)),0)</f>
        <v>18</v>
      </c>
      <c r="F12" s="60" t="n">
        <f aca="false">C12*E12</f>
        <v>0</v>
      </c>
      <c r="G12" s="61"/>
      <c r="I12" s="63"/>
    </row>
    <row r="13" customFormat="false" ht="18.75" hidden="false" customHeight="true" outlineLevel="0" collapsed="false">
      <c r="A13" s="57" t="s">
        <v>1777</v>
      </c>
      <c r="B13" s="64"/>
      <c r="C13" s="58" t="n">
        <f aca="false">B13/B$22*B$24</f>
        <v>0</v>
      </c>
      <c r="D13" s="57" t="s">
        <v>434</v>
      </c>
      <c r="E13" s="59" t="n">
        <f aca="false">IFERROR(INDEX(Correspondance!$D$2:$D$3000,MATCH(A13,Correspondance!$A$2:$A$3000,0)),0)</f>
        <v>8</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126.03338202604</v>
      </c>
      <c r="G19" s="61"/>
      <c r="I19" s="63"/>
    </row>
    <row r="20" customFormat="false" ht="18.75" hidden="false" customHeight="true" outlineLevel="0" collapsed="false">
      <c r="A20" s="68" t="s">
        <v>2628</v>
      </c>
      <c r="B20" s="69" t="n">
        <f aca="false">F19/B24</f>
        <v>1.14575801841855</v>
      </c>
      <c r="C20" s="70"/>
      <c r="G20" s="61"/>
      <c r="I20" s="63"/>
    </row>
    <row r="21" customFormat="false" ht="15.75" hidden="false" customHeight="false" outlineLevel="0" collapsed="false">
      <c r="A21" s="71" t="s">
        <v>2629</v>
      </c>
      <c r="B21" s="71" t="n">
        <f aca="false">SUM(B3:B18)</f>
        <v>12.596</v>
      </c>
      <c r="C21" s="66"/>
      <c r="G21" s="61"/>
      <c r="I21" s="63"/>
    </row>
    <row r="22" customFormat="false" ht="15.75" hidden="false" customHeight="false" outlineLevel="0" collapsed="false">
      <c r="A22" s="0" t="s">
        <v>2630</v>
      </c>
      <c r="B22" s="72" t="n">
        <f aca="false">B21/B23</f>
        <v>69.9777777777778</v>
      </c>
      <c r="C22" s="66"/>
      <c r="G22" s="61"/>
      <c r="I22" s="63"/>
    </row>
    <row r="23" customFormat="false" ht="15.75" hidden="false" customHeight="false" outlineLevel="0" collapsed="false">
      <c r="A23" s="0" t="s">
        <v>2631</v>
      </c>
      <c r="B23" s="0" t="n">
        <v>0.18</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127</v>
      </c>
      <c r="B1" s="50"/>
      <c r="C1" s="50"/>
      <c r="D1" s="50"/>
      <c r="E1" s="51" t="s">
        <v>2619</v>
      </c>
      <c r="F1" s="51"/>
      <c r="G1" s="52" t="s">
        <v>2780</v>
      </c>
    </row>
    <row r="2" customFormat="false" ht="24.75" hidden="false" customHeight="true" outlineLevel="0" collapsed="false">
      <c r="A2" s="50"/>
      <c r="B2" s="50"/>
      <c r="C2" s="50"/>
      <c r="D2" s="50"/>
      <c r="E2" s="53" t="s">
        <v>2717</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1683</v>
      </c>
      <c r="B4" s="57" t="n">
        <v>6.51</v>
      </c>
      <c r="C4" s="58" t="n">
        <f aca="false">B4/B$22*B$24</f>
        <v>10.2331325916097</v>
      </c>
      <c r="D4" s="57" t="s">
        <v>434</v>
      </c>
      <c r="E4" s="59" t="n">
        <f aca="false">IFERROR(INDEX(Correspondance!$D$2:$D$3000,MATCH(A4,Correspondance!$A$2:$A$3000,0)),0)</f>
        <v>8</v>
      </c>
      <c r="F4" s="60" t="n">
        <f aca="false">C4*E4</f>
        <v>81.8650607328774</v>
      </c>
      <c r="G4" s="61" t="s">
        <v>2781</v>
      </c>
    </row>
    <row r="5" customFormat="false" ht="15.75" hidden="false" customHeight="false" outlineLevel="0" collapsed="false">
      <c r="A5" s="57" t="s">
        <v>1675</v>
      </c>
      <c r="B5" s="57" t="n">
        <v>0.065</v>
      </c>
      <c r="C5" s="58" t="n">
        <f aca="false">B5/B$22*B$24</f>
        <v>0.102174134939267</v>
      </c>
      <c r="D5" s="57" t="s">
        <v>682</v>
      </c>
      <c r="E5" s="59" t="n">
        <f aca="false">IFERROR(INDEX(Correspondance!$D$2:$D$3000,MATCH(A5,Correspondance!$A$2:$A$3000,0)),0)</f>
        <v>2.2</v>
      </c>
      <c r="F5" s="60" t="n">
        <f aca="false">C5*E5</f>
        <v>0.224783096866388</v>
      </c>
      <c r="G5" s="61"/>
      <c r="I5" s="62"/>
    </row>
    <row r="6" customFormat="false" ht="15.75" hidden="false" customHeight="false" outlineLevel="0" collapsed="false">
      <c r="A6" s="57" t="s">
        <v>1001</v>
      </c>
      <c r="B6" s="57" t="n">
        <v>0.521</v>
      </c>
      <c r="C6" s="58" t="n">
        <f aca="false">B6/B$22*B$24</f>
        <v>0.818964989282433</v>
      </c>
      <c r="D6" s="57" t="s">
        <v>434</v>
      </c>
      <c r="E6" s="59" t="n">
        <f aca="false">IFERROR(INDEX(Correspondance!$D$2:$D$3000,MATCH(A6,Correspondance!$A$2:$A$3000,0)),0)</f>
        <v>1.8</v>
      </c>
      <c r="F6" s="60" t="n">
        <f aca="false">C6*E6</f>
        <v>1.47413698070838</v>
      </c>
      <c r="G6" s="61"/>
      <c r="I6" s="63"/>
    </row>
    <row r="7" customFormat="false" ht="15.75" hidden="false" customHeight="false" outlineLevel="0" collapsed="false">
      <c r="A7" s="57" t="s">
        <v>917</v>
      </c>
      <c r="B7" s="57" t="n">
        <v>0.326</v>
      </c>
      <c r="C7" s="58" t="n">
        <f aca="false">B7/B$22*B$24</f>
        <v>0.512442584464632</v>
      </c>
      <c r="D7" s="57" t="s">
        <v>434</v>
      </c>
      <c r="E7" s="59" t="n">
        <f aca="false">IFERROR(INDEX(Correspondance!$D$2:$D$3000,MATCH(A7,Correspondance!$A$2:$A$3000,0)),0)</f>
        <v>1.8</v>
      </c>
      <c r="F7" s="60" t="n">
        <f aca="false">C7*E7</f>
        <v>0.922396652036338</v>
      </c>
      <c r="G7" s="61"/>
      <c r="I7" s="63"/>
    </row>
    <row r="8" customFormat="false" ht="15.75" hidden="false" customHeight="false" outlineLevel="0" collapsed="false">
      <c r="A8" s="57" t="s">
        <v>1708</v>
      </c>
      <c r="B8" s="57" t="n">
        <v>0.326</v>
      </c>
      <c r="C8" s="58" t="n">
        <f aca="false">B8/B$22*B$24</f>
        <v>0.512442584464632</v>
      </c>
      <c r="D8" s="57" t="s">
        <v>682</v>
      </c>
      <c r="E8" s="59" t="n">
        <f aca="false">IFERROR(INDEX(Correspondance!$D$2:$D$3000,MATCH(A8,Correspondance!$A$2:$A$3000,0)),0)</f>
        <v>8</v>
      </c>
      <c r="F8" s="60" t="n">
        <f aca="false">C8*E8</f>
        <v>4.09954067571706</v>
      </c>
      <c r="G8" s="61"/>
      <c r="I8" s="63"/>
    </row>
    <row r="9" customFormat="false" ht="15.75" hidden="false" customHeight="false" outlineLevel="0" collapsed="false">
      <c r="A9" s="57" t="s">
        <v>1973</v>
      </c>
      <c r="B9" s="57" t="n">
        <v>0.326</v>
      </c>
      <c r="C9" s="58" t="n">
        <f aca="false">B9/B$22*B$24</f>
        <v>0.512442584464632</v>
      </c>
      <c r="D9" s="57" t="s">
        <v>682</v>
      </c>
      <c r="E9" s="59" t="n">
        <f aca="false">IFERROR(INDEX(Correspondance!$D$2:$D$3000,MATCH(A9,Correspondance!$A$2:$A$3000,0)),0)</f>
        <v>2</v>
      </c>
      <c r="F9" s="60" t="n">
        <f aca="false">C9*E9</f>
        <v>1.02488516892926</v>
      </c>
      <c r="G9" s="61"/>
      <c r="I9" s="63"/>
    </row>
    <row r="10" customFormat="false" ht="15.75" hidden="false" customHeight="false" outlineLevel="0" collapsed="false">
      <c r="A10" s="57" t="s">
        <v>1459</v>
      </c>
      <c r="B10" s="57" t="n">
        <v>1.3</v>
      </c>
      <c r="C10" s="58" t="n">
        <f aca="false">B10/B$22*B$24</f>
        <v>2.04348269878534</v>
      </c>
      <c r="D10" s="57" t="s">
        <v>682</v>
      </c>
      <c r="E10" s="59" t="n">
        <f aca="false">IFERROR(INDEX(Correspondance!$D$2:$D$3000,MATCH(A10,Correspondance!$A$2:$A$3000,0)),0)</f>
        <v>0</v>
      </c>
      <c r="F10" s="60" t="n">
        <f aca="false">C10*E10</f>
        <v>0</v>
      </c>
      <c r="G10" s="61"/>
      <c r="I10" s="63"/>
    </row>
    <row r="11" customFormat="false" ht="15.75" hidden="false" customHeight="false" outlineLevel="0" collapsed="false">
      <c r="A11" s="57" t="s">
        <v>1631</v>
      </c>
      <c r="B11" s="57" t="n">
        <v>0.098</v>
      </c>
      <c r="C11" s="58" t="n">
        <f aca="false">B11/B$22*B$24</f>
        <v>0.154047157293049</v>
      </c>
      <c r="D11" s="57" t="s">
        <v>434</v>
      </c>
      <c r="E11" s="59" t="n">
        <f aca="false">IFERROR(INDEX(Correspondance!$D$2:$D$3000,MATCH(A11,Correspondance!$A$2:$A$3000,0)),0)</f>
        <v>12</v>
      </c>
      <c r="F11" s="60" t="n">
        <f aca="false">C11*E11</f>
        <v>1.84856588751659</v>
      </c>
      <c r="G11" s="61"/>
      <c r="I11" s="63"/>
    </row>
    <row r="12" customFormat="false" ht="18.75" hidden="false" customHeight="true" outlineLevel="0" collapsed="false">
      <c r="A12" s="57" t="s">
        <v>1197</v>
      </c>
      <c r="B12" s="64" t="n">
        <v>0.065</v>
      </c>
      <c r="C12" s="58" t="n">
        <f aca="false">B12/B$22*B$24</f>
        <v>0.102174134939267</v>
      </c>
      <c r="D12" s="57" t="s">
        <v>434</v>
      </c>
      <c r="E12" s="59" t="n">
        <f aca="false">IFERROR(INDEX(Correspondance!$D$2:$D$3000,MATCH(A12,Correspondance!$A$2:$A$3000,0)),0)</f>
        <v>2.6</v>
      </c>
      <c r="F12" s="60" t="n">
        <f aca="false">C12*E12</f>
        <v>0.265652750842095</v>
      </c>
      <c r="G12" s="61"/>
      <c r="I12" s="63"/>
    </row>
    <row r="13" customFormat="false" ht="18.75" hidden="false" customHeight="true" outlineLevel="0" collapsed="false">
      <c r="A13" s="57" t="s">
        <v>1137</v>
      </c>
      <c r="B13" s="64" t="n">
        <v>0.13</v>
      </c>
      <c r="C13" s="58" t="n">
        <f aca="false">B13/B$22*B$24</f>
        <v>0.204348269878534</v>
      </c>
      <c r="D13" s="57" t="s">
        <v>434</v>
      </c>
      <c r="E13" s="59" t="n">
        <f aca="false">IFERROR(INDEX(Correspondance!$D$2:$D$3000,MATCH(A13,Correspondance!$A$2:$A$3000,0)),0)</f>
        <v>7.5</v>
      </c>
      <c r="F13" s="60" t="n">
        <f aca="false">C13*E13</f>
        <v>1.53261202408901</v>
      </c>
      <c r="G13" s="61"/>
      <c r="I13" s="63"/>
    </row>
    <row r="14" customFormat="false" ht="15.75" hidden="false" customHeight="false" outlineLevel="0" collapsed="false">
      <c r="A14" s="57" t="s">
        <v>1084</v>
      </c>
      <c r="B14" s="57" t="n">
        <v>0.13</v>
      </c>
      <c r="C14" s="58" t="n">
        <f aca="false">B14/B$22*B$24</f>
        <v>0.204348269878534</v>
      </c>
      <c r="D14" s="57" t="s">
        <v>434</v>
      </c>
      <c r="E14" s="59" t="n">
        <f aca="false">IFERROR(INDEX(Correspondance!$D$2:$D$3000,MATCH(A14,Correspondance!$A$2:$A$3000,0)),0)</f>
        <v>2.2</v>
      </c>
      <c r="F14" s="60" t="n">
        <f aca="false">C14*E14</f>
        <v>0.449566193732775</v>
      </c>
      <c r="G14" s="61"/>
      <c r="I14" s="63"/>
    </row>
    <row r="15" customFormat="false" ht="15.75" hidden="false" customHeight="false" outlineLevel="0" collapsed="false">
      <c r="A15" s="57" t="s">
        <v>1552</v>
      </c>
      <c r="B15" s="57"/>
      <c r="C15" s="58" t="n">
        <f aca="false">B15/B$22*B$24</f>
        <v>0</v>
      </c>
      <c r="D15" s="57" t="s">
        <v>434</v>
      </c>
      <c r="E15" s="59" t="n">
        <f aca="false">IFERROR(INDEX(Correspondance!$D$2:$D$3000,MATCH(A15,Correspondance!$A$2:$A$3000,0)),0)</f>
        <v>25</v>
      </c>
      <c r="F15" s="60" t="n">
        <f aca="false">C15*E15</f>
        <v>0</v>
      </c>
      <c r="G15" s="61"/>
      <c r="I15" s="63"/>
    </row>
    <row r="16" customFormat="false" ht="15.75" hidden="false" customHeight="false" outlineLevel="0" collapsed="false">
      <c r="A16" s="57" t="s">
        <v>1814</v>
      </c>
      <c r="B16" s="57"/>
      <c r="C16" s="58" t="n">
        <f aca="false">B16/B$22*B$24</f>
        <v>0</v>
      </c>
      <c r="D16" s="57" t="s">
        <v>434</v>
      </c>
      <c r="E16" s="59" t="n">
        <f aca="false">IFERROR(INDEX(Correspondance!$D$2:$D$3000,MATCH(A16,Correspondance!$A$2:$A$3000,0)),0)</f>
        <v>18</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93.7072001633153</v>
      </c>
      <c r="G19" s="61"/>
      <c r="I19" s="63"/>
    </row>
    <row r="20" customFormat="false" ht="18.75" hidden="false" customHeight="true" outlineLevel="0" collapsed="false">
      <c r="A20" s="68" t="s">
        <v>2628</v>
      </c>
      <c r="B20" s="69" t="n">
        <f aca="false">F19/B24</f>
        <v>0.851883637848321</v>
      </c>
      <c r="C20" s="70"/>
      <c r="G20" s="61"/>
      <c r="I20" s="63"/>
    </row>
    <row r="21" customFormat="false" ht="15.75" hidden="false" customHeight="false" outlineLevel="0" collapsed="false">
      <c r="A21" s="71" t="s">
        <v>2629</v>
      </c>
      <c r="B21" s="71" t="n">
        <f aca="false">SUM(B3:B18)</f>
        <v>9.797</v>
      </c>
      <c r="C21" s="66"/>
      <c r="G21" s="61"/>
      <c r="I21" s="63"/>
    </row>
    <row r="22" customFormat="false" ht="15.75" hidden="false" customHeight="false" outlineLevel="0" collapsed="false">
      <c r="A22" s="0" t="s">
        <v>2630</v>
      </c>
      <c r="B22" s="72" t="n">
        <f aca="false">B21/B23</f>
        <v>69.9785714285714</v>
      </c>
      <c r="C22" s="66"/>
      <c r="G22" s="61"/>
      <c r="I22" s="63"/>
    </row>
    <row r="23" customFormat="false" ht="15.75" hidden="false" customHeight="false" outlineLevel="0" collapsed="false">
      <c r="A23" s="0" t="s">
        <v>2631</v>
      </c>
      <c r="B23" s="0" t="n">
        <v>0.14</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9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128</v>
      </c>
      <c r="B1" s="50"/>
      <c r="C1" s="50"/>
      <c r="D1" s="50"/>
      <c r="E1" s="51" t="s">
        <v>2619</v>
      </c>
      <c r="F1" s="51"/>
      <c r="G1" s="52" t="s">
        <v>2782</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1582</v>
      </c>
      <c r="B4" s="57" t="n">
        <v>5.87</v>
      </c>
      <c r="C4" s="58" t="n">
        <f aca="false">B4/B$22*B$24</f>
        <v>9.22428571428571</v>
      </c>
      <c r="D4" s="57" t="s">
        <v>434</v>
      </c>
      <c r="E4" s="59" t="n">
        <f aca="false">IFERROR(INDEX(Correspondance!$D$2:$D$3000,MATCH(A4,Correspondance!$A$2:$A$3000,0)),0)</f>
        <v>6</v>
      </c>
      <c r="F4" s="60" t="n">
        <f aca="false">C4*E4</f>
        <v>55.3457142857143</v>
      </c>
      <c r="G4" s="61" t="s">
        <v>2783</v>
      </c>
    </row>
    <row r="5" customFormat="false" ht="15.75" hidden="false" customHeight="false" outlineLevel="0" collapsed="false">
      <c r="A5" s="57" t="s">
        <v>1677</v>
      </c>
      <c r="B5" s="57" t="n">
        <v>2.93</v>
      </c>
      <c r="C5" s="58" t="n">
        <f aca="false">B5/B$22*B$24</f>
        <v>4.60428571428571</v>
      </c>
      <c r="D5" s="57" t="s">
        <v>434</v>
      </c>
      <c r="E5" s="59" t="n">
        <f aca="false">IFERROR(INDEX(Correspondance!$D$2:$D$3000,MATCH(A5,Correspondance!$A$2:$A$3000,0)),0)</f>
        <v>9.5</v>
      </c>
      <c r="F5" s="60" t="n">
        <f aca="false">C5*E5</f>
        <v>43.7407142857143</v>
      </c>
      <c r="G5" s="61"/>
      <c r="I5" s="62"/>
    </row>
    <row r="6" customFormat="false" ht="15.75" hidden="false" customHeight="false" outlineLevel="0" collapsed="false">
      <c r="A6" s="57" t="s">
        <v>1530</v>
      </c>
      <c r="B6" s="57" t="n">
        <v>2.2</v>
      </c>
      <c r="C6" s="58" t="n">
        <f aca="false">B6/B$22*B$24</f>
        <v>3.45714285714286</v>
      </c>
      <c r="D6" s="57" t="s">
        <v>434</v>
      </c>
      <c r="E6" s="59" t="n">
        <f aca="false">IFERROR(INDEX(Correspondance!$D$2:$D$3000,MATCH(A6,Correspondance!$A$2:$A$3000,0)),0)</f>
        <v>3.8</v>
      </c>
      <c r="F6" s="60" t="n">
        <f aca="false">C6*E6</f>
        <v>13.1371428571429</v>
      </c>
      <c r="G6" s="61"/>
      <c r="I6" s="63"/>
    </row>
    <row r="7" customFormat="false" ht="15.75" hidden="false" customHeight="false" outlineLevel="0" collapsed="false">
      <c r="A7" s="57" t="s">
        <v>947</v>
      </c>
      <c r="B7" s="57" t="n">
        <v>0.22</v>
      </c>
      <c r="C7" s="58" t="n">
        <f aca="false">B7/B$22*B$24</f>
        <v>0.345714285714286</v>
      </c>
      <c r="D7" s="57" t="s">
        <v>434</v>
      </c>
      <c r="E7" s="59" t="n">
        <f aca="false">IFERROR(INDEX(Correspondance!$D$2:$D$3000,MATCH(A7,Correspondance!$A$2:$A$3000,0)),0)</f>
        <v>4.5</v>
      </c>
      <c r="F7" s="60" t="n">
        <f aca="false">C7*E7</f>
        <v>1.55571428571429</v>
      </c>
      <c r="G7" s="61"/>
      <c r="I7" s="63"/>
    </row>
    <row r="8" customFormat="false" ht="15.75" hidden="false" customHeight="false" outlineLevel="0" collapsed="false">
      <c r="A8" s="57" t="s">
        <v>1693</v>
      </c>
      <c r="B8" s="57" t="n">
        <v>3.67</v>
      </c>
      <c r="C8" s="58" t="n">
        <f aca="false">B8/B$22*B$24</f>
        <v>5.76714285714286</v>
      </c>
      <c r="D8" s="57" t="s">
        <v>682</v>
      </c>
      <c r="E8" s="59" t="n">
        <f aca="false">IFERROR(INDEX(Correspondance!$D$2:$D$3000,MATCH(A8,Correspondance!$A$2:$A$3000,0)),0)</f>
        <v>2.4</v>
      </c>
      <c r="F8" s="60" t="n">
        <f aca="false">C8*E8</f>
        <v>13.8411428571429</v>
      </c>
      <c r="G8" s="61"/>
      <c r="I8" s="63"/>
    </row>
    <row r="9" customFormat="false" ht="15.75" hidden="false" customHeight="false" outlineLevel="0" collapsed="false">
      <c r="A9" s="57" t="s">
        <v>1616</v>
      </c>
      <c r="B9" s="57" t="n">
        <v>0.293</v>
      </c>
      <c r="C9" s="58" t="n">
        <f aca="false">B9/B$22*B$24</f>
        <v>0.460428571428571</v>
      </c>
      <c r="D9" s="57" t="s">
        <v>434</v>
      </c>
      <c r="E9" s="59" t="n">
        <f aca="false">IFERROR(INDEX(Correspondance!$D$2:$D$3000,MATCH(A9,Correspondance!$A$2:$A$3000,0)),0)</f>
        <v>0.85</v>
      </c>
      <c r="F9" s="60" t="n">
        <f aca="false">C9*E9</f>
        <v>0.391364285714286</v>
      </c>
      <c r="G9" s="61"/>
      <c r="I9" s="63"/>
    </row>
    <row r="10" customFormat="false" ht="15.75" hidden="false" customHeight="false" outlineLevel="0" collapsed="false">
      <c r="A10" s="57" t="s">
        <v>1491</v>
      </c>
      <c r="B10" s="57" t="n">
        <v>0.293</v>
      </c>
      <c r="C10" s="58" t="n">
        <f aca="false">B10/B$22*B$24</f>
        <v>0.460428571428571</v>
      </c>
      <c r="D10" s="57" t="s">
        <v>434</v>
      </c>
      <c r="E10" s="59" t="n">
        <f aca="false">IFERROR(INDEX(Correspondance!$D$2:$D$3000,MATCH(A10,Correspondance!$A$2:$A$3000,0)),0)</f>
        <v>9</v>
      </c>
      <c r="F10" s="60" t="n">
        <f aca="false">C10*E10</f>
        <v>4.14385714285714</v>
      </c>
      <c r="G10" s="61"/>
      <c r="I10" s="63"/>
    </row>
    <row r="11" customFormat="false" ht="15.75" hidden="false" customHeight="false" outlineLevel="0" collapsed="false">
      <c r="A11" s="57" t="s">
        <v>1576</v>
      </c>
      <c r="B11" s="57" t="n">
        <v>1.1</v>
      </c>
      <c r="C11" s="58" t="n">
        <f aca="false">B11/B$22*B$24</f>
        <v>1.72857142857143</v>
      </c>
      <c r="D11" s="57" t="s">
        <v>434</v>
      </c>
      <c r="E11" s="59" t="n">
        <f aca="false">IFERROR(INDEX(Correspondance!$D$2:$D$3000,MATCH(A11,Correspondance!$A$2:$A$3000,0)),0)</f>
        <v>5.5</v>
      </c>
      <c r="F11" s="60" t="n">
        <f aca="false">C11*E11</f>
        <v>9.50714285714286</v>
      </c>
      <c r="G11" s="61"/>
      <c r="I11" s="63"/>
    </row>
    <row r="12" customFormat="false" ht="18.75" hidden="false" customHeight="true" outlineLevel="0" collapsed="false">
      <c r="A12" s="57" t="s">
        <v>706</v>
      </c>
      <c r="B12" s="64" t="n">
        <v>0.88</v>
      </c>
      <c r="C12" s="58" t="n">
        <f aca="false">B12/B$22*B$24</f>
        <v>1.38285714285714</v>
      </c>
      <c r="D12" s="57" t="s">
        <v>434</v>
      </c>
      <c r="E12" s="59" t="n">
        <f aca="false">IFERROR(INDEX(Correspondance!$D$2:$D$3000,MATCH(A12,Correspondance!$A$2:$A$3000,0)),0)</f>
        <v>7.5</v>
      </c>
      <c r="F12" s="60" t="n">
        <f aca="false">C12*E12</f>
        <v>10.3714285714286</v>
      </c>
      <c r="G12" s="61"/>
      <c r="I12" s="63"/>
    </row>
    <row r="13" customFormat="false" ht="18.75" hidden="false" customHeight="true" outlineLevel="0" collapsed="false">
      <c r="A13" s="57" t="s">
        <v>1919</v>
      </c>
      <c r="B13" s="64" t="n">
        <v>0.044</v>
      </c>
      <c r="C13" s="58" t="n">
        <f aca="false">B13/B$22*B$24</f>
        <v>0.0691428571428571</v>
      </c>
      <c r="D13" s="57" t="s">
        <v>434</v>
      </c>
      <c r="E13" s="59" t="n">
        <f aca="false">IFERROR(INDEX(Correspondance!$D$2:$D$3000,MATCH(A13,Correspondance!$A$2:$A$3000,0)),0)</f>
        <v>2</v>
      </c>
      <c r="F13" s="60" t="n">
        <f aca="false">C13*E13</f>
        <v>0.138285714285714</v>
      </c>
      <c r="G13" s="61"/>
      <c r="I13" s="63"/>
    </row>
    <row r="14" customFormat="false" ht="15.75" hidden="false" customHeight="false" outlineLevel="0" collapsed="false">
      <c r="A14" s="57" t="s">
        <v>1817</v>
      </c>
      <c r="B14" s="57"/>
      <c r="C14" s="58" t="n">
        <f aca="false">B14/B$22*B$24</f>
        <v>0</v>
      </c>
      <c r="D14" s="57" t="s">
        <v>434</v>
      </c>
      <c r="E14" s="59" t="n">
        <f aca="false">IFERROR(INDEX(Correspondance!$D$2:$D$3000,MATCH(A14,Correspondance!$A$2:$A$3000,0)),0)</f>
        <v>18</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152.172507142857</v>
      </c>
      <c r="G19" s="61"/>
      <c r="I19" s="63"/>
    </row>
    <row r="20" customFormat="false" ht="18.75" hidden="false" customHeight="true" outlineLevel="0" collapsed="false">
      <c r="A20" s="68" t="s">
        <v>2628</v>
      </c>
      <c r="B20" s="69" t="n">
        <f aca="false">F19/B24</f>
        <v>1.38338642857143</v>
      </c>
      <c r="C20" s="70"/>
      <c r="G20" s="61"/>
      <c r="I20" s="63"/>
    </row>
    <row r="21" customFormat="false" ht="15.75" hidden="false" customHeight="false" outlineLevel="0" collapsed="false">
      <c r="A21" s="71" t="s">
        <v>2629</v>
      </c>
      <c r="B21" s="71" t="n">
        <f aca="false">SUM(B3:B18)</f>
        <v>17.5</v>
      </c>
      <c r="C21" s="66"/>
      <c r="G21" s="61"/>
      <c r="I21" s="63"/>
    </row>
    <row r="22" customFormat="false" ht="15.75" hidden="false" customHeight="false" outlineLevel="0" collapsed="false">
      <c r="A22" s="0" t="s">
        <v>2630</v>
      </c>
      <c r="B22" s="72" t="n">
        <f aca="false">B21/B23</f>
        <v>70</v>
      </c>
      <c r="C22" s="66"/>
      <c r="G22" s="61"/>
      <c r="I22" s="63"/>
    </row>
    <row r="23" customFormat="false" ht="15.75" hidden="false" customHeight="false" outlineLevel="0" collapsed="false">
      <c r="A23" s="0" t="s">
        <v>2631</v>
      </c>
      <c r="B23" s="0" t="n">
        <v>0.25</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9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129</v>
      </c>
      <c r="B1" s="50"/>
      <c r="C1" s="50"/>
      <c r="D1" s="50"/>
      <c r="E1" s="51" t="s">
        <v>2619</v>
      </c>
      <c r="F1" s="51"/>
      <c r="G1" s="52" t="s">
        <v>2784</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1848</v>
      </c>
      <c r="B4" s="57" t="n">
        <v>6.43</v>
      </c>
      <c r="C4" s="58" t="n">
        <f aca="false">B4/B$22*B$24</f>
        <v>10.1020654801143</v>
      </c>
      <c r="D4" s="57" t="s">
        <v>434</v>
      </c>
      <c r="E4" s="59" t="n">
        <f aca="false">IFERROR(INDEX(Correspondance!$D$2:$D$3000,MATCH(A4,Correspondance!$A$2:$A$3000,0)),0)</f>
        <v>7</v>
      </c>
      <c r="F4" s="60" t="n">
        <f aca="false">C4*E4</f>
        <v>70.7144583607998</v>
      </c>
      <c r="G4" s="61" t="s">
        <v>2785</v>
      </c>
    </row>
    <row r="5" customFormat="false" ht="15.75" hidden="false" customHeight="false" outlineLevel="0" collapsed="false">
      <c r="A5" s="57" t="s">
        <v>1675</v>
      </c>
      <c r="B5" s="57" t="n">
        <v>0.064</v>
      </c>
      <c r="C5" s="58" t="n">
        <f aca="false">B5/B$22*B$24</f>
        <v>0.100549329817622</v>
      </c>
      <c r="D5" s="57" t="s">
        <v>682</v>
      </c>
      <c r="E5" s="59" t="n">
        <f aca="false">IFERROR(INDEX(Correspondance!$D$2:$D$3000,MATCH(A5,Correspondance!$A$2:$A$3000,0)),0)</f>
        <v>2.2</v>
      </c>
      <c r="F5" s="60" t="n">
        <f aca="false">C5*E5</f>
        <v>0.22120852559877</v>
      </c>
      <c r="G5" s="61"/>
      <c r="I5" s="62"/>
    </row>
    <row r="6" customFormat="false" ht="15.75" hidden="false" customHeight="false" outlineLevel="0" collapsed="false">
      <c r="A6" s="57" t="s">
        <v>1549</v>
      </c>
      <c r="B6" s="57" t="n">
        <v>1.29</v>
      </c>
      <c r="C6" s="58" t="n">
        <f aca="false">B6/B$22*B$24</f>
        <v>2.02669742913645</v>
      </c>
      <c r="D6" s="57" t="s">
        <v>434</v>
      </c>
      <c r="E6" s="59" t="n">
        <f aca="false">IFERROR(INDEX(Correspondance!$D$2:$D$3000,MATCH(A6,Correspondance!$A$2:$A$3000,0)),0)</f>
        <v>2.2</v>
      </c>
      <c r="F6" s="60" t="n">
        <f aca="false">C6*E6</f>
        <v>4.4587343441002</v>
      </c>
      <c r="G6" s="61"/>
      <c r="I6" s="63"/>
    </row>
    <row r="7" customFormat="false" ht="15.75" hidden="false" customHeight="false" outlineLevel="0" collapsed="false">
      <c r="A7" s="57" t="s">
        <v>1710</v>
      </c>
      <c r="B7" s="57" t="n">
        <v>0.965</v>
      </c>
      <c r="C7" s="58" t="n">
        <f aca="false">B7/B$22*B$24</f>
        <v>1.51609536365634</v>
      </c>
      <c r="D7" s="57" t="s">
        <v>434</v>
      </c>
      <c r="E7" s="59" t="n">
        <f aca="false">IFERROR(INDEX(Correspondance!$D$2:$D$3000,MATCH(A7,Correspondance!$A$2:$A$3000,0)),0)</f>
        <v>4.5</v>
      </c>
      <c r="F7" s="60" t="n">
        <f aca="false">C7*E7</f>
        <v>6.82242913645353</v>
      </c>
      <c r="G7" s="61"/>
      <c r="I7" s="63"/>
    </row>
    <row r="8" customFormat="false" ht="15.75" hidden="false" customHeight="false" outlineLevel="0" collapsed="false">
      <c r="A8" s="57" t="s">
        <v>1567</v>
      </c>
      <c r="B8" s="57" t="n">
        <v>0.193</v>
      </c>
      <c r="C8" s="58" t="n">
        <f aca="false">B8/B$22*B$24</f>
        <v>0.303219072731268</v>
      </c>
      <c r="D8" s="57" t="s">
        <v>434</v>
      </c>
      <c r="E8" s="59" t="n">
        <f aca="false">IFERROR(INDEX(Correspondance!$D$2:$D$3000,MATCH(A8,Correspondance!$A$2:$A$3000,0)),0)</f>
        <v>6.5</v>
      </c>
      <c r="F8" s="60" t="n">
        <f aca="false">C8*E8</f>
        <v>1.97092397275324</v>
      </c>
      <c r="G8" s="61"/>
      <c r="I8" s="63"/>
    </row>
    <row r="9" customFormat="false" ht="15.75" hidden="false" customHeight="false" outlineLevel="0" collapsed="false">
      <c r="A9" s="57" t="s">
        <v>1192</v>
      </c>
      <c r="B9" s="57" t="n">
        <v>0.064</v>
      </c>
      <c r="C9" s="58" t="n">
        <f aca="false">B9/B$22*B$24</f>
        <v>0.100549329817622</v>
      </c>
      <c r="D9" s="57" t="s">
        <v>434</v>
      </c>
      <c r="E9" s="59" t="n">
        <f aca="false">IFERROR(INDEX(Correspondance!$D$2:$D$3000,MATCH(A9,Correspondance!$A$2:$A$3000,0)),0)</f>
        <v>8</v>
      </c>
      <c r="F9" s="60" t="n">
        <f aca="false">C9*E9</f>
        <v>0.80439463854098</v>
      </c>
      <c r="G9" s="61"/>
      <c r="I9" s="63"/>
    </row>
    <row r="10" customFormat="false" ht="15.75" hidden="false" customHeight="false" outlineLevel="0" collapsed="false">
      <c r="A10" s="57" t="s">
        <v>947</v>
      </c>
      <c r="B10" s="57" t="n">
        <v>0.064</v>
      </c>
      <c r="C10" s="58" t="n">
        <f aca="false">B10/B$22*B$24</f>
        <v>0.100549329817622</v>
      </c>
      <c r="D10" s="57" t="s">
        <v>434</v>
      </c>
      <c r="E10" s="59" t="n">
        <f aca="false">IFERROR(INDEX(Correspondance!$D$2:$D$3000,MATCH(A10,Correspondance!$A$2:$A$3000,0)),0)</f>
        <v>4.5</v>
      </c>
      <c r="F10" s="60" t="n">
        <f aca="false">C10*E10</f>
        <v>0.452471984179301</v>
      </c>
      <c r="G10" s="61"/>
      <c r="I10" s="63"/>
    </row>
    <row r="11" customFormat="false" ht="15.75" hidden="false" customHeight="false" outlineLevel="0" collapsed="false">
      <c r="A11" s="57" t="s">
        <v>1007</v>
      </c>
      <c r="B11" s="57" t="n">
        <v>0.032</v>
      </c>
      <c r="C11" s="58" t="n">
        <f aca="false">B11/B$22*B$24</f>
        <v>0.0502746649088112</v>
      </c>
      <c r="D11" s="57" t="s">
        <v>434</v>
      </c>
      <c r="E11" s="59" t="n">
        <f aca="false">IFERROR(INDEX(Correspondance!$D$2:$D$3000,MATCH(A11,Correspondance!$A$2:$A$3000,0)),0)</f>
        <v>8</v>
      </c>
      <c r="F11" s="60" t="n">
        <f aca="false">C11*E11</f>
        <v>0.40219731927049</v>
      </c>
      <c r="G11" s="61"/>
      <c r="I11" s="63"/>
    </row>
    <row r="12" customFormat="false" ht="18.75" hidden="false" customHeight="true" outlineLevel="0" collapsed="false">
      <c r="A12" s="57" t="s">
        <v>1814</v>
      </c>
      <c r="B12" s="64"/>
      <c r="C12" s="58" t="n">
        <f aca="false">B12/B$22*B$24</f>
        <v>0</v>
      </c>
      <c r="D12" s="57" t="s">
        <v>434</v>
      </c>
      <c r="E12" s="59" t="n">
        <f aca="false">IFERROR(INDEX(Correspondance!$D$2:$D$3000,MATCH(A12,Correspondance!$A$2:$A$3000,0)),0)</f>
        <v>18</v>
      </c>
      <c r="F12" s="60" t="n">
        <f aca="false">C12*E12</f>
        <v>0</v>
      </c>
      <c r="G12" s="61"/>
      <c r="I12" s="63"/>
    </row>
    <row r="13" customFormat="false" ht="18.75" hidden="false" customHeight="true" outlineLevel="0" collapsed="false">
      <c r="A13" s="57"/>
      <c r="B13" s="64"/>
      <c r="C13" s="58" t="n">
        <f aca="false">B13/B$22*B$24</f>
        <v>0</v>
      </c>
      <c r="D13" s="57"/>
      <c r="E13" s="65" t="n">
        <f aca="false">IFERROR(INDEX(Correspondance!$D$2:$D$3000,MATCH(A13,Correspondance!$A$2:$A$3000,0)),0)</f>
        <v>0</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85.8468182816963</v>
      </c>
      <c r="G19" s="61"/>
      <c r="I19" s="63"/>
    </row>
    <row r="20" customFormat="false" ht="18.75" hidden="false" customHeight="true" outlineLevel="0" collapsed="false">
      <c r="A20" s="68" t="s">
        <v>2628</v>
      </c>
      <c r="B20" s="69" t="n">
        <f aca="false">F19/B24</f>
        <v>0.780425620742694</v>
      </c>
      <c r="C20" s="70"/>
      <c r="G20" s="61"/>
      <c r="I20" s="63"/>
    </row>
    <row r="21" customFormat="false" ht="15.75" hidden="false" customHeight="false" outlineLevel="0" collapsed="false">
      <c r="A21" s="71" t="s">
        <v>2629</v>
      </c>
      <c r="B21" s="71" t="n">
        <f aca="false">SUM(B3:B18)</f>
        <v>9.102</v>
      </c>
      <c r="C21" s="66"/>
      <c r="G21" s="61"/>
      <c r="I21" s="63"/>
    </row>
    <row r="22" customFormat="false" ht="15.75" hidden="false" customHeight="false" outlineLevel="0" collapsed="false">
      <c r="A22" s="0" t="s">
        <v>2630</v>
      </c>
      <c r="B22" s="72" t="n">
        <f aca="false">B21/B23</f>
        <v>70.0153846153846</v>
      </c>
      <c r="C22" s="66"/>
      <c r="G22" s="61"/>
      <c r="I22" s="63"/>
    </row>
    <row r="23" customFormat="false" ht="15.75" hidden="false" customHeight="false" outlineLevel="0" collapsed="false">
      <c r="A23" s="0" t="s">
        <v>2631</v>
      </c>
      <c r="B23" s="0" t="n">
        <v>0.13</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131</v>
      </c>
      <c r="B1" s="50"/>
      <c r="C1" s="50"/>
      <c r="D1" s="50"/>
      <c r="E1" s="51" t="s">
        <v>2619</v>
      </c>
      <c r="F1" s="51"/>
      <c r="G1" s="52" t="s">
        <v>2786</v>
      </c>
    </row>
    <row r="2" customFormat="false" ht="24.75" hidden="false" customHeight="true" outlineLevel="0" collapsed="false">
      <c r="A2" s="50"/>
      <c r="B2" s="50"/>
      <c r="C2" s="50"/>
      <c r="D2" s="50"/>
      <c r="E2" s="53" t="s">
        <v>2692</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1610</v>
      </c>
      <c r="B4" s="57" t="n">
        <v>6.57</v>
      </c>
      <c r="C4" s="58" t="n">
        <f aca="false">B4/B$22*B$24</f>
        <v>10.3282202743902</v>
      </c>
      <c r="D4" s="57" t="s">
        <v>434</v>
      </c>
      <c r="E4" s="59" t="n">
        <f aca="false">IFERROR(INDEX(Correspondance!$D$2:$D$3000,MATCH(A4,Correspondance!$A$2:$A$3000,0)),0)</f>
        <v>18</v>
      </c>
      <c r="F4" s="60" t="n">
        <f aca="false">C4*E4</f>
        <v>185.907964939024</v>
      </c>
      <c r="G4" s="61" t="s">
        <v>2787</v>
      </c>
    </row>
    <row r="5" customFormat="false" ht="15.75" hidden="false" customHeight="false" outlineLevel="0" collapsed="false">
      <c r="A5" s="57" t="s">
        <v>1675</v>
      </c>
      <c r="B5" s="57" t="n">
        <v>0.131</v>
      </c>
      <c r="C5" s="58" t="n">
        <f aca="false">B5/B$22*B$24</f>
        <v>0.205935594512195</v>
      </c>
      <c r="D5" s="57" t="s">
        <v>682</v>
      </c>
      <c r="E5" s="59" t="n">
        <f aca="false">IFERROR(INDEX(Correspondance!$D$2:$D$3000,MATCH(A5,Correspondance!$A$2:$A$3000,0)),0)</f>
        <v>2.2</v>
      </c>
      <c r="F5" s="60" t="n">
        <f aca="false">C5*E5</f>
        <v>0.453058307926829</v>
      </c>
      <c r="G5" s="61"/>
      <c r="I5" s="62"/>
    </row>
    <row r="6" customFormat="false" ht="15.75" hidden="false" customHeight="false" outlineLevel="0" collapsed="false">
      <c r="A6" s="57" t="s">
        <v>1491</v>
      </c>
      <c r="B6" s="57" t="n">
        <v>0.131</v>
      </c>
      <c r="C6" s="58" t="n">
        <f aca="false">B6/B$22*B$24</f>
        <v>0.205935594512195</v>
      </c>
      <c r="D6" s="57" t="s">
        <v>434</v>
      </c>
      <c r="E6" s="59" t="n">
        <f aca="false">IFERROR(INDEX(Correspondance!$D$2:$D$3000,MATCH(A6,Correspondance!$A$2:$A$3000,0)),0)</f>
        <v>9</v>
      </c>
      <c r="F6" s="60" t="n">
        <f aca="false">C6*E6</f>
        <v>1.85342035060976</v>
      </c>
      <c r="G6" s="61"/>
      <c r="I6" s="63"/>
    </row>
    <row r="7" customFormat="false" ht="15.75" hidden="false" customHeight="false" outlineLevel="0" collapsed="false">
      <c r="A7" s="57" t="s">
        <v>1530</v>
      </c>
      <c r="B7" s="57" t="n">
        <v>1.31</v>
      </c>
      <c r="C7" s="58" t="n">
        <f aca="false">B7/B$22*B$24</f>
        <v>2.05935594512195</v>
      </c>
      <c r="D7" s="57" t="s">
        <v>434</v>
      </c>
      <c r="E7" s="59" t="n">
        <f aca="false">IFERROR(INDEX(Correspondance!$D$2:$D$3000,MATCH(A7,Correspondance!$A$2:$A$3000,0)),0)</f>
        <v>3.8</v>
      </c>
      <c r="F7" s="60" t="n">
        <f aca="false">C7*E7</f>
        <v>7.82555259146341</v>
      </c>
      <c r="G7" s="61"/>
      <c r="I7" s="63"/>
    </row>
    <row r="8" customFormat="false" ht="15.75" hidden="false" customHeight="false" outlineLevel="0" collapsed="false">
      <c r="A8" s="57" t="s">
        <v>947</v>
      </c>
      <c r="B8" s="57" t="n">
        <v>0.197</v>
      </c>
      <c r="C8" s="58" t="n">
        <f aca="false">B8/B$22*B$24</f>
        <v>0.309689405487805</v>
      </c>
      <c r="D8" s="57" t="s">
        <v>434</v>
      </c>
      <c r="E8" s="59" t="n">
        <f aca="false">IFERROR(INDEX(Correspondance!$D$2:$D$3000,MATCH(A8,Correspondance!$A$2:$A$3000,0)),0)</f>
        <v>4.5</v>
      </c>
      <c r="F8" s="60" t="n">
        <f aca="false">C8*E8</f>
        <v>1.39360232469512</v>
      </c>
      <c r="G8" s="61"/>
      <c r="I8" s="63"/>
    </row>
    <row r="9" customFormat="false" ht="15.75" hidden="false" customHeight="false" outlineLevel="0" collapsed="false">
      <c r="A9" s="57" t="s">
        <v>1973</v>
      </c>
      <c r="B9" s="57" t="n">
        <v>0.329</v>
      </c>
      <c r="C9" s="58" t="n">
        <f aca="false">B9/B$22*B$24</f>
        <v>0.517197027439024</v>
      </c>
      <c r="D9" s="57" t="s">
        <v>682</v>
      </c>
      <c r="E9" s="59" t="n">
        <f aca="false">IFERROR(INDEX(Correspondance!$D$2:$D$3000,MATCH(A9,Correspondance!$A$2:$A$3000,0)),0)</f>
        <v>2</v>
      </c>
      <c r="F9" s="60" t="n">
        <f aca="false">C9*E9</f>
        <v>1.03439405487805</v>
      </c>
      <c r="G9" s="61"/>
      <c r="I9" s="63"/>
    </row>
    <row r="10" customFormat="false" ht="15.75" hidden="false" customHeight="false" outlineLevel="0" collapsed="false">
      <c r="A10" s="57" t="s">
        <v>1576</v>
      </c>
      <c r="B10" s="57" t="n">
        <v>0.986</v>
      </c>
      <c r="C10" s="58" t="n">
        <f aca="false">B10/B$22*B$24</f>
        <v>1.55001905487805</v>
      </c>
      <c r="D10" s="57" t="s">
        <v>434</v>
      </c>
      <c r="E10" s="59" t="n">
        <f aca="false">IFERROR(INDEX(Correspondance!$D$2:$D$3000,MATCH(A10,Correspondance!$A$2:$A$3000,0)),0)</f>
        <v>5.5</v>
      </c>
      <c r="F10" s="60" t="n">
        <f aca="false">C10*E10</f>
        <v>8.52510480182927</v>
      </c>
      <c r="G10" s="61"/>
      <c r="I10" s="63"/>
    </row>
    <row r="11" customFormat="false" ht="15.75" hidden="false" customHeight="false" outlineLevel="0" collapsed="false">
      <c r="A11" s="57" t="s">
        <v>1098</v>
      </c>
      <c r="B11" s="57" t="n">
        <v>0.066</v>
      </c>
      <c r="C11" s="58" t="n">
        <f aca="false">B11/B$22*B$24</f>
        <v>0.10375381097561</v>
      </c>
      <c r="D11" s="57" t="s">
        <v>434</v>
      </c>
      <c r="E11" s="59" t="n">
        <f aca="false">IFERROR(INDEX(Correspondance!$D$2:$D$3000,MATCH(A11,Correspondance!$A$2:$A$3000,0)),0)</f>
        <v>12</v>
      </c>
      <c r="F11" s="60" t="n">
        <f aca="false">C11*E11</f>
        <v>1.24504573170732</v>
      </c>
      <c r="G11" s="61"/>
      <c r="I11" s="63"/>
    </row>
    <row r="12" customFormat="false" ht="18.75" hidden="false" customHeight="true" outlineLevel="0" collapsed="false">
      <c r="A12" s="57" t="s">
        <v>1459</v>
      </c>
      <c r="B12" s="64" t="n">
        <v>0.657</v>
      </c>
      <c r="C12" s="58" t="n">
        <f aca="false">B12/B$22*B$24</f>
        <v>1.03282202743902</v>
      </c>
      <c r="D12" s="57" t="s">
        <v>682</v>
      </c>
      <c r="E12" s="59" t="n">
        <f aca="false">IFERROR(INDEX(Correspondance!$D$2:$D$3000,MATCH(A12,Correspondance!$A$2:$A$3000,0)),0)</f>
        <v>0</v>
      </c>
      <c r="F12" s="60" t="n">
        <f aca="false">C12*E12</f>
        <v>0</v>
      </c>
      <c r="G12" s="61"/>
      <c r="I12" s="63"/>
    </row>
    <row r="13" customFormat="false" ht="18.75" hidden="false" customHeight="true" outlineLevel="0" collapsed="false">
      <c r="A13" s="57" t="s">
        <v>1084</v>
      </c>
      <c r="B13" s="64" t="n">
        <v>0.053</v>
      </c>
      <c r="C13" s="58" t="n">
        <f aca="false">B13/B$22*B$24</f>
        <v>0.0833174542682927</v>
      </c>
      <c r="D13" s="57" t="s">
        <v>434</v>
      </c>
      <c r="E13" s="59" t="n">
        <f aca="false">IFERROR(INDEX(Correspondance!$D$2:$D$3000,MATCH(A13,Correspondance!$A$2:$A$3000,0)),0)</f>
        <v>2.2</v>
      </c>
      <c r="F13" s="60" t="n">
        <f aca="false">C13*E13</f>
        <v>0.183298399390244</v>
      </c>
      <c r="G13" s="61"/>
      <c r="I13" s="63"/>
    </row>
    <row r="14" customFormat="false" ht="15.75" hidden="false" customHeight="false" outlineLevel="0" collapsed="false">
      <c r="A14" s="57" t="s">
        <v>1919</v>
      </c>
      <c r="B14" s="57" t="n">
        <v>0.066</v>
      </c>
      <c r="C14" s="58" t="n">
        <f aca="false">B14/B$22*B$24</f>
        <v>0.10375381097561</v>
      </c>
      <c r="D14" s="57" t="s">
        <v>434</v>
      </c>
      <c r="E14" s="59" t="n">
        <f aca="false">IFERROR(INDEX(Correspondance!$D$2:$D$3000,MATCH(A14,Correspondance!$A$2:$A$3000,0)),0)</f>
        <v>2</v>
      </c>
      <c r="F14" s="60" t="n">
        <f aca="false">C14*E14</f>
        <v>0.20750762195122</v>
      </c>
      <c r="G14" s="61"/>
      <c r="I14" s="63"/>
    </row>
    <row r="15" customFormat="false" ht="15.75" hidden="false" customHeight="false" outlineLevel="0" collapsed="false">
      <c r="A15" s="57" t="s">
        <v>1814</v>
      </c>
      <c r="B15" s="57"/>
      <c r="C15" s="58" t="n">
        <f aca="false">B15/B$22*B$24</f>
        <v>0</v>
      </c>
      <c r="D15" s="57" t="s">
        <v>434</v>
      </c>
      <c r="E15" s="59" t="n">
        <f aca="false">IFERROR(INDEX(Correspondance!$D$2:$D$3000,MATCH(A15,Correspondance!$A$2:$A$3000,0)),0)</f>
        <v>18</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208.628949123476</v>
      </c>
      <c r="G19" s="61"/>
      <c r="I19" s="63"/>
    </row>
    <row r="20" customFormat="false" ht="18.75" hidden="false" customHeight="true" outlineLevel="0" collapsed="false">
      <c r="A20" s="68" t="s">
        <v>2628</v>
      </c>
      <c r="B20" s="69" t="n">
        <f aca="false">F19/B24</f>
        <v>1.89662681021341</v>
      </c>
      <c r="C20" s="70"/>
      <c r="G20" s="61"/>
      <c r="I20" s="63"/>
    </row>
    <row r="21" customFormat="false" ht="15.75" hidden="false" customHeight="false" outlineLevel="0" collapsed="false">
      <c r="A21" s="71" t="s">
        <v>2629</v>
      </c>
      <c r="B21" s="71" t="n">
        <f aca="false">SUM(B3:B18)</f>
        <v>10.496</v>
      </c>
      <c r="C21" s="66"/>
      <c r="G21" s="61"/>
      <c r="I21" s="63"/>
    </row>
    <row r="22" customFormat="false" ht="15.75" hidden="false" customHeight="false" outlineLevel="0" collapsed="false">
      <c r="A22" s="0" t="s">
        <v>2630</v>
      </c>
      <c r="B22" s="72" t="n">
        <f aca="false">B21/B23</f>
        <v>69.9733333333333</v>
      </c>
      <c r="C22" s="66"/>
      <c r="G22" s="61"/>
      <c r="I22" s="63"/>
    </row>
    <row r="23" customFormat="false" ht="15.75" hidden="false" customHeight="false" outlineLevel="0" collapsed="false">
      <c r="A23" s="0" t="s">
        <v>2631</v>
      </c>
      <c r="B23" s="0" t="n">
        <v>0.15</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9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132</v>
      </c>
      <c r="B1" s="50"/>
      <c r="C1" s="50"/>
      <c r="D1" s="50"/>
      <c r="E1" s="51" t="s">
        <v>2619</v>
      </c>
      <c r="F1" s="51"/>
      <c r="G1" s="52" t="s">
        <v>2784</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1611</v>
      </c>
      <c r="B4" s="57" t="n">
        <v>6.67</v>
      </c>
      <c r="C4" s="58" t="n">
        <f aca="false">B4/B$22*B$24</f>
        <v>10.4814285714286</v>
      </c>
      <c r="D4" s="57" t="s">
        <v>434</v>
      </c>
      <c r="E4" s="59" t="n">
        <f aca="false">IFERROR(INDEX(Correspondance!$D$2:$D$3000,MATCH(A4,Correspondance!$A$2:$A$3000,0)),0)</f>
        <v>8</v>
      </c>
      <c r="F4" s="60" t="n">
        <f aca="false">C4*E4</f>
        <v>83.8514285714286</v>
      </c>
      <c r="G4" s="61" t="s">
        <v>2788</v>
      </c>
    </row>
    <row r="5" customFormat="false" ht="15.75" hidden="false" customHeight="false" outlineLevel="0" collapsed="false">
      <c r="A5" s="57" t="s">
        <v>1675</v>
      </c>
      <c r="B5" s="57" t="n">
        <v>0.1</v>
      </c>
      <c r="C5" s="58" t="n">
        <f aca="false">B5/B$22*B$24</f>
        <v>0.157142857142857</v>
      </c>
      <c r="D5" s="57" t="s">
        <v>682</v>
      </c>
      <c r="E5" s="59" t="n">
        <f aca="false">IFERROR(INDEX(Correspondance!$D$2:$D$3000,MATCH(A5,Correspondance!$A$2:$A$3000,0)),0)</f>
        <v>2.2</v>
      </c>
      <c r="F5" s="60" t="n">
        <f aca="false">C5*E5</f>
        <v>0.345714285714286</v>
      </c>
      <c r="G5" s="61"/>
      <c r="I5" s="62"/>
    </row>
    <row r="6" customFormat="false" ht="15.75" hidden="false" customHeight="false" outlineLevel="0" collapsed="false">
      <c r="A6" s="57" t="s">
        <v>1549</v>
      </c>
      <c r="B6" s="57" t="n">
        <v>1.33</v>
      </c>
      <c r="C6" s="58" t="n">
        <f aca="false">B6/B$22*B$24</f>
        <v>2.09</v>
      </c>
      <c r="D6" s="57" t="s">
        <v>434</v>
      </c>
      <c r="E6" s="59" t="n">
        <f aca="false">IFERROR(INDEX(Correspondance!$D$2:$D$3000,MATCH(A6,Correspondance!$A$2:$A$3000,0)),0)</f>
        <v>2.2</v>
      </c>
      <c r="F6" s="60" t="n">
        <f aca="false">C6*E6</f>
        <v>4.598</v>
      </c>
      <c r="G6" s="61"/>
      <c r="I6" s="63"/>
    </row>
    <row r="7" customFormat="false" ht="15.75" hidden="false" customHeight="false" outlineLevel="0" collapsed="false">
      <c r="A7" s="57" t="s">
        <v>1491</v>
      </c>
      <c r="B7" s="57" t="n">
        <v>0.2</v>
      </c>
      <c r="C7" s="58" t="n">
        <f aca="false">B7/B$22*B$24</f>
        <v>0.314285714285714</v>
      </c>
      <c r="D7" s="57" t="s">
        <v>434</v>
      </c>
      <c r="E7" s="59" t="n">
        <f aca="false">IFERROR(INDEX(Correspondance!$D$2:$D$3000,MATCH(A7,Correspondance!$A$2:$A$3000,0)),0)</f>
        <v>9</v>
      </c>
      <c r="F7" s="60" t="n">
        <f aca="false">C7*E7</f>
        <v>2.82857142857143</v>
      </c>
      <c r="G7" s="61"/>
      <c r="I7" s="63"/>
    </row>
    <row r="8" customFormat="false" ht="15.75" hidden="false" customHeight="false" outlineLevel="0" collapsed="false">
      <c r="A8" s="57" t="s">
        <v>1192</v>
      </c>
      <c r="B8" s="57" t="n">
        <v>0.067</v>
      </c>
      <c r="C8" s="58" t="n">
        <f aca="false">B8/B$22*B$24</f>
        <v>0.105285714285714</v>
      </c>
      <c r="D8" s="57" t="s">
        <v>434</v>
      </c>
      <c r="E8" s="59" t="n">
        <f aca="false">IFERROR(INDEX(Correspondance!$D$2:$D$3000,MATCH(A8,Correspondance!$A$2:$A$3000,0)),0)</f>
        <v>8</v>
      </c>
      <c r="F8" s="60" t="n">
        <f aca="false">C8*E8</f>
        <v>0.842285714285714</v>
      </c>
      <c r="G8" s="61"/>
      <c r="I8" s="63"/>
    </row>
    <row r="9" customFormat="false" ht="15.75" hidden="false" customHeight="false" outlineLevel="0" collapsed="false">
      <c r="A9" s="57" t="s">
        <v>1007</v>
      </c>
      <c r="B9" s="57" t="n">
        <v>0.033</v>
      </c>
      <c r="C9" s="58" t="n">
        <f aca="false">B9/B$22*B$24</f>
        <v>0.0518571428571429</v>
      </c>
      <c r="D9" s="57" t="s">
        <v>434</v>
      </c>
      <c r="E9" s="59" t="n">
        <f aca="false">IFERROR(INDEX(Correspondance!$D$2:$D$3000,MATCH(A9,Correspondance!$A$2:$A$3000,0)),0)</f>
        <v>8</v>
      </c>
      <c r="F9" s="60" t="n">
        <f aca="false">C9*E9</f>
        <v>0.414857142857143</v>
      </c>
      <c r="G9" s="61"/>
      <c r="I9" s="63"/>
    </row>
    <row r="10" customFormat="false" ht="15.75" hidden="false" customHeight="false" outlineLevel="0" collapsed="false">
      <c r="A10" s="57" t="s">
        <v>1929</v>
      </c>
      <c r="B10" s="57"/>
      <c r="C10" s="58" t="n">
        <f aca="false">B10/B$22*B$24</f>
        <v>0</v>
      </c>
      <c r="D10" s="57" t="s">
        <v>434</v>
      </c>
      <c r="E10" s="59" t="n">
        <f aca="false">IFERROR(INDEX(Correspondance!$D$2:$D$3000,MATCH(A10,Correspondance!$A$2:$A$3000,0)),0)</f>
        <v>2</v>
      </c>
      <c r="F10" s="60" t="n">
        <f aca="false">C10*E10</f>
        <v>0</v>
      </c>
      <c r="G10" s="61"/>
      <c r="I10" s="63"/>
    </row>
    <row r="11" customFormat="false" ht="15.75" hidden="false" customHeight="false" outlineLevel="0" collapsed="false">
      <c r="A11" s="57" t="s">
        <v>1814</v>
      </c>
      <c r="B11" s="57"/>
      <c r="C11" s="58" t="n">
        <f aca="false">B11/B$22*B$24</f>
        <v>0</v>
      </c>
      <c r="D11" s="57" t="s">
        <v>434</v>
      </c>
      <c r="E11" s="59" t="n">
        <f aca="false">IFERROR(INDEX(Correspondance!$D$2:$D$3000,MATCH(A11,Correspondance!$A$2:$A$3000,0)),0)</f>
        <v>18</v>
      </c>
      <c r="F11" s="60" t="n">
        <f aca="false">C11*E11</f>
        <v>0</v>
      </c>
      <c r="G11" s="61"/>
      <c r="I11" s="63"/>
    </row>
    <row r="12" customFormat="false" ht="18.75" hidden="false" customHeight="true" outlineLevel="0" collapsed="false">
      <c r="A12" s="57"/>
      <c r="B12" s="64"/>
      <c r="C12" s="58" t="n">
        <f aca="false">B12/B$22*B$24</f>
        <v>0</v>
      </c>
      <c r="D12" s="57"/>
      <c r="E12" s="65" t="n">
        <f aca="false">IFERROR(INDEX(Correspondance!$D$2:$D$3000,MATCH(A12,Correspondance!$A$2:$A$3000,0)),0)</f>
        <v>0</v>
      </c>
      <c r="F12" s="60" t="n">
        <f aca="false">C12*E12</f>
        <v>0</v>
      </c>
      <c r="G12" s="61"/>
      <c r="I12" s="63"/>
    </row>
    <row r="13" customFormat="false" ht="18.75" hidden="false" customHeight="true" outlineLevel="0" collapsed="false">
      <c r="A13" s="57"/>
      <c r="B13" s="64"/>
      <c r="C13" s="58" t="n">
        <f aca="false">B13/B$22*B$24</f>
        <v>0</v>
      </c>
      <c r="D13" s="57"/>
      <c r="E13" s="65" t="n">
        <f aca="false">IFERROR(INDEX(Correspondance!$D$2:$D$3000,MATCH(A13,Correspondance!$A$2:$A$3000,0)),0)</f>
        <v>0</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92.8808571428571</v>
      </c>
      <c r="G19" s="61"/>
      <c r="I19" s="63"/>
    </row>
    <row r="20" customFormat="false" ht="18.75" hidden="false" customHeight="true" outlineLevel="0" collapsed="false">
      <c r="A20" s="68" t="s">
        <v>2628</v>
      </c>
      <c r="B20" s="69" t="n">
        <f aca="false">F19/B24</f>
        <v>0.844371428571429</v>
      </c>
      <c r="C20" s="70"/>
      <c r="G20" s="61"/>
      <c r="I20" s="63"/>
    </row>
    <row r="21" customFormat="false" ht="15.75" hidden="false" customHeight="false" outlineLevel="0" collapsed="false">
      <c r="A21" s="71" t="s">
        <v>2629</v>
      </c>
      <c r="B21" s="71" t="n">
        <f aca="false">SUM(B3:B18)</f>
        <v>8.4</v>
      </c>
      <c r="C21" s="66"/>
      <c r="G21" s="61"/>
      <c r="I21" s="63"/>
    </row>
    <row r="22" customFormat="false" ht="15.75" hidden="false" customHeight="false" outlineLevel="0" collapsed="false">
      <c r="A22" s="0" t="s">
        <v>2630</v>
      </c>
      <c r="B22" s="72" t="n">
        <f aca="false">B21/B23</f>
        <v>70</v>
      </c>
      <c r="C22" s="66"/>
      <c r="G22" s="61"/>
      <c r="I22" s="63"/>
    </row>
    <row r="23" customFormat="false" ht="15.75" hidden="false" customHeight="false" outlineLevel="0" collapsed="false">
      <c r="A23" s="0" t="s">
        <v>2631</v>
      </c>
      <c r="B23" s="0" t="n">
        <v>0.12</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9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134</v>
      </c>
      <c r="B1" s="50"/>
      <c r="C1" s="50"/>
      <c r="D1" s="50"/>
      <c r="E1" s="51" t="s">
        <v>2619</v>
      </c>
      <c r="F1" s="51"/>
      <c r="G1" s="52" t="s">
        <v>2789</v>
      </c>
    </row>
    <row r="2" customFormat="false" ht="24.75" hidden="false" customHeight="true" outlineLevel="0" collapsed="false">
      <c r="A2" s="50"/>
      <c r="B2" s="50"/>
      <c r="C2" s="50"/>
      <c r="D2" s="50"/>
      <c r="E2" s="53" t="s">
        <v>2717</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1769</v>
      </c>
      <c r="B4" s="57" t="n">
        <v>6.72</v>
      </c>
      <c r="C4" s="58" t="n">
        <f aca="false">B4/B$22*B$24</f>
        <v>10.5609429413341</v>
      </c>
      <c r="D4" s="57" t="s">
        <v>434</v>
      </c>
      <c r="E4" s="59" t="n">
        <f aca="false">IFERROR(INDEX(Correspondance!$D$2:$D$3000,MATCH(A4,Correspondance!$A$2:$A$3000,0)),0)</f>
        <v>8.5</v>
      </c>
      <c r="F4" s="60" t="n">
        <f aca="false">C4*E4</f>
        <v>89.7680150013394</v>
      </c>
      <c r="G4" s="61" t="s">
        <v>2790</v>
      </c>
    </row>
    <row r="5" customFormat="false" ht="15.75" hidden="false" customHeight="false" outlineLevel="0" collapsed="false">
      <c r="A5" s="57" t="s">
        <v>1675</v>
      </c>
      <c r="B5" s="57" t="n">
        <v>0.134</v>
      </c>
      <c r="C5" s="58" t="n">
        <f aca="false">B5/B$22*B$24</f>
        <v>0.210590231270649</v>
      </c>
      <c r="D5" s="57" t="s">
        <v>682</v>
      </c>
      <c r="E5" s="59" t="n">
        <f aca="false">IFERROR(INDEX(Correspondance!$D$2:$D$3000,MATCH(A5,Correspondance!$A$2:$A$3000,0)),0)</f>
        <v>2.2</v>
      </c>
      <c r="F5" s="60" t="n">
        <f aca="false">C5*E5</f>
        <v>0.463298508795428</v>
      </c>
      <c r="G5" s="61"/>
      <c r="I5" s="62"/>
    </row>
    <row r="6" customFormat="false" ht="15.75" hidden="false" customHeight="false" outlineLevel="0" collapsed="false">
      <c r="A6" s="57" t="s">
        <v>1001</v>
      </c>
      <c r="B6" s="57" t="n">
        <v>0.537</v>
      </c>
      <c r="C6" s="58" t="n">
        <f aca="false">B6/B$22*B$24</f>
        <v>0.843932493972676</v>
      </c>
      <c r="D6" s="57" t="s">
        <v>434</v>
      </c>
      <c r="E6" s="59" t="n">
        <f aca="false">IFERROR(INDEX(Correspondance!$D$2:$D$3000,MATCH(A6,Correspondance!$A$2:$A$3000,0)),0)</f>
        <v>1.8</v>
      </c>
      <c r="F6" s="60" t="n">
        <f aca="false">C6*E6</f>
        <v>1.51907848915082</v>
      </c>
      <c r="G6" s="61"/>
      <c r="I6" s="63"/>
    </row>
    <row r="7" customFormat="false" ht="15.75" hidden="false" customHeight="false" outlineLevel="0" collapsed="false">
      <c r="A7" s="57" t="s">
        <v>917</v>
      </c>
      <c r="B7" s="57" t="n">
        <v>0.336</v>
      </c>
      <c r="C7" s="58" t="n">
        <f aca="false">B7/B$22*B$24</f>
        <v>0.528047147066702</v>
      </c>
      <c r="D7" s="57" t="s">
        <v>434</v>
      </c>
      <c r="E7" s="59" t="n">
        <f aca="false">IFERROR(INDEX(Correspondance!$D$2:$D$3000,MATCH(A7,Correspondance!$A$2:$A$3000,0)),0)</f>
        <v>1.8</v>
      </c>
      <c r="F7" s="60" t="n">
        <f aca="false">C7*E7</f>
        <v>0.950484864720064</v>
      </c>
      <c r="G7" s="61"/>
      <c r="I7" s="63"/>
    </row>
    <row r="8" customFormat="false" ht="15.75" hidden="false" customHeight="false" outlineLevel="0" collapsed="false">
      <c r="A8" s="57" t="s">
        <v>1530</v>
      </c>
      <c r="B8" s="57" t="n">
        <v>1.01</v>
      </c>
      <c r="C8" s="58" t="n">
        <f aca="false">B8/B$22*B$24</f>
        <v>1.58728457898027</v>
      </c>
      <c r="D8" s="57" t="s">
        <v>434</v>
      </c>
      <c r="E8" s="59" t="n">
        <f aca="false">IFERROR(INDEX(Correspondance!$D$2:$D$3000,MATCH(A8,Correspondance!$A$2:$A$3000,0)),0)</f>
        <v>3.8</v>
      </c>
      <c r="F8" s="60" t="n">
        <f aca="false">C8*E8</f>
        <v>6.03168140012501</v>
      </c>
      <c r="G8" s="61"/>
      <c r="I8" s="63"/>
    </row>
    <row r="9" customFormat="false" ht="15.75" hidden="false" customHeight="false" outlineLevel="0" collapsed="false">
      <c r="A9" s="57" t="s">
        <v>1973</v>
      </c>
      <c r="B9" s="57" t="n">
        <v>0.336</v>
      </c>
      <c r="C9" s="58" t="n">
        <f aca="false">B9/B$22*B$24</f>
        <v>0.528047147066702</v>
      </c>
      <c r="D9" s="57" t="s">
        <v>682</v>
      </c>
      <c r="E9" s="59" t="n">
        <f aca="false">IFERROR(INDEX(Correspondance!$D$2:$D$3000,MATCH(A9,Correspondance!$A$2:$A$3000,0)),0)</f>
        <v>2</v>
      </c>
      <c r="F9" s="60" t="n">
        <f aca="false">C9*E9</f>
        <v>1.0560942941334</v>
      </c>
      <c r="G9" s="61"/>
      <c r="I9" s="63"/>
    </row>
    <row r="10" customFormat="false" ht="15.75" hidden="false" customHeight="false" outlineLevel="0" collapsed="false">
      <c r="A10" s="57" t="s">
        <v>1459</v>
      </c>
      <c r="B10" s="57" t="n">
        <v>1.34</v>
      </c>
      <c r="C10" s="58" t="n">
        <f aca="false">B10/B$22*B$24</f>
        <v>2.10590231270649</v>
      </c>
      <c r="D10" s="57" t="s">
        <v>682</v>
      </c>
      <c r="E10" s="59" t="n">
        <f aca="false">IFERROR(INDEX(Correspondance!$D$2:$D$3000,MATCH(A10,Correspondance!$A$2:$A$3000,0)),0)</f>
        <v>0</v>
      </c>
      <c r="F10" s="60" t="n">
        <f aca="false">C10*E10</f>
        <v>0</v>
      </c>
      <c r="G10" s="61"/>
      <c r="I10" s="63"/>
    </row>
    <row r="11" customFormat="false" ht="15.75" hidden="false" customHeight="false" outlineLevel="0" collapsed="false">
      <c r="A11" s="57" t="s">
        <v>1100</v>
      </c>
      <c r="B11" s="57" t="n">
        <v>0.081</v>
      </c>
      <c r="C11" s="58" t="n">
        <f aca="false">B11/B$22*B$24</f>
        <v>0.127297080096437</v>
      </c>
      <c r="D11" s="57" t="s">
        <v>434</v>
      </c>
      <c r="E11" s="59" t="n">
        <f aca="false">IFERROR(INDEX(Correspondance!$D$2:$D$3000,MATCH(A11,Correspondance!$A$2:$A$3000,0)),0)</f>
        <v>10</v>
      </c>
      <c r="F11" s="60" t="n">
        <f aca="false">C11*E11</f>
        <v>1.27297080096437</v>
      </c>
      <c r="G11" s="61"/>
      <c r="I11" s="63"/>
    </row>
    <row r="12" customFormat="false" ht="18.75" hidden="false" customHeight="true" outlineLevel="0" collapsed="false">
      <c r="A12" s="57" t="s">
        <v>1576</v>
      </c>
      <c r="B12" s="64" t="n">
        <v>0.537</v>
      </c>
      <c r="C12" s="58" t="n">
        <f aca="false">B12/B$22*B$24</f>
        <v>0.843932493972676</v>
      </c>
      <c r="D12" s="57" t="s">
        <v>434</v>
      </c>
      <c r="E12" s="59" t="n">
        <f aca="false">IFERROR(INDEX(Correspondance!$D$2:$D$3000,MATCH(A12,Correspondance!$A$2:$A$3000,0)),0)</f>
        <v>5.5</v>
      </c>
      <c r="F12" s="60" t="n">
        <f aca="false">C12*E12</f>
        <v>4.64162871684972</v>
      </c>
      <c r="G12" s="61"/>
      <c r="I12" s="63"/>
    </row>
    <row r="13" customFormat="false" ht="18.75" hidden="false" customHeight="true" outlineLevel="0" collapsed="false">
      <c r="A13" s="57" t="s">
        <v>1084</v>
      </c>
      <c r="B13" s="64" t="n">
        <v>0.134</v>
      </c>
      <c r="C13" s="58" t="n">
        <f aca="false">B13/B$22*B$24</f>
        <v>0.210590231270649</v>
      </c>
      <c r="D13" s="57" t="s">
        <v>434</v>
      </c>
      <c r="E13" s="59" t="n">
        <f aca="false">IFERROR(INDEX(Correspondance!$D$2:$D$3000,MATCH(A13,Correspondance!$A$2:$A$3000,0)),0)</f>
        <v>2.2</v>
      </c>
      <c r="F13" s="60" t="n">
        <f aca="false">C13*E13</f>
        <v>0.463298508795428</v>
      </c>
      <c r="G13" s="61"/>
      <c r="I13" s="63"/>
    </row>
    <row r="14" customFormat="false" ht="15.75" hidden="false" customHeight="false" outlineLevel="0" collapsed="false">
      <c r="A14" s="57" t="s">
        <v>1919</v>
      </c>
      <c r="B14" s="57" t="n">
        <v>0.034</v>
      </c>
      <c r="C14" s="58" t="n">
        <f aca="false">B14/B$22*B$24</f>
        <v>0.053433342262702</v>
      </c>
      <c r="D14" s="57" t="s">
        <v>434</v>
      </c>
      <c r="E14" s="59" t="n">
        <f aca="false">IFERROR(INDEX(Correspondance!$D$2:$D$3000,MATCH(A14,Correspondance!$A$2:$A$3000,0)),0)</f>
        <v>2</v>
      </c>
      <c r="F14" s="60" t="n">
        <f aca="false">C14*E14</f>
        <v>0.106866684525404</v>
      </c>
      <c r="G14" s="61"/>
      <c r="I14" s="63"/>
    </row>
    <row r="15" customFormat="false" ht="15.75" hidden="false" customHeight="false" outlineLevel="0" collapsed="false">
      <c r="A15" s="57" t="s">
        <v>1814</v>
      </c>
      <c r="B15" s="57"/>
      <c r="C15" s="58" t="n">
        <f aca="false">B15/B$22*B$24</f>
        <v>0</v>
      </c>
      <c r="D15" s="57" t="s">
        <v>434</v>
      </c>
      <c r="E15" s="59" t="n">
        <f aca="false">IFERROR(INDEX(Correspondance!$D$2:$D$3000,MATCH(A15,Correspondance!$A$2:$A$3000,0)),0)</f>
        <v>18</v>
      </c>
      <c r="F15" s="60" t="n">
        <f aca="false">C15*E15</f>
        <v>0</v>
      </c>
      <c r="G15" s="61"/>
      <c r="I15" s="63"/>
    </row>
    <row r="16" customFormat="false" ht="15.75" hidden="false" customHeight="false" outlineLevel="0" collapsed="false">
      <c r="A16" s="57" t="s">
        <v>1948</v>
      </c>
      <c r="B16" s="57"/>
      <c r="C16" s="58" t="n">
        <f aca="false">B16/B$22*B$24</f>
        <v>0</v>
      </c>
      <c r="D16" s="57" t="s">
        <v>434</v>
      </c>
      <c r="E16" s="59" t="n">
        <f aca="false">IFERROR(INDEX(Correspondance!$D$2:$D$3000,MATCH(A16,Correspondance!$A$2:$A$3000,0)),0)</f>
        <v>16</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106.273417269399</v>
      </c>
      <c r="G19" s="61"/>
      <c r="I19" s="63"/>
    </row>
    <row r="20" customFormat="false" ht="18.75" hidden="false" customHeight="true" outlineLevel="0" collapsed="false">
      <c r="A20" s="68" t="s">
        <v>2628</v>
      </c>
      <c r="B20" s="69" t="n">
        <f aca="false">F19/B24</f>
        <v>0.966121975176355</v>
      </c>
      <c r="C20" s="70"/>
      <c r="G20" s="61"/>
      <c r="I20" s="63"/>
    </row>
    <row r="21" customFormat="false" ht="15.75" hidden="false" customHeight="false" outlineLevel="0" collapsed="false">
      <c r="A21" s="71" t="s">
        <v>2629</v>
      </c>
      <c r="B21" s="71" t="n">
        <f aca="false">SUM(B3:B18)</f>
        <v>11.199</v>
      </c>
      <c r="C21" s="66"/>
      <c r="G21" s="61"/>
      <c r="I21" s="63"/>
    </row>
    <row r="22" customFormat="false" ht="15.75" hidden="false" customHeight="false" outlineLevel="0" collapsed="false">
      <c r="A22" s="0" t="s">
        <v>2630</v>
      </c>
      <c r="B22" s="72" t="n">
        <f aca="false">B21/B23</f>
        <v>69.99375</v>
      </c>
      <c r="C22" s="66"/>
      <c r="G22" s="61"/>
      <c r="I22" s="63"/>
    </row>
    <row r="23" customFormat="false" ht="15.75" hidden="false" customHeight="false" outlineLevel="0" collapsed="false">
      <c r="A23" s="0" t="s">
        <v>2631</v>
      </c>
      <c r="B23" s="0" t="n">
        <v>0.16</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0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136</v>
      </c>
      <c r="B1" s="50"/>
      <c r="C1" s="50"/>
      <c r="D1" s="50"/>
      <c r="E1" s="51" t="s">
        <v>2619</v>
      </c>
      <c r="F1" s="51"/>
      <c r="G1" s="52" t="s">
        <v>2791</v>
      </c>
    </row>
    <row r="2" customFormat="false" ht="24.75" hidden="false" customHeight="true" outlineLevel="0" collapsed="false">
      <c r="A2" s="50"/>
      <c r="B2" s="50"/>
      <c r="C2" s="50"/>
      <c r="D2" s="50"/>
      <c r="E2" s="53" t="s">
        <v>2717</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1768</v>
      </c>
      <c r="B4" s="57" t="n">
        <v>6.45</v>
      </c>
      <c r="C4" s="58" t="n">
        <f aca="false">B4/B$22*B$24</f>
        <v>10.1366193410126</v>
      </c>
      <c r="D4" s="57" t="s">
        <v>434</v>
      </c>
      <c r="E4" s="59" t="n">
        <f aca="false">IFERROR(INDEX(Correspondance!$D$2:$D$3000,MATCH(A4,Correspondance!$A$2:$A$3000,0)),0)</f>
        <v>11</v>
      </c>
      <c r="F4" s="60" t="n">
        <f aca="false">C4*E4</f>
        <v>111.502812751139</v>
      </c>
      <c r="G4" s="61" t="s">
        <v>2792</v>
      </c>
    </row>
    <row r="5" customFormat="false" ht="15.75" hidden="false" customHeight="false" outlineLevel="0" collapsed="false">
      <c r="A5" s="57" t="s">
        <v>1675</v>
      </c>
      <c r="B5" s="57" t="n">
        <v>0.129</v>
      </c>
      <c r="C5" s="58" t="n">
        <f aca="false">B5/B$22*B$24</f>
        <v>0.202732386820252</v>
      </c>
      <c r="D5" s="57" t="s">
        <v>682</v>
      </c>
      <c r="E5" s="59" t="n">
        <f aca="false">IFERROR(INDEX(Correspondance!$D$2:$D$3000,MATCH(A5,Correspondance!$A$2:$A$3000,0)),0)</f>
        <v>2.2</v>
      </c>
      <c r="F5" s="60" t="n">
        <f aca="false">C5*E5</f>
        <v>0.446011251004554</v>
      </c>
      <c r="G5" s="61"/>
      <c r="I5" s="62"/>
    </row>
    <row r="6" customFormat="false" ht="15.75" hidden="false" customHeight="false" outlineLevel="0" collapsed="false">
      <c r="A6" s="57" t="s">
        <v>1001</v>
      </c>
      <c r="B6" s="57" t="n">
        <v>0.645</v>
      </c>
      <c r="C6" s="58" t="n">
        <f aca="false">B6/B$22*B$24</f>
        <v>1.01366193410126</v>
      </c>
      <c r="D6" s="57" t="s">
        <v>434</v>
      </c>
      <c r="E6" s="59" t="n">
        <f aca="false">IFERROR(INDEX(Correspondance!$D$2:$D$3000,MATCH(A6,Correspondance!$A$2:$A$3000,0)),0)</f>
        <v>1.8</v>
      </c>
      <c r="F6" s="60" t="n">
        <f aca="false">C6*E6</f>
        <v>1.82459148138227</v>
      </c>
      <c r="G6" s="61"/>
      <c r="I6" s="63"/>
    </row>
    <row r="7" customFormat="false" ht="15.75" hidden="false" customHeight="false" outlineLevel="0" collapsed="false">
      <c r="A7" s="57" t="s">
        <v>894</v>
      </c>
      <c r="B7" s="57" t="n">
        <v>0.032</v>
      </c>
      <c r="C7" s="58" t="n">
        <f aca="false">B7/B$22*B$24</f>
        <v>0.0502902044825431</v>
      </c>
      <c r="D7" s="57" t="s">
        <v>434</v>
      </c>
      <c r="E7" s="59" t="n">
        <f aca="false">IFERROR(INDEX(Correspondance!$D$2:$D$3000,MATCH(A7,Correspondance!$A$2:$A$3000,0)),0)</f>
        <v>5.5</v>
      </c>
      <c r="F7" s="60" t="n">
        <f aca="false">C7*E7</f>
        <v>0.276596124653987</v>
      </c>
      <c r="G7" s="61"/>
      <c r="I7" s="63"/>
    </row>
    <row r="8" customFormat="false" ht="15.75" hidden="false" customHeight="false" outlineLevel="0" collapsed="false">
      <c r="A8" s="57" t="s">
        <v>1856</v>
      </c>
      <c r="B8" s="57" t="n">
        <v>2.58</v>
      </c>
      <c r="C8" s="58" t="n">
        <f aca="false">B8/B$22*B$24</f>
        <v>4.05464773640504</v>
      </c>
      <c r="D8" s="57" t="s">
        <v>434</v>
      </c>
      <c r="E8" s="59" t="n">
        <f aca="false">IFERROR(INDEX(Correspondance!$D$2:$D$3000,MATCH(A8,Correspondance!$A$2:$A$3000,0)),0)</f>
        <v>1.5</v>
      </c>
      <c r="F8" s="60" t="n">
        <f aca="false">C8*E8</f>
        <v>6.08197160460755</v>
      </c>
      <c r="G8" s="61"/>
      <c r="I8" s="63"/>
    </row>
    <row r="9" customFormat="false" ht="15.75" hidden="false" customHeight="false" outlineLevel="0" collapsed="false">
      <c r="A9" s="57" t="s">
        <v>1197</v>
      </c>
      <c r="B9" s="57" t="n">
        <v>0.194</v>
      </c>
      <c r="C9" s="58" t="n">
        <f aca="false">B9/B$22*B$24</f>
        <v>0.304884364675418</v>
      </c>
      <c r="D9" s="57" t="s">
        <v>434</v>
      </c>
      <c r="E9" s="59" t="n">
        <f aca="false">IFERROR(INDEX(Correspondance!$D$2:$D$3000,MATCH(A9,Correspondance!$A$2:$A$3000,0)),0)</f>
        <v>2.6</v>
      </c>
      <c r="F9" s="60" t="n">
        <f aca="false">C9*E9</f>
        <v>0.792699348156086</v>
      </c>
      <c r="G9" s="61"/>
      <c r="I9" s="63"/>
    </row>
    <row r="10" customFormat="false" ht="15.75" hidden="false" customHeight="false" outlineLevel="0" collapsed="false">
      <c r="A10" s="57" t="s">
        <v>1973</v>
      </c>
      <c r="B10" s="57" t="n">
        <v>0.323</v>
      </c>
      <c r="C10" s="58" t="n">
        <f aca="false">B10/B$22*B$24</f>
        <v>0.507616751495669</v>
      </c>
      <c r="D10" s="57" t="s">
        <v>682</v>
      </c>
      <c r="E10" s="59" t="n">
        <f aca="false">IFERROR(INDEX(Correspondance!$D$2:$D$3000,MATCH(A10,Correspondance!$A$2:$A$3000,0)),0)</f>
        <v>2</v>
      </c>
      <c r="F10" s="60" t="n">
        <f aca="false">C10*E10</f>
        <v>1.01523350299134</v>
      </c>
      <c r="G10" s="61"/>
      <c r="I10" s="63"/>
    </row>
    <row r="11" customFormat="false" ht="15.75" hidden="false" customHeight="false" outlineLevel="0" collapsed="false">
      <c r="A11" s="57" t="s">
        <v>1459</v>
      </c>
      <c r="B11" s="57" t="n">
        <v>0.645</v>
      </c>
      <c r="C11" s="58" t="n">
        <f aca="false">B11/B$22*B$24</f>
        <v>1.01366193410126</v>
      </c>
      <c r="D11" s="57" t="s">
        <v>682</v>
      </c>
      <c r="E11" s="59" t="n">
        <f aca="false">IFERROR(INDEX(Correspondance!$D$2:$D$3000,MATCH(A11,Correspondance!$A$2:$A$3000,0)),0)</f>
        <v>0</v>
      </c>
      <c r="F11" s="60" t="n">
        <f aca="false">C11*E11</f>
        <v>0</v>
      </c>
      <c r="G11" s="61"/>
      <c r="I11" s="63"/>
    </row>
    <row r="12" customFormat="false" ht="18.75" hidden="false" customHeight="true" outlineLevel="0" collapsed="false">
      <c r="A12" s="57" t="s">
        <v>1098</v>
      </c>
      <c r="B12" s="64" t="n">
        <v>0.065</v>
      </c>
      <c r="C12" s="58" t="n">
        <f aca="false">B12/B$22*B$24</f>
        <v>0.102151977855166</v>
      </c>
      <c r="D12" s="57" t="s">
        <v>434</v>
      </c>
      <c r="E12" s="59" t="n">
        <f aca="false">IFERROR(INDEX(Correspondance!$D$2:$D$3000,MATCH(A12,Correspondance!$A$2:$A$3000,0)),0)</f>
        <v>12</v>
      </c>
      <c r="F12" s="60" t="n">
        <f aca="false">C12*E12</f>
        <v>1.22582373426199</v>
      </c>
      <c r="G12" s="61"/>
      <c r="I12" s="63"/>
    </row>
    <row r="13" customFormat="false" ht="18.75" hidden="false" customHeight="true" outlineLevel="0" collapsed="false">
      <c r="A13" s="57" t="s">
        <v>1937</v>
      </c>
      <c r="B13" s="64" t="n">
        <v>0.032</v>
      </c>
      <c r="C13" s="58" t="n">
        <f aca="false">B13/B$22*B$24</f>
        <v>0.0502902044825431</v>
      </c>
      <c r="D13" s="57" t="s">
        <v>434</v>
      </c>
      <c r="E13" s="59" t="n">
        <f aca="false">IFERROR(INDEX(Correspondance!$D$2:$D$3000,MATCH(A13,Correspondance!$A$2:$A$3000,0)),0)</f>
        <v>1.3</v>
      </c>
      <c r="F13" s="60" t="n">
        <f aca="false">C13*E13</f>
        <v>0.065377265827306</v>
      </c>
      <c r="G13" s="61"/>
      <c r="I13" s="63"/>
    </row>
    <row r="14" customFormat="false" ht="15.75" hidden="false" customHeight="false" outlineLevel="0" collapsed="false">
      <c r="A14" s="57" t="s">
        <v>1084</v>
      </c>
      <c r="B14" s="57" t="n">
        <v>0.065</v>
      </c>
      <c r="C14" s="58" t="n">
        <f aca="false">B14/B$22*B$24</f>
        <v>0.102151977855166</v>
      </c>
      <c r="D14" s="57" t="s">
        <v>434</v>
      </c>
      <c r="E14" s="59" t="n">
        <f aca="false">IFERROR(INDEX(Correspondance!$D$2:$D$3000,MATCH(A14,Correspondance!$A$2:$A$3000,0)),0)</f>
        <v>2.2</v>
      </c>
      <c r="F14" s="60" t="n">
        <f aca="false">C14*E14</f>
        <v>0.224734351281364</v>
      </c>
      <c r="G14" s="61"/>
      <c r="I14" s="63"/>
    </row>
    <row r="15" customFormat="false" ht="15.75" hidden="false" customHeight="false" outlineLevel="0" collapsed="false">
      <c r="A15" s="57" t="s">
        <v>1919</v>
      </c>
      <c r="B15" s="57" t="n">
        <v>0.039</v>
      </c>
      <c r="C15" s="58" t="n">
        <f aca="false">B15/B$22*B$24</f>
        <v>0.0612911867130994</v>
      </c>
      <c r="D15" s="57" t="s">
        <v>434</v>
      </c>
      <c r="E15" s="59" t="n">
        <f aca="false">IFERROR(INDEX(Correspondance!$D$2:$D$3000,MATCH(A15,Correspondance!$A$2:$A$3000,0)),0)</f>
        <v>2</v>
      </c>
      <c r="F15" s="60" t="n">
        <f aca="false">C15*E15</f>
        <v>0.122582373426199</v>
      </c>
      <c r="G15" s="61"/>
      <c r="I15" s="63"/>
    </row>
    <row r="16" customFormat="false" ht="15.75" hidden="false" customHeight="false" outlineLevel="0" collapsed="false">
      <c r="A16" s="57" t="s">
        <v>1814</v>
      </c>
      <c r="B16" s="57"/>
      <c r="C16" s="58" t="n">
        <f aca="false">B16/B$22*B$24</f>
        <v>0</v>
      </c>
      <c r="D16" s="57" t="s">
        <v>434</v>
      </c>
      <c r="E16" s="59" t="n">
        <f aca="false">IFERROR(INDEX(Correspondance!$D$2:$D$3000,MATCH(A16,Correspondance!$A$2:$A$3000,0)),0)</f>
        <v>18</v>
      </c>
      <c r="F16" s="60" t="n">
        <f aca="false">C16*E16</f>
        <v>0</v>
      </c>
      <c r="G16" s="61"/>
      <c r="I16" s="63"/>
    </row>
    <row r="17" customFormat="false" ht="15.75" hidden="false" customHeight="false" outlineLevel="0" collapsed="false">
      <c r="A17" s="57" t="s">
        <v>1668</v>
      </c>
      <c r="B17" s="57"/>
      <c r="C17" s="58" t="n">
        <f aca="false">B17/B$22*B$24</f>
        <v>0</v>
      </c>
      <c r="D17" s="57" t="s">
        <v>434</v>
      </c>
      <c r="E17" s="59" t="n">
        <f aca="false">IFERROR(INDEX(Correspondance!$D$2:$D$3000,MATCH(A17,Correspondance!$A$2:$A$3000,0)),0)</f>
        <v>11</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123.578433788731</v>
      </c>
      <c r="G19" s="61"/>
      <c r="I19" s="63"/>
    </row>
    <row r="20" customFormat="false" ht="18.75" hidden="false" customHeight="true" outlineLevel="0" collapsed="false">
      <c r="A20" s="68" t="s">
        <v>2628</v>
      </c>
      <c r="B20" s="69" t="n">
        <f aca="false">F19/B24</f>
        <v>1.12344030717028</v>
      </c>
      <c r="C20" s="70"/>
      <c r="G20" s="61"/>
      <c r="I20" s="63"/>
    </row>
    <row r="21" customFormat="false" ht="15.75" hidden="false" customHeight="false" outlineLevel="0" collapsed="false">
      <c r="A21" s="71" t="s">
        <v>2629</v>
      </c>
      <c r="B21" s="71" t="n">
        <f aca="false">SUM(B3:B18)</f>
        <v>11.199</v>
      </c>
      <c r="C21" s="66"/>
      <c r="G21" s="61"/>
      <c r="I21" s="63"/>
    </row>
    <row r="22" customFormat="false" ht="15.75" hidden="false" customHeight="false" outlineLevel="0" collapsed="false">
      <c r="A22" s="0" t="s">
        <v>2630</v>
      </c>
      <c r="B22" s="72" t="n">
        <f aca="false">B21/B23</f>
        <v>69.99375</v>
      </c>
      <c r="C22" s="66"/>
      <c r="G22" s="61"/>
      <c r="I22" s="63"/>
    </row>
    <row r="23" customFormat="false" ht="15.75" hidden="false" customHeight="false" outlineLevel="0" collapsed="false">
      <c r="A23" s="0" t="s">
        <v>2631</v>
      </c>
      <c r="B23" s="0" t="n">
        <v>0.16</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0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138</v>
      </c>
      <c r="B1" s="50"/>
      <c r="C1" s="50"/>
      <c r="D1" s="50"/>
      <c r="E1" s="51" t="s">
        <v>2619</v>
      </c>
      <c r="F1" s="51"/>
      <c r="G1" s="52" t="s">
        <v>2793</v>
      </c>
    </row>
    <row r="2" customFormat="false" ht="24.75" hidden="false" customHeight="true" outlineLevel="0" collapsed="false">
      <c r="A2" s="50"/>
      <c r="B2" s="50"/>
      <c r="C2" s="50"/>
      <c r="D2" s="50"/>
      <c r="E2" s="53" t="s">
        <v>2692</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1770</v>
      </c>
      <c r="B4" s="57" t="n">
        <v>6.63</v>
      </c>
      <c r="C4" s="58" t="n">
        <f aca="false">B4/B$22*B$24</f>
        <v>10.4185714285714</v>
      </c>
      <c r="D4" s="57" t="s">
        <v>434</v>
      </c>
      <c r="E4" s="59" t="n">
        <f aca="false">IFERROR(INDEX(Correspondance!$D$2:$D$3000,MATCH(A4,Correspondance!$A$2:$A$3000,0)),0)</f>
        <v>9.5</v>
      </c>
      <c r="F4" s="60" t="n">
        <f aca="false">C4*E4</f>
        <v>98.9764285714286</v>
      </c>
      <c r="G4" s="61" t="s">
        <v>2794</v>
      </c>
    </row>
    <row r="5" customFormat="false" ht="15.75" hidden="false" customHeight="false" outlineLevel="0" collapsed="false">
      <c r="A5" s="57" t="s">
        <v>1919</v>
      </c>
      <c r="B5" s="57" t="n">
        <v>0.053</v>
      </c>
      <c r="C5" s="58" t="n">
        <f aca="false">B5/B$22*B$24</f>
        <v>0.0832857142857143</v>
      </c>
      <c r="D5" s="57" t="s">
        <v>434</v>
      </c>
      <c r="E5" s="59" t="n">
        <f aca="false">IFERROR(INDEX(Correspondance!$D$2:$D$3000,MATCH(A5,Correspondance!$A$2:$A$3000,0)),0)</f>
        <v>2</v>
      </c>
      <c r="F5" s="60" t="n">
        <f aca="false">C5*E5</f>
        <v>0.166571428571429</v>
      </c>
      <c r="G5" s="61"/>
      <c r="I5" s="62"/>
    </row>
    <row r="6" customFormat="false" ht="15.75" hidden="false" customHeight="false" outlineLevel="0" collapsed="false">
      <c r="A6" s="57" t="s">
        <v>1811</v>
      </c>
      <c r="B6" s="57"/>
      <c r="C6" s="58" t="n">
        <f aca="false">B6/B$22*B$24</f>
        <v>0</v>
      </c>
      <c r="D6" s="57" t="s">
        <v>434</v>
      </c>
      <c r="E6" s="59" t="n">
        <f aca="false">IFERROR(INDEX(Correspondance!$D$2:$D$3000,MATCH(A6,Correspondance!$A$2:$A$3000,0)),0)</f>
        <v>22</v>
      </c>
      <c r="F6" s="60" t="n">
        <f aca="false">C6*E6</f>
        <v>0</v>
      </c>
      <c r="G6" s="61"/>
      <c r="I6" s="63"/>
    </row>
    <row r="7" customFormat="false" ht="15.75" hidden="false" customHeight="false" outlineLevel="0" collapsed="false">
      <c r="A7" s="57" t="s">
        <v>1120</v>
      </c>
      <c r="B7" s="57" t="n">
        <v>0.066</v>
      </c>
      <c r="C7" s="58" t="n">
        <f aca="false">B7/B$22*B$24</f>
        <v>0.103714285714286</v>
      </c>
      <c r="D7" s="57" t="s">
        <v>682</v>
      </c>
      <c r="E7" s="59" t="n">
        <f aca="false">IFERROR(INDEX(Correspondance!$D$2:$D$3000,MATCH(A7,Correspondance!$A$2:$A$3000,0)),0)</f>
        <v>7.5</v>
      </c>
      <c r="F7" s="60" t="n">
        <f aca="false">C7*E7</f>
        <v>0.777857142857143</v>
      </c>
      <c r="G7" s="61"/>
      <c r="I7" s="63"/>
    </row>
    <row r="8" customFormat="false" ht="15.75" hidden="false" customHeight="false" outlineLevel="0" collapsed="false">
      <c r="A8" s="57" t="s">
        <v>1549</v>
      </c>
      <c r="B8" s="57" t="n">
        <v>0.332</v>
      </c>
      <c r="C8" s="58" t="n">
        <f aca="false">B8/B$22*B$24</f>
        <v>0.521714285714286</v>
      </c>
      <c r="D8" s="57" t="s">
        <v>434</v>
      </c>
      <c r="E8" s="59" t="n">
        <f aca="false">IFERROR(INDEX(Correspondance!$D$2:$D$3000,MATCH(A8,Correspondance!$A$2:$A$3000,0)),0)</f>
        <v>2.2</v>
      </c>
      <c r="F8" s="60" t="n">
        <f aca="false">C8*E8</f>
        <v>1.14777142857143</v>
      </c>
      <c r="G8" s="61"/>
      <c r="I8" s="63"/>
    </row>
    <row r="9" customFormat="false" ht="15.75" hidden="false" customHeight="false" outlineLevel="0" collapsed="false">
      <c r="A9" s="57" t="s">
        <v>947</v>
      </c>
      <c r="B9" s="57" t="n">
        <v>0.265</v>
      </c>
      <c r="C9" s="58" t="n">
        <f aca="false">B9/B$22*B$24</f>
        <v>0.416428571428571</v>
      </c>
      <c r="D9" s="57" t="s">
        <v>434</v>
      </c>
      <c r="E9" s="59" t="n">
        <f aca="false">IFERROR(INDEX(Correspondance!$D$2:$D$3000,MATCH(A9,Correspondance!$A$2:$A$3000,0)),0)</f>
        <v>4.5</v>
      </c>
      <c r="F9" s="60" t="n">
        <f aca="false">C9*E9</f>
        <v>1.87392857142857</v>
      </c>
      <c r="G9" s="61"/>
      <c r="I9" s="63"/>
    </row>
    <row r="10" customFormat="false" ht="15.75" hidden="false" customHeight="false" outlineLevel="0" collapsed="false">
      <c r="A10" s="57" t="s">
        <v>1973</v>
      </c>
      <c r="B10" s="57" t="n">
        <v>0.663</v>
      </c>
      <c r="C10" s="58" t="n">
        <f aca="false">B10/B$22*B$24</f>
        <v>1.04185714285714</v>
      </c>
      <c r="D10" s="57" t="s">
        <v>682</v>
      </c>
      <c r="E10" s="59" t="n">
        <f aca="false">IFERROR(INDEX(Correspondance!$D$2:$D$3000,MATCH(A10,Correspondance!$A$2:$A$3000,0)),0)</f>
        <v>2</v>
      </c>
      <c r="F10" s="60" t="n">
        <f aca="false">C10*E10</f>
        <v>2.08371428571429</v>
      </c>
      <c r="G10" s="61"/>
      <c r="I10" s="63"/>
    </row>
    <row r="11" customFormat="false" ht="15.75" hidden="false" customHeight="false" outlineLevel="0" collapsed="false">
      <c r="A11" s="57" t="s">
        <v>1344</v>
      </c>
      <c r="B11" s="57" t="n">
        <v>0.133</v>
      </c>
      <c r="C11" s="58" t="n">
        <f aca="false">B11/B$22*B$24</f>
        <v>0.209</v>
      </c>
      <c r="D11" s="57" t="s">
        <v>682</v>
      </c>
      <c r="E11" s="59" t="n">
        <f aca="false">IFERROR(INDEX(Correspondance!$D$2:$D$3000,MATCH(A11,Correspondance!$A$2:$A$3000,0)),0)</f>
        <v>1.6</v>
      </c>
      <c r="F11" s="60" t="n">
        <f aca="false">C11*E11</f>
        <v>0.3344</v>
      </c>
      <c r="G11" s="61"/>
      <c r="I11" s="63"/>
    </row>
    <row r="12" customFormat="false" ht="18.75" hidden="false" customHeight="true" outlineLevel="0" collapsed="false">
      <c r="A12" s="57" t="s">
        <v>1104</v>
      </c>
      <c r="B12" s="64" t="n">
        <v>0.033</v>
      </c>
      <c r="C12" s="58" t="n">
        <f aca="false">B12/B$22*B$24</f>
        <v>0.0518571428571429</v>
      </c>
      <c r="D12" s="57" t="s">
        <v>434</v>
      </c>
      <c r="E12" s="59" t="n">
        <f aca="false">IFERROR(INDEX(Correspondance!$D$2:$D$3000,MATCH(A12,Correspondance!$A$2:$A$3000,0)),0)</f>
        <v>12</v>
      </c>
      <c r="F12" s="60" t="n">
        <f aca="false">C12*E12</f>
        <v>0.622285714285714</v>
      </c>
      <c r="G12" s="61"/>
      <c r="I12" s="63"/>
    </row>
    <row r="13" customFormat="false" ht="18.75" hidden="false" customHeight="true" outlineLevel="0" collapsed="false">
      <c r="A13" s="57" t="s">
        <v>1459</v>
      </c>
      <c r="B13" s="64" t="n">
        <v>0.332</v>
      </c>
      <c r="C13" s="58" t="n">
        <f aca="false">B13/B$22*B$24</f>
        <v>0.521714285714286</v>
      </c>
      <c r="D13" s="57" t="s">
        <v>682</v>
      </c>
      <c r="E13" s="59" t="n">
        <f aca="false">IFERROR(INDEX(Correspondance!$D$2:$D$3000,MATCH(A13,Correspondance!$A$2:$A$3000,0)),0)</f>
        <v>0</v>
      </c>
      <c r="F13" s="60" t="n">
        <f aca="false">C13*E13</f>
        <v>0</v>
      </c>
      <c r="G13" s="61"/>
      <c r="I13" s="63"/>
    </row>
    <row r="14" customFormat="false" ht="15.75" hidden="false" customHeight="false" outlineLevel="0" collapsed="false">
      <c r="A14" s="57" t="s">
        <v>1576</v>
      </c>
      <c r="B14" s="57" t="n">
        <v>0.663</v>
      </c>
      <c r="C14" s="58" t="n">
        <f aca="false">B14/B$22*B$24</f>
        <v>1.04185714285714</v>
      </c>
      <c r="D14" s="57" t="s">
        <v>434</v>
      </c>
      <c r="E14" s="59" t="n">
        <f aca="false">IFERROR(INDEX(Correspondance!$D$2:$D$3000,MATCH(A14,Correspondance!$A$2:$A$3000,0)),0)</f>
        <v>5.5</v>
      </c>
      <c r="F14" s="60" t="n">
        <f aca="false">C14*E14</f>
        <v>5.73021428571429</v>
      </c>
      <c r="G14" s="61"/>
      <c r="I14" s="63"/>
    </row>
    <row r="15" customFormat="false" ht="15.75" hidden="false" customHeight="false" outlineLevel="0" collapsed="false">
      <c r="A15" s="57" t="s">
        <v>675</v>
      </c>
      <c r="B15" s="57" t="n">
        <v>1.33</v>
      </c>
      <c r="C15" s="58" t="n">
        <f aca="false">B15/B$22*B$24</f>
        <v>2.09</v>
      </c>
      <c r="D15" s="57" t="s">
        <v>434</v>
      </c>
      <c r="E15" s="59" t="n">
        <f aca="false">IFERROR(INDEX(Correspondance!$D$2:$D$3000,MATCH(A15,Correspondance!$A$2:$A$3000,0)),0)</f>
        <v>9</v>
      </c>
      <c r="F15" s="60" t="n">
        <f aca="false">C15*E15</f>
        <v>18.81</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130.523171428571</v>
      </c>
      <c r="G19" s="61"/>
      <c r="I19" s="63"/>
    </row>
    <row r="20" customFormat="false" ht="18.75" hidden="false" customHeight="true" outlineLevel="0" collapsed="false">
      <c r="A20" s="68" t="s">
        <v>2628</v>
      </c>
      <c r="B20" s="69" t="n">
        <f aca="false">F19/B24</f>
        <v>1.18657428571429</v>
      </c>
      <c r="C20" s="70"/>
      <c r="G20" s="61"/>
      <c r="I20" s="63"/>
    </row>
    <row r="21" customFormat="false" ht="15.75" hidden="false" customHeight="false" outlineLevel="0" collapsed="false">
      <c r="A21" s="71" t="s">
        <v>2629</v>
      </c>
      <c r="B21" s="71" t="n">
        <f aca="false">SUM(B3:B18)</f>
        <v>10.5</v>
      </c>
      <c r="C21" s="66"/>
      <c r="G21" s="61"/>
      <c r="I21" s="63"/>
    </row>
    <row r="22" customFormat="false" ht="15.75" hidden="false" customHeight="false" outlineLevel="0" collapsed="false">
      <c r="A22" s="0" t="s">
        <v>2630</v>
      </c>
      <c r="B22" s="72" t="n">
        <f aca="false">B21/B23</f>
        <v>70</v>
      </c>
      <c r="C22" s="66"/>
      <c r="G22" s="61"/>
      <c r="I22" s="63"/>
    </row>
    <row r="23" customFormat="false" ht="15.75" hidden="false" customHeight="false" outlineLevel="0" collapsed="false">
      <c r="A23" s="0" t="s">
        <v>2631</v>
      </c>
      <c r="B23" s="0" t="n">
        <v>0.15</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0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140</v>
      </c>
      <c r="B1" s="50"/>
      <c r="C1" s="50"/>
      <c r="D1" s="50"/>
      <c r="E1" s="51" t="s">
        <v>2619</v>
      </c>
      <c r="F1" s="51"/>
      <c r="G1" s="52" t="s">
        <v>2795</v>
      </c>
    </row>
    <row r="2" customFormat="false" ht="24.75" hidden="false" customHeight="true" outlineLevel="0" collapsed="false">
      <c r="A2" s="50"/>
      <c r="B2" s="50"/>
      <c r="C2" s="50"/>
      <c r="D2" s="50"/>
      <c r="E2" s="53" t="s">
        <v>2692</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1772</v>
      </c>
      <c r="B4" s="57" t="n">
        <v>6.78</v>
      </c>
      <c r="C4" s="58" t="n">
        <f aca="false">B4/B$22*B$24</f>
        <v>10.6449275362319</v>
      </c>
      <c r="D4" s="57" t="s">
        <v>434</v>
      </c>
      <c r="E4" s="59" t="n">
        <f aca="false">IFERROR(INDEX(Correspondance!$D$2:$D$3000,MATCH(A4,Correspondance!$A$2:$A$3000,0)),0)</f>
        <v>14</v>
      </c>
      <c r="F4" s="60" t="n">
        <f aca="false">C4*E4</f>
        <v>149.028985507246</v>
      </c>
      <c r="G4" s="61" t="s">
        <v>2796</v>
      </c>
    </row>
    <row r="5" customFormat="false" ht="15.75" hidden="false" customHeight="false" outlineLevel="0" collapsed="false">
      <c r="A5" s="57" t="s">
        <v>1919</v>
      </c>
      <c r="B5" s="57" t="n">
        <v>0.054</v>
      </c>
      <c r="C5" s="58" t="n">
        <f aca="false">B5/B$22*B$24</f>
        <v>0.0847826086956522</v>
      </c>
      <c r="D5" s="57" t="s">
        <v>434</v>
      </c>
      <c r="E5" s="59" t="n">
        <f aca="false">IFERROR(INDEX(Correspondance!$D$2:$D$3000,MATCH(A5,Correspondance!$A$2:$A$3000,0)),0)</f>
        <v>2</v>
      </c>
      <c r="F5" s="60" t="n">
        <f aca="false">C5*E5</f>
        <v>0.169565217391304</v>
      </c>
      <c r="G5" s="61"/>
      <c r="I5" s="62"/>
    </row>
    <row r="6" customFormat="false" ht="15.75" hidden="false" customHeight="false" outlineLevel="0" collapsed="false">
      <c r="A6" s="57" t="s">
        <v>1814</v>
      </c>
      <c r="B6" s="57"/>
      <c r="C6" s="58" t="n">
        <f aca="false">B6/B$22*B$24</f>
        <v>0</v>
      </c>
      <c r="D6" s="57" t="s">
        <v>434</v>
      </c>
      <c r="E6" s="59" t="n">
        <f aca="false">IFERROR(INDEX(Correspondance!$D$2:$D$3000,MATCH(A6,Correspondance!$A$2:$A$3000,0)),0)</f>
        <v>18</v>
      </c>
      <c r="F6" s="60" t="n">
        <f aca="false">C6*E6</f>
        <v>0</v>
      </c>
      <c r="G6" s="61"/>
      <c r="I6" s="63"/>
    </row>
    <row r="7" customFormat="false" ht="15.75" hidden="false" customHeight="false" outlineLevel="0" collapsed="false">
      <c r="A7" s="57" t="s">
        <v>1120</v>
      </c>
      <c r="B7" s="57" t="n">
        <v>0.102</v>
      </c>
      <c r="C7" s="58" t="n">
        <f aca="false">B7/B$22*B$24</f>
        <v>0.160144927536232</v>
      </c>
      <c r="D7" s="57" t="s">
        <v>682</v>
      </c>
      <c r="E7" s="59" t="n">
        <f aca="false">IFERROR(INDEX(Correspondance!$D$2:$D$3000,MATCH(A7,Correspondance!$A$2:$A$3000,0)),0)</f>
        <v>7.5</v>
      </c>
      <c r="F7" s="60" t="n">
        <f aca="false">C7*E7</f>
        <v>1.20108695652174</v>
      </c>
      <c r="G7" s="61"/>
      <c r="I7" s="63"/>
    </row>
    <row r="8" customFormat="false" ht="15.75" hidden="false" customHeight="false" outlineLevel="0" collapsed="false">
      <c r="A8" s="57" t="s">
        <v>1549</v>
      </c>
      <c r="B8" s="57" t="n">
        <v>0.407</v>
      </c>
      <c r="C8" s="58" t="n">
        <f aca="false">B8/B$22*B$24</f>
        <v>0.639009661835749</v>
      </c>
      <c r="D8" s="57" t="s">
        <v>434</v>
      </c>
      <c r="E8" s="59" t="n">
        <f aca="false">IFERROR(INDEX(Correspondance!$D$2:$D$3000,MATCH(A8,Correspondance!$A$2:$A$3000,0)),0)</f>
        <v>2.2</v>
      </c>
      <c r="F8" s="60" t="n">
        <f aca="false">C8*E8</f>
        <v>1.40582125603865</v>
      </c>
      <c r="G8" s="61"/>
      <c r="I8" s="63"/>
    </row>
    <row r="9" customFormat="false" ht="15.75" hidden="false" customHeight="false" outlineLevel="0" collapsed="false">
      <c r="A9" s="57" t="s">
        <v>1478</v>
      </c>
      <c r="B9" s="57" t="n">
        <v>0.02</v>
      </c>
      <c r="C9" s="58" t="n">
        <f aca="false">B9/B$22*B$24</f>
        <v>0.0314009661835749</v>
      </c>
      <c r="D9" s="57" t="s">
        <v>434</v>
      </c>
      <c r="E9" s="59" t="n">
        <f aca="false">IFERROR(INDEX(Correspondance!$D$2:$D$3000,MATCH(A9,Correspondance!$A$2:$A$3000,0)),0)</f>
        <v>14</v>
      </c>
      <c r="F9" s="60" t="n">
        <f aca="false">C9*E9</f>
        <v>0.439613526570048</v>
      </c>
      <c r="G9" s="61"/>
      <c r="I9" s="63"/>
    </row>
    <row r="10" customFormat="false" ht="15.75" hidden="false" customHeight="false" outlineLevel="0" collapsed="false">
      <c r="A10" s="57" t="s">
        <v>947</v>
      </c>
      <c r="B10" s="57" t="n">
        <v>0.136</v>
      </c>
      <c r="C10" s="58" t="n">
        <f aca="false">B10/B$22*B$24</f>
        <v>0.213526570048309</v>
      </c>
      <c r="D10" s="57" t="s">
        <v>434</v>
      </c>
      <c r="E10" s="59" t="n">
        <f aca="false">IFERROR(INDEX(Correspondance!$D$2:$D$3000,MATCH(A10,Correspondance!$A$2:$A$3000,0)),0)</f>
        <v>4.5</v>
      </c>
      <c r="F10" s="60" t="n">
        <f aca="false">C10*E10</f>
        <v>0.960869565217391</v>
      </c>
      <c r="G10" s="61"/>
      <c r="I10" s="63"/>
    </row>
    <row r="11" customFormat="false" ht="15.75" hidden="false" customHeight="false" outlineLevel="0" collapsed="false">
      <c r="A11" s="57" t="s">
        <v>1973</v>
      </c>
      <c r="B11" s="57" t="n">
        <v>0.203</v>
      </c>
      <c r="C11" s="58" t="n">
        <f aca="false">B11/B$22*B$24</f>
        <v>0.318719806763285</v>
      </c>
      <c r="D11" s="57" t="s">
        <v>682</v>
      </c>
      <c r="E11" s="59" t="n">
        <f aca="false">IFERROR(INDEX(Correspondance!$D$2:$D$3000,MATCH(A11,Correspondance!$A$2:$A$3000,0)),0)</f>
        <v>2</v>
      </c>
      <c r="F11" s="60" t="n">
        <f aca="false">C11*E11</f>
        <v>0.63743961352657</v>
      </c>
      <c r="G11" s="61"/>
      <c r="I11" s="63"/>
    </row>
    <row r="12" customFormat="false" ht="18.75" hidden="false" customHeight="true" outlineLevel="0" collapsed="false">
      <c r="A12" s="57" t="s">
        <v>1104</v>
      </c>
      <c r="B12" s="64" t="n">
        <v>0.027</v>
      </c>
      <c r="C12" s="58" t="n">
        <f aca="false">B12/B$22*B$24</f>
        <v>0.0423913043478261</v>
      </c>
      <c r="D12" s="57" t="s">
        <v>434</v>
      </c>
      <c r="E12" s="59" t="n">
        <f aca="false">IFERROR(INDEX(Correspondance!$D$2:$D$3000,MATCH(A12,Correspondance!$A$2:$A$3000,0)),0)</f>
        <v>12</v>
      </c>
      <c r="F12" s="60" t="n">
        <f aca="false">C12*E12</f>
        <v>0.508695652173913</v>
      </c>
      <c r="G12" s="61"/>
      <c r="I12" s="63"/>
    </row>
    <row r="13" customFormat="false" ht="18.75" hidden="false" customHeight="true" outlineLevel="0" collapsed="false">
      <c r="A13" s="57" t="s">
        <v>1459</v>
      </c>
      <c r="B13" s="64" t="n">
        <v>0.339</v>
      </c>
      <c r="C13" s="58" t="n">
        <f aca="false">B13/B$22*B$24</f>
        <v>0.532246376811594</v>
      </c>
      <c r="D13" s="57" t="s">
        <v>682</v>
      </c>
      <c r="E13" s="59" t="n">
        <f aca="false">IFERROR(INDEX(Correspondance!$D$2:$D$3000,MATCH(A13,Correspondance!$A$2:$A$3000,0)),0)</f>
        <v>0</v>
      </c>
      <c r="F13" s="60" t="n">
        <f aca="false">C13*E13</f>
        <v>0</v>
      </c>
      <c r="G13" s="61"/>
      <c r="I13" s="63"/>
    </row>
    <row r="14" customFormat="false" ht="15.75" hidden="false" customHeight="false" outlineLevel="0" collapsed="false">
      <c r="A14" s="57" t="s">
        <v>1576</v>
      </c>
      <c r="B14" s="57" t="n">
        <v>1.02</v>
      </c>
      <c r="C14" s="58" t="n">
        <f aca="false">B14/B$22*B$24</f>
        <v>1.60144927536232</v>
      </c>
      <c r="D14" s="57" t="s">
        <v>434</v>
      </c>
      <c r="E14" s="59" t="n">
        <f aca="false">IFERROR(INDEX(Correspondance!$D$2:$D$3000,MATCH(A14,Correspondance!$A$2:$A$3000,0)),0)</f>
        <v>5.5</v>
      </c>
      <c r="F14" s="60" t="n">
        <f aca="false">C14*E14</f>
        <v>8.80797101449275</v>
      </c>
      <c r="G14" s="61"/>
      <c r="I14" s="63"/>
    </row>
    <row r="15" customFormat="false" ht="15.75" hidden="false" customHeight="false" outlineLevel="0" collapsed="false">
      <c r="A15" s="57" t="s">
        <v>1084</v>
      </c>
      <c r="B15" s="57" t="n">
        <v>0.02</v>
      </c>
      <c r="C15" s="58" t="n">
        <f aca="false">B15/B$22*B$24</f>
        <v>0.0314009661835749</v>
      </c>
      <c r="D15" s="57" t="s">
        <v>434</v>
      </c>
      <c r="E15" s="59" t="n">
        <f aca="false">IFERROR(INDEX(Correspondance!$D$2:$D$3000,MATCH(A15,Correspondance!$A$2:$A$3000,0)),0)</f>
        <v>2.2</v>
      </c>
      <c r="F15" s="60" t="n">
        <f aca="false">C15*E15</f>
        <v>0.0690821256038647</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163.229130434783</v>
      </c>
      <c r="G19" s="61"/>
      <c r="I19" s="63"/>
    </row>
    <row r="20" customFormat="false" ht="18.75" hidden="false" customHeight="true" outlineLevel="0" collapsed="false">
      <c r="A20" s="68" t="s">
        <v>2628</v>
      </c>
      <c r="B20" s="69" t="n">
        <f aca="false">F19/B24</f>
        <v>1.48390118577075</v>
      </c>
      <c r="C20" s="70"/>
      <c r="G20" s="61"/>
      <c r="I20" s="63"/>
    </row>
    <row r="21" customFormat="false" ht="15.75" hidden="false" customHeight="false" outlineLevel="0" collapsed="false">
      <c r="A21" s="71" t="s">
        <v>2629</v>
      </c>
      <c r="B21" s="71" t="n">
        <f aca="false">SUM(B3:B18)</f>
        <v>9.108</v>
      </c>
      <c r="C21" s="66"/>
      <c r="G21" s="61"/>
      <c r="I21" s="63"/>
    </row>
    <row r="22" customFormat="false" ht="15.75" hidden="false" customHeight="false" outlineLevel="0" collapsed="false">
      <c r="A22" s="0" t="s">
        <v>2630</v>
      </c>
      <c r="B22" s="72" t="n">
        <f aca="false">B21/B23</f>
        <v>70.0615384615385</v>
      </c>
      <c r="C22" s="66"/>
      <c r="G22" s="61"/>
      <c r="I22" s="63"/>
    </row>
    <row r="23" customFormat="false" ht="15.75" hidden="false" customHeight="false" outlineLevel="0" collapsed="false">
      <c r="A23" s="0" t="s">
        <v>2631</v>
      </c>
      <c r="B23" s="0" t="n">
        <v>0.13</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0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142</v>
      </c>
      <c r="B1" s="50"/>
      <c r="C1" s="50"/>
      <c r="D1" s="50"/>
      <c r="E1" s="51" t="s">
        <v>2619</v>
      </c>
      <c r="F1" s="51"/>
      <c r="G1" s="75" t="s">
        <v>2797</v>
      </c>
    </row>
    <row r="2" customFormat="false" ht="21.75" hidden="false" customHeight="true" outlineLevel="0" collapsed="false">
      <c r="A2" s="50"/>
      <c r="B2" s="50"/>
      <c r="C2" s="50"/>
      <c r="D2" s="50"/>
      <c r="E2" s="53" t="s">
        <v>2692</v>
      </c>
      <c r="F2" s="53"/>
      <c r="G2" s="75"/>
    </row>
    <row r="3" customFormat="false" ht="51.75" hidden="false" customHeight="true" outlineLevel="0" collapsed="false">
      <c r="A3" s="54" t="s">
        <v>2588</v>
      </c>
      <c r="B3" s="55" t="s">
        <v>2622</v>
      </c>
      <c r="C3" s="55" t="s">
        <v>2623</v>
      </c>
      <c r="D3" s="56" t="s">
        <v>2624</v>
      </c>
      <c r="E3" s="56" t="s">
        <v>2625</v>
      </c>
      <c r="F3" s="56" t="s">
        <v>2626</v>
      </c>
      <c r="G3" s="75"/>
    </row>
    <row r="4" customFormat="false" ht="18" hidden="false" customHeight="true" outlineLevel="0" collapsed="false">
      <c r="A4" s="76" t="s">
        <v>1888</v>
      </c>
      <c r="B4" s="57" t="n">
        <v>9.33</v>
      </c>
      <c r="C4" s="58" t="n">
        <f aca="false">B4/B$23*B$25</f>
        <v>14.6614285714286</v>
      </c>
      <c r="D4" s="57" t="s">
        <v>434</v>
      </c>
      <c r="E4" s="59" t="n">
        <f aca="false">IFERROR(INDEX(Correspondance!$D$2:$D$3000,MATCH(A4,Correspondance!$A$2:$A$3000,0)),0)</f>
        <v>7.5</v>
      </c>
      <c r="F4" s="77" t="n">
        <f aca="false">C4*E4</f>
        <v>109.960714285714</v>
      </c>
      <c r="G4" s="78" t="s">
        <v>2798</v>
      </c>
    </row>
    <row r="5" customFormat="false" ht="15.75" hidden="false" customHeight="false" outlineLevel="0" collapsed="false">
      <c r="A5" s="57"/>
      <c r="B5" s="57"/>
      <c r="C5" s="58" t="n">
        <f aca="false">B5/B$23*B$25</f>
        <v>0</v>
      </c>
      <c r="D5" s="57" t="s">
        <v>434</v>
      </c>
      <c r="E5" s="65"/>
      <c r="F5" s="77" t="n">
        <f aca="false">C5*E5</f>
        <v>0</v>
      </c>
      <c r="G5" s="78"/>
      <c r="I5" s="62"/>
    </row>
    <row r="6" customFormat="false" ht="15.75" hidden="false" customHeight="false" outlineLevel="0" collapsed="false">
      <c r="A6" s="57"/>
      <c r="B6" s="57"/>
      <c r="C6" s="58" t="n">
        <f aca="false">B6/B$23*B$25</f>
        <v>0</v>
      </c>
      <c r="D6" s="57" t="s">
        <v>434</v>
      </c>
      <c r="E6" s="65"/>
      <c r="F6" s="77" t="n">
        <f aca="false">C6*E6</f>
        <v>0</v>
      </c>
      <c r="G6" s="78"/>
      <c r="I6" s="63"/>
    </row>
    <row r="7" customFormat="false" ht="15.75" hidden="false" customHeight="false" outlineLevel="0" collapsed="false">
      <c r="A7" s="57"/>
      <c r="B7" s="57"/>
      <c r="C7" s="58" t="n">
        <f aca="false">B7/B$23*B$25</f>
        <v>0</v>
      </c>
      <c r="D7" s="57" t="s">
        <v>434</v>
      </c>
      <c r="E7" s="65"/>
      <c r="F7" s="77" t="n">
        <f aca="false">C7*E7</f>
        <v>0</v>
      </c>
      <c r="G7" s="78"/>
      <c r="I7" s="63"/>
    </row>
    <row r="8" customFormat="false" ht="15.75" hidden="false" customHeight="false" outlineLevel="0" collapsed="false">
      <c r="A8" s="57"/>
      <c r="B8" s="57"/>
      <c r="C8" s="58" t="n">
        <f aca="false">B8/B$23*B$25</f>
        <v>0</v>
      </c>
      <c r="D8" s="57" t="s">
        <v>434</v>
      </c>
      <c r="E8" s="65"/>
      <c r="F8" s="77" t="n">
        <f aca="false">C8*E8</f>
        <v>0</v>
      </c>
      <c r="G8" s="78"/>
      <c r="I8" s="63"/>
    </row>
    <row r="9" customFormat="false" ht="15.75" hidden="false" customHeight="false" outlineLevel="0" collapsed="false">
      <c r="A9" s="57"/>
      <c r="B9" s="57"/>
      <c r="C9" s="58" t="n">
        <f aca="false">B9/B$23*B$25</f>
        <v>0</v>
      </c>
      <c r="D9" s="57" t="s">
        <v>434</v>
      </c>
      <c r="E9" s="65"/>
      <c r="F9" s="77" t="n">
        <f aca="false">C9*E9</f>
        <v>0</v>
      </c>
      <c r="G9" s="78"/>
      <c r="I9" s="63"/>
    </row>
    <row r="10" customFormat="false" ht="15.75" hidden="false" customHeight="false" outlineLevel="0" collapsed="false">
      <c r="A10" s="57"/>
      <c r="B10" s="57"/>
      <c r="C10" s="58" t="n">
        <f aca="false">B10/B$23*B$25</f>
        <v>0</v>
      </c>
      <c r="D10" s="57" t="s">
        <v>434</v>
      </c>
      <c r="E10" s="65"/>
      <c r="F10" s="77" t="n">
        <f aca="false">C10*E10</f>
        <v>0</v>
      </c>
      <c r="G10" s="78"/>
      <c r="I10" s="63"/>
    </row>
    <row r="11" customFormat="false" ht="15.75" hidden="false" customHeight="false" outlineLevel="0" collapsed="false">
      <c r="A11" s="57"/>
      <c r="B11" s="57"/>
      <c r="C11" s="58" t="n">
        <f aca="false">B11/B$23*B$25</f>
        <v>0</v>
      </c>
      <c r="D11" s="57" t="s">
        <v>434</v>
      </c>
      <c r="E11" s="65"/>
      <c r="F11" s="77" t="n">
        <f aca="false">C11*E11</f>
        <v>0</v>
      </c>
      <c r="G11" s="78"/>
      <c r="I11" s="63"/>
    </row>
    <row r="12" customFormat="false" ht="15.75" hidden="false" customHeight="false" outlineLevel="0" collapsed="false">
      <c r="A12" s="57"/>
      <c r="B12" s="57"/>
      <c r="C12" s="58" t="n">
        <f aca="false">B12/B$23*B$25</f>
        <v>0</v>
      </c>
      <c r="D12" s="57" t="s">
        <v>434</v>
      </c>
      <c r="E12" s="65"/>
      <c r="F12" s="77" t="n">
        <f aca="false">C12*E12</f>
        <v>0</v>
      </c>
      <c r="G12" s="78"/>
      <c r="I12" s="63"/>
    </row>
    <row r="13" customFormat="false" ht="18.75" hidden="false" customHeight="true" outlineLevel="0" collapsed="false">
      <c r="A13" s="57"/>
      <c r="B13" s="64"/>
      <c r="C13" s="58" t="n">
        <f aca="false">B13/B$23*B$25</f>
        <v>0</v>
      </c>
      <c r="D13" s="57"/>
      <c r="E13" s="65"/>
      <c r="F13" s="77" t="n">
        <f aca="false">C13*E13</f>
        <v>0</v>
      </c>
      <c r="G13" s="78"/>
      <c r="I13" s="63"/>
    </row>
    <row r="14" customFormat="false" ht="18.75" hidden="false" customHeight="true" outlineLevel="0" collapsed="false">
      <c r="A14" s="57"/>
      <c r="B14" s="64"/>
      <c r="C14" s="58" t="n">
        <f aca="false">B14/B$23*B$25</f>
        <v>0</v>
      </c>
      <c r="D14" s="57"/>
      <c r="E14" s="65"/>
      <c r="F14" s="77" t="n">
        <f aca="false">C14*E14</f>
        <v>0</v>
      </c>
      <c r="G14" s="78"/>
      <c r="I14" s="63"/>
    </row>
    <row r="15" customFormat="false" ht="15.75" hidden="false" customHeight="false" outlineLevel="0" collapsed="false">
      <c r="A15" s="57"/>
      <c r="B15" s="57"/>
      <c r="C15" s="58" t="n">
        <f aca="false">B15/B$23*B$25</f>
        <v>0</v>
      </c>
      <c r="D15" s="57"/>
      <c r="E15" s="65"/>
      <c r="F15" s="77" t="n">
        <f aca="false">C15*E15</f>
        <v>0</v>
      </c>
      <c r="G15" s="78"/>
      <c r="I15" s="63"/>
    </row>
    <row r="16" customFormat="false" ht="15.75" hidden="false" customHeight="false" outlineLevel="0" collapsed="false">
      <c r="A16" s="57"/>
      <c r="B16" s="57"/>
      <c r="C16" s="58" t="n">
        <f aca="false">B16/B$23*B$25</f>
        <v>0</v>
      </c>
      <c r="D16" s="57"/>
      <c r="E16" s="65"/>
      <c r="F16" s="77" t="n">
        <f aca="false">C16*E16</f>
        <v>0</v>
      </c>
      <c r="G16" s="78"/>
      <c r="I16" s="63"/>
    </row>
    <row r="17" customFormat="false" ht="15.75" hidden="false" customHeight="false" outlineLevel="0" collapsed="false">
      <c r="A17" s="57"/>
      <c r="B17" s="57"/>
      <c r="C17" s="58" t="n">
        <f aca="false">B17/B$23*B$25</f>
        <v>0</v>
      </c>
      <c r="D17" s="57"/>
      <c r="E17" s="65"/>
      <c r="F17" s="77" t="n">
        <f aca="false">C17*E17</f>
        <v>0</v>
      </c>
      <c r="G17" s="78"/>
      <c r="I17" s="63"/>
    </row>
    <row r="18" customFormat="false" ht="15.75" hidden="false" customHeight="false" outlineLevel="0" collapsed="false">
      <c r="A18" s="57"/>
      <c r="B18" s="57"/>
      <c r="C18" s="58" t="n">
        <f aca="false">B18/B$23*B$25</f>
        <v>0</v>
      </c>
      <c r="D18" s="57"/>
      <c r="E18" s="65"/>
      <c r="F18" s="77" t="n">
        <f aca="false">C18*E18</f>
        <v>0</v>
      </c>
      <c r="G18" s="78"/>
      <c r="I18" s="63"/>
    </row>
    <row r="19" customFormat="false" ht="15.75" hidden="false" customHeight="false" outlineLevel="0" collapsed="false">
      <c r="A19" s="57"/>
      <c r="B19" s="57"/>
      <c r="C19" s="58" t="n">
        <f aca="false">B19/B$23*B$25</f>
        <v>0</v>
      </c>
      <c r="D19" s="57"/>
      <c r="E19" s="65"/>
      <c r="F19" s="77" t="n">
        <f aca="false">C19*E19</f>
        <v>0</v>
      </c>
      <c r="G19" s="78"/>
      <c r="I19" s="63"/>
    </row>
    <row r="20" customFormat="false" ht="15.75" hidden="false" customHeight="false" outlineLevel="0" collapsed="false">
      <c r="C20" s="66"/>
      <c r="F20" s="67" t="n">
        <f aca="false">SUM(F4:F19)</f>
        <v>109.960714285714</v>
      </c>
      <c r="G20" s="78"/>
      <c r="I20" s="63"/>
    </row>
    <row r="21" customFormat="false" ht="18.75" hidden="false" customHeight="true" outlineLevel="0" collapsed="false">
      <c r="A21" s="68" t="s">
        <v>2628</v>
      </c>
      <c r="B21" s="69" t="n">
        <f aca="false">F20/B25</f>
        <v>0.999642857142857</v>
      </c>
      <c r="C21" s="70"/>
      <c r="G21" s="78"/>
      <c r="I21" s="63"/>
    </row>
    <row r="22" customFormat="false" ht="15.75" hidden="false" customHeight="false" outlineLevel="0" collapsed="false">
      <c r="A22" s="71" t="s">
        <v>2629</v>
      </c>
      <c r="B22" s="71" t="n">
        <v>7</v>
      </c>
      <c r="C22" s="66"/>
      <c r="G22" s="78"/>
      <c r="I22" s="63"/>
    </row>
    <row r="23" customFormat="false" ht="15.75" hidden="false" customHeight="false" outlineLevel="0" collapsed="false">
      <c r="A23" s="0" t="s">
        <v>2630</v>
      </c>
      <c r="B23" s="72" t="n">
        <f aca="false">B22/B24</f>
        <v>70</v>
      </c>
      <c r="C23" s="66"/>
      <c r="G23" s="78"/>
      <c r="I23" s="63"/>
    </row>
    <row r="24" customFormat="false" ht="15.75" hidden="false" customHeight="false" outlineLevel="0" collapsed="false">
      <c r="A24" s="0" t="s">
        <v>2631</v>
      </c>
      <c r="B24" s="0" t="n">
        <v>0.1</v>
      </c>
      <c r="C24" s="79" t="s">
        <v>2632</v>
      </c>
      <c r="G24" s="78"/>
      <c r="I24" s="63"/>
    </row>
    <row r="25" customFormat="false" ht="18.75" hidden="false" customHeight="true" outlineLevel="0" collapsed="false">
      <c r="A25" s="74" t="s">
        <v>2633</v>
      </c>
      <c r="B25" s="74" t="n">
        <f aca="false">Paramètres!$B$5</f>
        <v>110</v>
      </c>
      <c r="C25" s="79" t="s">
        <v>2634</v>
      </c>
      <c r="G25" s="78"/>
      <c r="I25" s="63"/>
    </row>
    <row r="26" customFormat="false" ht="15.75" hidden="false" customHeight="false" outlineLevel="0" collapsed="false">
      <c r="I26" s="63"/>
    </row>
  </sheetData>
  <mergeCells count="5">
    <mergeCell ref="A1:D2"/>
    <mergeCell ref="E1:F1"/>
    <mergeCell ref="G1:G3"/>
    <mergeCell ref="E2:F2"/>
    <mergeCell ref="G4:G2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0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144</v>
      </c>
      <c r="B1" s="50"/>
      <c r="C1" s="50"/>
      <c r="D1" s="50"/>
      <c r="E1" s="51" t="s">
        <v>2619</v>
      </c>
      <c r="F1" s="51"/>
      <c r="G1" s="52" t="s">
        <v>2799</v>
      </c>
    </row>
    <row r="2" customFormat="false" ht="24.75" hidden="false" customHeight="true" outlineLevel="0" collapsed="false">
      <c r="A2" s="50"/>
      <c r="B2" s="50"/>
      <c r="C2" s="50"/>
      <c r="D2" s="50"/>
      <c r="E2" s="53" t="s">
        <v>2692</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1889</v>
      </c>
      <c r="B4" s="57" t="n">
        <v>6.17</v>
      </c>
      <c r="C4" s="58" t="n">
        <f aca="false">B4/B$22*B$24</f>
        <v>9.69340633182575</v>
      </c>
      <c r="D4" s="57" t="s">
        <v>434</v>
      </c>
      <c r="E4" s="59" t="n">
        <f aca="false">IFERROR(INDEX(Correspondance!$D$2:$D$3000,MATCH(A4,Correspondance!$A$2:$A$3000,0)),0)</f>
        <v>7.5</v>
      </c>
      <c r="F4" s="60" t="n">
        <f aca="false">C4*E4</f>
        <v>72.7005474886932</v>
      </c>
      <c r="G4" s="61" t="s">
        <v>2800</v>
      </c>
    </row>
    <row r="5" customFormat="false" ht="15.75" hidden="false" customHeight="false" outlineLevel="0" collapsed="false">
      <c r="A5" s="57" t="s">
        <v>1919</v>
      </c>
      <c r="B5" s="57" t="n">
        <v>0.074</v>
      </c>
      <c r="C5" s="58" t="n">
        <f aca="false">B5/B$22*B$24</f>
        <v>0.116258033801476</v>
      </c>
      <c r="D5" s="57" t="s">
        <v>434</v>
      </c>
      <c r="E5" s="59" t="n">
        <f aca="false">IFERROR(INDEX(Correspondance!$D$2:$D$3000,MATCH(A5,Correspondance!$A$2:$A$3000,0)),0)</f>
        <v>2</v>
      </c>
      <c r="F5" s="60" t="n">
        <f aca="false">C5*E5</f>
        <v>0.232516067602952</v>
      </c>
      <c r="G5" s="61"/>
      <c r="I5" s="62"/>
    </row>
    <row r="6" customFormat="false" ht="15.75" hidden="false" customHeight="false" outlineLevel="0" collapsed="false">
      <c r="A6" s="57" t="s">
        <v>1814</v>
      </c>
      <c r="B6" s="57"/>
      <c r="C6" s="58" t="n">
        <f aca="false">B6/B$22*B$24</f>
        <v>0</v>
      </c>
      <c r="D6" s="57" t="s">
        <v>434</v>
      </c>
      <c r="E6" s="59" t="n">
        <f aca="false">IFERROR(INDEX(Correspondance!$D$2:$D$3000,MATCH(A6,Correspondance!$A$2:$A$3000,0)),0)</f>
        <v>18</v>
      </c>
      <c r="F6" s="60" t="n">
        <f aca="false">C6*E6</f>
        <v>0</v>
      </c>
      <c r="G6" s="61"/>
      <c r="I6" s="63"/>
    </row>
    <row r="7" customFormat="false" ht="15.75" hidden="false" customHeight="false" outlineLevel="0" collapsed="false">
      <c r="A7" s="57" t="s">
        <v>1675</v>
      </c>
      <c r="B7" s="57" t="n">
        <v>0.062</v>
      </c>
      <c r="C7" s="58" t="n">
        <f aca="false">B7/B$22*B$24</f>
        <v>0.0974053796715068</v>
      </c>
      <c r="D7" s="57" t="s">
        <v>682</v>
      </c>
      <c r="E7" s="59" t="n">
        <f aca="false">IFERROR(INDEX(Correspondance!$D$2:$D$3000,MATCH(A7,Correspondance!$A$2:$A$3000,0)),0)</f>
        <v>2.2</v>
      </c>
      <c r="F7" s="60" t="n">
        <f aca="false">C7*E7</f>
        <v>0.214291835277315</v>
      </c>
      <c r="G7" s="61"/>
      <c r="I7" s="63"/>
    </row>
    <row r="8" customFormat="false" ht="15.75" hidden="false" customHeight="false" outlineLevel="0" collapsed="false">
      <c r="A8" s="57" t="s">
        <v>1664</v>
      </c>
      <c r="B8" s="57"/>
      <c r="C8" s="58" t="n">
        <f aca="false">B8/B$22*B$24</f>
        <v>0</v>
      </c>
      <c r="D8" s="57" t="s">
        <v>434</v>
      </c>
      <c r="E8" s="59" t="n">
        <f aca="false">IFERROR(INDEX(Correspondance!$D$2:$D$3000,MATCH(A8,Correspondance!$A$2:$A$3000,0)),0)</f>
        <v>11</v>
      </c>
      <c r="F8" s="60" t="n">
        <f aca="false">C8*E8</f>
        <v>0</v>
      </c>
      <c r="G8" s="61"/>
      <c r="I8" s="63"/>
    </row>
    <row r="9" customFormat="false" ht="15.75" hidden="false" customHeight="false" outlineLevel="0" collapsed="false">
      <c r="A9" s="57" t="s">
        <v>1710</v>
      </c>
      <c r="B9" s="57" t="n">
        <v>0.74</v>
      </c>
      <c r="C9" s="58" t="n">
        <f aca="false">B9/B$22*B$24</f>
        <v>1.16258033801476</v>
      </c>
      <c r="D9" s="57" t="s">
        <v>434</v>
      </c>
      <c r="E9" s="59" t="n">
        <f aca="false">IFERROR(INDEX(Correspondance!$D$2:$D$3000,MATCH(A9,Correspondance!$A$2:$A$3000,0)),0)</f>
        <v>4.5</v>
      </c>
      <c r="F9" s="60" t="n">
        <f aca="false">C9*E9</f>
        <v>5.23161152106641</v>
      </c>
      <c r="G9" s="61"/>
      <c r="I9" s="63"/>
    </row>
    <row r="10" customFormat="false" ht="15.75" hidden="false" customHeight="false" outlineLevel="0" collapsed="false">
      <c r="A10" s="57" t="s">
        <v>1725</v>
      </c>
      <c r="B10" s="57" t="n">
        <v>0.123</v>
      </c>
      <c r="C10" s="58" t="n">
        <f aca="false">B10/B$22*B$24</f>
        <v>0.193239704832183</v>
      </c>
      <c r="D10" s="57" t="s">
        <v>434</v>
      </c>
      <c r="E10" s="59" t="n">
        <f aca="false">IFERROR(INDEX(Correspondance!$D$2:$D$3000,MATCH(A10,Correspondance!$A$2:$A$3000,0)),0)</f>
        <v>9</v>
      </c>
      <c r="F10" s="60" t="n">
        <f aca="false">C10*E10</f>
        <v>1.73915734348965</v>
      </c>
      <c r="G10" s="61"/>
      <c r="I10" s="63"/>
    </row>
    <row r="11" customFormat="false" ht="15.75" hidden="false" customHeight="false" outlineLevel="0" collapsed="false">
      <c r="A11" s="57" t="s">
        <v>1567</v>
      </c>
      <c r="B11" s="57" t="n">
        <v>0.493</v>
      </c>
      <c r="C11" s="58" t="n">
        <f aca="false">B11/B$22*B$24</f>
        <v>0.774529873839562</v>
      </c>
      <c r="D11" s="57" t="s">
        <v>434</v>
      </c>
      <c r="E11" s="59" t="n">
        <f aca="false">IFERROR(INDEX(Correspondance!$D$2:$D$3000,MATCH(A11,Correspondance!$A$2:$A$3000,0)),0)</f>
        <v>6.5</v>
      </c>
      <c r="F11" s="60" t="n">
        <f aca="false">C11*E11</f>
        <v>5.03444417995715</v>
      </c>
      <c r="G11" s="61"/>
      <c r="I11" s="63"/>
    </row>
    <row r="12" customFormat="false" ht="18.75" hidden="false" customHeight="true" outlineLevel="0" collapsed="false">
      <c r="A12" s="57" t="s">
        <v>1898</v>
      </c>
      <c r="B12" s="64" t="n">
        <v>0.617</v>
      </c>
      <c r="C12" s="58" t="n">
        <f aca="false">B12/B$22*B$24</f>
        <v>0.969340633182576</v>
      </c>
      <c r="D12" s="57" t="s">
        <v>434</v>
      </c>
      <c r="E12" s="59" t="n">
        <f aca="false">IFERROR(INDEX(Correspondance!$D$2:$D$3000,MATCH(A12,Correspondance!$A$2:$A$3000,0)),0)</f>
        <v>5.5</v>
      </c>
      <c r="F12" s="60" t="n">
        <f aca="false">C12*E12</f>
        <v>5.33137348250417</v>
      </c>
      <c r="G12" s="61"/>
      <c r="I12" s="63"/>
    </row>
    <row r="13" customFormat="false" ht="18.75" hidden="false" customHeight="true" outlineLevel="0" collapsed="false">
      <c r="A13" s="57" t="s">
        <v>1984</v>
      </c>
      <c r="B13" s="64" t="n">
        <v>0.123</v>
      </c>
      <c r="C13" s="58" t="n">
        <f aca="false">B13/B$22*B$24</f>
        <v>0.193239704832183</v>
      </c>
      <c r="D13" s="57" t="s">
        <v>682</v>
      </c>
      <c r="E13" s="59" t="n">
        <f aca="false">IFERROR(INDEX(Correspondance!$D$2:$D$3000,MATCH(A13,Correspondance!$A$2:$A$3000,0)),0)</f>
        <v>3</v>
      </c>
      <c r="F13" s="60" t="n">
        <f aca="false">C13*E13</f>
        <v>0.579719114496548</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91.0636610330874</v>
      </c>
      <c r="G19" s="61"/>
      <c r="I19" s="63"/>
    </row>
    <row r="20" customFormat="false" ht="18.75" hidden="false" customHeight="true" outlineLevel="0" collapsed="false">
      <c r="A20" s="68" t="s">
        <v>2628</v>
      </c>
      <c r="B20" s="69" t="n">
        <f aca="false">F19/B24</f>
        <v>0.827851463937158</v>
      </c>
      <c r="C20" s="70"/>
      <c r="G20" s="61"/>
      <c r="I20" s="63"/>
    </row>
    <row r="21" customFormat="false" ht="15.75" hidden="false" customHeight="false" outlineLevel="0" collapsed="false">
      <c r="A21" s="71" t="s">
        <v>2629</v>
      </c>
      <c r="B21" s="71" t="n">
        <f aca="false">SUM(B3:B18)</f>
        <v>8.402</v>
      </c>
      <c r="C21" s="66"/>
      <c r="G21" s="61"/>
      <c r="I21" s="63"/>
    </row>
    <row r="22" customFormat="false" ht="15.75" hidden="false" customHeight="false" outlineLevel="0" collapsed="false">
      <c r="A22" s="0" t="s">
        <v>2630</v>
      </c>
      <c r="B22" s="72" t="n">
        <f aca="false">B21/B23</f>
        <v>70.0166666666667</v>
      </c>
      <c r="C22" s="66"/>
      <c r="G22" s="61"/>
      <c r="I22" s="63"/>
    </row>
    <row r="23" customFormat="false" ht="15.75" hidden="false" customHeight="false" outlineLevel="0" collapsed="false">
      <c r="A23" s="0" t="s">
        <v>2631</v>
      </c>
      <c r="B23" s="0" t="n">
        <v>0.12</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0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145</v>
      </c>
      <c r="B1" s="50"/>
      <c r="C1" s="50"/>
      <c r="D1" s="50"/>
      <c r="E1" s="51" t="s">
        <v>2619</v>
      </c>
      <c r="F1" s="51"/>
      <c r="G1" s="52" t="s">
        <v>2801</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1609</v>
      </c>
      <c r="B4" s="57" t="n">
        <v>6.74</v>
      </c>
      <c r="C4" s="58" t="n">
        <f aca="false">B4/B$22*B$24</f>
        <v>10.5849479910259</v>
      </c>
      <c r="D4" s="57" t="s">
        <v>434</v>
      </c>
      <c r="E4" s="59" t="n">
        <f aca="false">IFERROR(INDEX(Correspondance!$D$2:$D$3000,MATCH(A4,Correspondance!$A$2:$A$3000,0)),0)</f>
        <v>8</v>
      </c>
      <c r="F4" s="60" t="n">
        <f aca="false">C4*E4</f>
        <v>84.6795839282072</v>
      </c>
      <c r="G4" s="61" t="s">
        <v>2802</v>
      </c>
    </row>
    <row r="5" customFormat="false" ht="15.75" hidden="false" customHeight="false" outlineLevel="0" collapsed="false">
      <c r="A5" s="57" t="s">
        <v>1675</v>
      </c>
      <c r="B5" s="57" t="n">
        <v>0.202</v>
      </c>
      <c r="C5" s="58" t="n">
        <f aca="false">B5/B$22*B$24</f>
        <v>0.31723434631858</v>
      </c>
      <c r="D5" s="57" t="s">
        <v>682</v>
      </c>
      <c r="E5" s="59" t="n">
        <f aca="false">IFERROR(INDEX(Correspondance!$D$2:$D$3000,MATCH(A5,Correspondance!$A$2:$A$3000,0)),0)</f>
        <v>2.2</v>
      </c>
      <c r="F5" s="60" t="n">
        <f aca="false">C5*E5</f>
        <v>0.697915561900877</v>
      </c>
      <c r="G5" s="61"/>
      <c r="I5" s="62"/>
    </row>
    <row r="6" customFormat="false" ht="15.75" hidden="false" customHeight="false" outlineLevel="0" collapsed="false">
      <c r="A6" s="57" t="s">
        <v>1001</v>
      </c>
      <c r="B6" s="57" t="n">
        <v>0.539</v>
      </c>
      <c r="C6" s="58" t="n">
        <f aca="false">B6/B$22*B$24</f>
        <v>0.846481745869876</v>
      </c>
      <c r="D6" s="57" t="s">
        <v>434</v>
      </c>
      <c r="E6" s="59" t="n">
        <f aca="false">IFERROR(INDEX(Correspondance!$D$2:$D$3000,MATCH(A6,Correspondance!$A$2:$A$3000,0)),0)</f>
        <v>1.8</v>
      </c>
      <c r="F6" s="60" t="n">
        <f aca="false">C6*E6</f>
        <v>1.52366714256578</v>
      </c>
      <c r="G6" s="61"/>
      <c r="I6" s="63"/>
    </row>
    <row r="7" customFormat="false" ht="15.75" hidden="false" customHeight="false" outlineLevel="0" collapsed="false">
      <c r="A7" s="57" t="s">
        <v>1973</v>
      </c>
      <c r="B7" s="57" t="n">
        <v>0.337</v>
      </c>
      <c r="C7" s="58" t="n">
        <f aca="false">B7/B$22*B$24</f>
        <v>0.529247399551295</v>
      </c>
      <c r="D7" s="57" t="s">
        <v>682</v>
      </c>
      <c r="E7" s="59" t="n">
        <f aca="false">IFERROR(INDEX(Correspondance!$D$2:$D$3000,MATCH(A7,Correspondance!$A$2:$A$3000,0)),0)</f>
        <v>2</v>
      </c>
      <c r="F7" s="60" t="n">
        <f aca="false">C7*E7</f>
        <v>1.05849479910259</v>
      </c>
      <c r="G7" s="61"/>
      <c r="I7" s="63"/>
    </row>
    <row r="8" customFormat="false" ht="15.75" hidden="false" customHeight="false" outlineLevel="0" collapsed="false">
      <c r="A8" s="57" t="s">
        <v>1459</v>
      </c>
      <c r="B8" s="57" t="n">
        <v>1.35</v>
      </c>
      <c r="C8" s="58" t="n">
        <f aca="false">B8/B$22*B$24</f>
        <v>2.12013053232715</v>
      </c>
      <c r="D8" s="57" t="s">
        <v>682</v>
      </c>
      <c r="E8" s="59" t="n">
        <f aca="false">IFERROR(INDEX(Correspondance!$D$2:$D$3000,MATCH(A8,Correspondance!$A$2:$A$3000,0)),0)</f>
        <v>0</v>
      </c>
      <c r="F8" s="60" t="n">
        <f aca="false">C8*E8</f>
        <v>0</v>
      </c>
      <c r="G8" s="61"/>
      <c r="I8" s="63"/>
    </row>
    <row r="9" customFormat="false" ht="15.75" hidden="false" customHeight="false" outlineLevel="0" collapsed="false">
      <c r="A9" s="57" t="s">
        <v>1094</v>
      </c>
      <c r="B9" s="57" t="n">
        <v>0.067</v>
      </c>
      <c r="C9" s="58" t="n">
        <f aca="false">B9/B$22*B$24</f>
        <v>0.105221293085866</v>
      </c>
      <c r="D9" s="57" t="s">
        <v>434</v>
      </c>
      <c r="E9" s="59" t="n">
        <f aca="false">IFERROR(INDEX(Correspondance!$D$2:$D$3000,MATCH(A9,Correspondance!$A$2:$A$3000,0)),0)</f>
        <v>11</v>
      </c>
      <c r="F9" s="60" t="n">
        <f aca="false">C9*E9</f>
        <v>1.15743422394452</v>
      </c>
      <c r="G9" s="61"/>
      <c r="I9" s="63"/>
    </row>
    <row r="10" customFormat="false" ht="15.75" hidden="false" customHeight="false" outlineLevel="0" collapsed="false">
      <c r="A10" s="57" t="s">
        <v>1197</v>
      </c>
      <c r="B10" s="57" t="n">
        <v>0.067</v>
      </c>
      <c r="C10" s="58" t="n">
        <f aca="false">B10/B$22*B$24</f>
        <v>0.105221293085866</v>
      </c>
      <c r="D10" s="57" t="s">
        <v>434</v>
      </c>
      <c r="E10" s="59" t="n">
        <f aca="false">IFERROR(INDEX(Correspondance!$D$2:$D$3000,MATCH(A10,Correspondance!$A$2:$A$3000,0)),0)</f>
        <v>2.6</v>
      </c>
      <c r="F10" s="60" t="n">
        <f aca="false">C10*E10</f>
        <v>0.273575362023251</v>
      </c>
      <c r="G10" s="61"/>
      <c r="I10" s="63"/>
    </row>
    <row r="11" customFormat="false" ht="15.75" hidden="false" customHeight="false" outlineLevel="0" collapsed="false">
      <c r="A11" s="57" t="s">
        <v>1725</v>
      </c>
      <c r="B11" s="57" t="n">
        <v>0.101</v>
      </c>
      <c r="C11" s="58" t="n">
        <f aca="false">B11/B$22*B$24</f>
        <v>0.15861717315929</v>
      </c>
      <c r="D11" s="57" t="s">
        <v>434</v>
      </c>
      <c r="E11" s="59" t="n">
        <f aca="false">IFERROR(INDEX(Correspondance!$D$2:$D$3000,MATCH(A11,Correspondance!$A$2:$A$3000,0)),0)</f>
        <v>9</v>
      </c>
      <c r="F11" s="60" t="n">
        <f aca="false">C11*E11</f>
        <v>1.42755455843361</v>
      </c>
      <c r="G11" s="61"/>
      <c r="I11" s="63"/>
    </row>
    <row r="12" customFormat="false" ht="18.75" hidden="false" customHeight="true" outlineLevel="0" collapsed="false">
      <c r="A12" s="57" t="s">
        <v>1567</v>
      </c>
      <c r="B12" s="64" t="n">
        <v>0.269</v>
      </c>
      <c r="C12" s="58" t="n">
        <f aca="false">B12/B$22*B$24</f>
        <v>0.422455639404446</v>
      </c>
      <c r="D12" s="57" t="s">
        <v>434</v>
      </c>
      <c r="E12" s="59" t="n">
        <f aca="false">IFERROR(INDEX(Correspondance!$D$2:$D$3000,MATCH(A12,Correspondance!$A$2:$A$3000,0)),0)</f>
        <v>6.5</v>
      </c>
      <c r="F12" s="60" t="n">
        <f aca="false">C12*E12</f>
        <v>2.7459616561289</v>
      </c>
      <c r="G12" s="61"/>
      <c r="I12" s="63"/>
    </row>
    <row r="13" customFormat="false" ht="18.75" hidden="false" customHeight="true" outlineLevel="0" collapsed="false">
      <c r="A13" s="57" t="s">
        <v>1084</v>
      </c>
      <c r="B13" s="64" t="n">
        <v>0.067</v>
      </c>
      <c r="C13" s="58" t="n">
        <f aca="false">B13/B$22*B$24</f>
        <v>0.105221293085866</v>
      </c>
      <c r="D13" s="57" t="s">
        <v>434</v>
      </c>
      <c r="E13" s="59" t="n">
        <f aca="false">IFERROR(INDEX(Correspondance!$D$2:$D$3000,MATCH(A13,Correspondance!$A$2:$A$3000,0)),0)</f>
        <v>2.2</v>
      </c>
      <c r="F13" s="60" t="n">
        <f aca="false">C13*E13</f>
        <v>0.231486844788905</v>
      </c>
      <c r="G13" s="61"/>
      <c r="I13" s="63"/>
    </row>
    <row r="14" customFormat="false" ht="15.75" hidden="false" customHeight="false" outlineLevel="0" collapsed="false">
      <c r="A14" s="57" t="s">
        <v>1919</v>
      </c>
      <c r="B14" s="57" t="n">
        <v>0.067</v>
      </c>
      <c r="C14" s="58" t="n">
        <f aca="false">B14/B$22*B$24</f>
        <v>0.105221293085866</v>
      </c>
      <c r="D14" s="57" t="s">
        <v>434</v>
      </c>
      <c r="E14" s="59" t="n">
        <f aca="false">IFERROR(INDEX(Correspondance!$D$2:$D$3000,MATCH(A14,Correspondance!$A$2:$A$3000,0)),0)</f>
        <v>2</v>
      </c>
      <c r="F14" s="60" t="n">
        <f aca="false">C14*E14</f>
        <v>0.210442586171732</v>
      </c>
      <c r="G14" s="61"/>
      <c r="I14" s="63"/>
    </row>
    <row r="15" customFormat="false" ht="15.75" hidden="false" customHeight="false" outlineLevel="0" collapsed="false">
      <c r="A15" s="57" t="s">
        <v>1814</v>
      </c>
      <c r="B15" s="57"/>
      <c r="C15" s="58" t="n">
        <f aca="false">B15/B$22*B$24</f>
        <v>0</v>
      </c>
      <c r="D15" s="57" t="s">
        <v>434</v>
      </c>
      <c r="E15" s="59" t="n">
        <f aca="false">IFERROR(INDEX(Correspondance!$D$2:$D$3000,MATCH(A15,Correspondance!$A$2:$A$3000,0)),0)</f>
        <v>18</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94.0061166632674</v>
      </c>
      <c r="G19" s="61"/>
      <c r="I19" s="63"/>
    </row>
    <row r="20" customFormat="false" ht="18.75" hidden="false" customHeight="true" outlineLevel="0" collapsed="false">
      <c r="A20" s="68" t="s">
        <v>2628</v>
      </c>
      <c r="B20" s="69" t="n">
        <f aca="false">F19/B24</f>
        <v>0.854601060575158</v>
      </c>
      <c r="C20" s="70"/>
      <c r="G20" s="61"/>
      <c r="I20" s="63"/>
    </row>
    <row r="21" customFormat="false" ht="15.75" hidden="false" customHeight="false" outlineLevel="0" collapsed="false">
      <c r="A21" s="71" t="s">
        <v>2629</v>
      </c>
      <c r="B21" s="71" t="n">
        <f aca="false">SUM(B3:B18)</f>
        <v>9.806</v>
      </c>
      <c r="C21" s="66"/>
      <c r="G21" s="61"/>
      <c r="I21" s="63"/>
    </row>
    <row r="22" customFormat="false" ht="15.75" hidden="false" customHeight="false" outlineLevel="0" collapsed="false">
      <c r="A22" s="0" t="s">
        <v>2630</v>
      </c>
      <c r="B22" s="72" t="n">
        <f aca="false">B21/B23</f>
        <v>70.0428571428571</v>
      </c>
      <c r="C22" s="66"/>
      <c r="G22" s="61"/>
      <c r="I22" s="63"/>
    </row>
    <row r="23" customFormat="false" ht="15.75" hidden="false" customHeight="false" outlineLevel="0" collapsed="false">
      <c r="A23" s="0" t="s">
        <v>2631</v>
      </c>
      <c r="B23" s="0" t="n">
        <v>0.14</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0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146</v>
      </c>
      <c r="B1" s="50"/>
      <c r="C1" s="50"/>
      <c r="D1" s="50"/>
      <c r="E1" s="51" t="s">
        <v>2619</v>
      </c>
      <c r="F1" s="51"/>
      <c r="G1" s="52" t="s">
        <v>2803</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1901</v>
      </c>
      <c r="B4" s="57" t="n">
        <v>6.58</v>
      </c>
      <c r="C4" s="58" t="n">
        <f aca="false">B4/B$22*B$24</f>
        <v>10.3354569420035</v>
      </c>
      <c r="D4" s="57" t="s">
        <v>434</v>
      </c>
      <c r="E4" s="59" t="n">
        <f aca="false">IFERROR(INDEX(Correspondance!$D$2:$D$3000,MATCH(A4,Correspondance!$A$2:$A$3000,0)),0)</f>
        <v>7.5</v>
      </c>
      <c r="F4" s="60" t="n">
        <f aca="false">C4*E4</f>
        <v>77.5159270650264</v>
      </c>
      <c r="G4" s="61" t="s">
        <v>2804</v>
      </c>
    </row>
    <row r="5" customFormat="false" ht="15.75" hidden="false" customHeight="false" outlineLevel="0" collapsed="false">
      <c r="A5" s="57" t="s">
        <v>1675</v>
      </c>
      <c r="B5" s="57" t="n">
        <v>0.066</v>
      </c>
      <c r="C5" s="58" t="n">
        <f aca="false">B5/B$22*B$24</f>
        <v>0.103668717047452</v>
      </c>
      <c r="D5" s="57" t="s">
        <v>682</v>
      </c>
      <c r="E5" s="59" t="n">
        <f aca="false">IFERROR(INDEX(Correspondance!$D$2:$D$3000,MATCH(A5,Correspondance!$A$2:$A$3000,0)),0)</f>
        <v>2.2</v>
      </c>
      <c r="F5" s="60" t="n">
        <f aca="false">C5*E5</f>
        <v>0.228071177504394</v>
      </c>
      <c r="G5" s="61"/>
      <c r="I5" s="62"/>
    </row>
    <row r="6" customFormat="false" ht="15.75" hidden="false" customHeight="false" outlineLevel="0" collapsed="false">
      <c r="A6" s="57" t="s">
        <v>1003</v>
      </c>
      <c r="B6" s="57" t="n">
        <v>0.986</v>
      </c>
      <c r="C6" s="58" t="n">
        <f aca="false">B6/B$22*B$24</f>
        <v>1.54874780316344</v>
      </c>
      <c r="D6" s="57" t="s">
        <v>434</v>
      </c>
      <c r="E6" s="59" t="n">
        <f aca="false">IFERROR(INDEX(Correspondance!$D$2:$D$3000,MATCH(A6,Correspondance!$A$2:$A$3000,0)),0)</f>
        <v>1.9</v>
      </c>
      <c r="F6" s="60" t="n">
        <f aca="false">C6*E6</f>
        <v>2.94262082601054</v>
      </c>
      <c r="G6" s="61"/>
      <c r="I6" s="63"/>
    </row>
    <row r="7" customFormat="false" ht="15.75" hidden="false" customHeight="false" outlineLevel="0" collapsed="false">
      <c r="A7" s="57" t="s">
        <v>1973</v>
      </c>
      <c r="B7" s="57" t="n">
        <v>0.197</v>
      </c>
      <c r="C7" s="58" t="n">
        <f aca="false">B7/B$22*B$24</f>
        <v>0.309435413005272</v>
      </c>
      <c r="D7" s="57" t="s">
        <v>682</v>
      </c>
      <c r="E7" s="59" t="n">
        <f aca="false">IFERROR(INDEX(Correspondance!$D$2:$D$3000,MATCH(A7,Correspondance!$A$2:$A$3000,0)),0)</f>
        <v>2</v>
      </c>
      <c r="F7" s="60" t="n">
        <f aca="false">C7*E7</f>
        <v>0.618870826010545</v>
      </c>
      <c r="G7" s="61"/>
      <c r="I7" s="63"/>
    </row>
    <row r="8" customFormat="false" ht="15.75" hidden="false" customHeight="false" outlineLevel="0" collapsed="false">
      <c r="A8" s="57" t="s">
        <v>1459</v>
      </c>
      <c r="B8" s="57" t="n">
        <v>0.986</v>
      </c>
      <c r="C8" s="58" t="n">
        <f aca="false">B8/B$22*B$24</f>
        <v>1.54874780316344</v>
      </c>
      <c r="D8" s="57" t="s">
        <v>682</v>
      </c>
      <c r="E8" s="59" t="n">
        <f aca="false">IFERROR(INDEX(Correspondance!$D$2:$D$3000,MATCH(A8,Correspondance!$A$2:$A$3000,0)),0)</f>
        <v>0</v>
      </c>
      <c r="F8" s="60" t="n">
        <f aca="false">C8*E8</f>
        <v>0</v>
      </c>
      <c r="G8" s="61"/>
      <c r="I8" s="63"/>
    </row>
    <row r="9" customFormat="false" ht="15.75" hidden="false" customHeight="false" outlineLevel="0" collapsed="false">
      <c r="A9" s="57" t="s">
        <v>1094</v>
      </c>
      <c r="B9" s="57" t="n">
        <v>0.053</v>
      </c>
      <c r="C9" s="58" t="n">
        <f aca="false">B9/B$22*B$24</f>
        <v>0.0832491212653779</v>
      </c>
      <c r="D9" s="57" t="s">
        <v>434</v>
      </c>
      <c r="E9" s="59" t="n">
        <f aca="false">IFERROR(INDEX(Correspondance!$D$2:$D$3000,MATCH(A9,Correspondance!$A$2:$A$3000,0)),0)</f>
        <v>11</v>
      </c>
      <c r="F9" s="60" t="n">
        <f aca="false">C9*E9</f>
        <v>0.915740333919157</v>
      </c>
      <c r="G9" s="61"/>
      <c r="I9" s="63"/>
    </row>
    <row r="10" customFormat="false" ht="15.75" hidden="false" customHeight="false" outlineLevel="0" collapsed="false">
      <c r="A10" s="57" t="s">
        <v>1084</v>
      </c>
      <c r="B10" s="57" t="n">
        <v>0.039</v>
      </c>
      <c r="C10" s="58" t="n">
        <f aca="false">B10/B$22*B$24</f>
        <v>0.0612587873462214</v>
      </c>
      <c r="D10" s="57" t="s">
        <v>434</v>
      </c>
      <c r="E10" s="59" t="n">
        <f aca="false">IFERROR(INDEX(Correspondance!$D$2:$D$3000,MATCH(A10,Correspondance!$A$2:$A$3000,0)),0)</f>
        <v>2.2</v>
      </c>
      <c r="F10" s="60" t="n">
        <f aca="false">C10*E10</f>
        <v>0.134769332161687</v>
      </c>
      <c r="G10" s="61"/>
      <c r="I10" s="63"/>
    </row>
    <row r="11" customFormat="false" ht="15.75" hidden="false" customHeight="false" outlineLevel="0" collapsed="false">
      <c r="A11" s="57" t="s">
        <v>1725</v>
      </c>
      <c r="B11" s="57" t="n">
        <v>0.197</v>
      </c>
      <c r="C11" s="58" t="n">
        <f aca="false">B11/B$22*B$24</f>
        <v>0.309435413005272</v>
      </c>
      <c r="D11" s="57" t="s">
        <v>434</v>
      </c>
      <c r="E11" s="59" t="n">
        <f aca="false">IFERROR(INDEX(Correspondance!$D$2:$D$3000,MATCH(A11,Correspondance!$A$2:$A$3000,0)),0)</f>
        <v>9</v>
      </c>
      <c r="F11" s="60" t="n">
        <f aca="false">C11*E11</f>
        <v>2.78491871704745</v>
      </c>
      <c r="G11" s="61"/>
      <c r="I11" s="63"/>
    </row>
    <row r="12" customFormat="false" ht="18.75" hidden="false" customHeight="true" outlineLevel="0" collapsed="false">
      <c r="A12" s="57" t="s">
        <v>1814</v>
      </c>
      <c r="B12" s="64"/>
      <c r="C12" s="58" t="n">
        <f aca="false">B12/B$22*B$24</f>
        <v>0</v>
      </c>
      <c r="D12" s="57" t="s">
        <v>434</v>
      </c>
      <c r="E12" s="59" t="n">
        <f aca="false">IFERROR(INDEX(Correspondance!$D$2:$D$3000,MATCH(A12,Correspondance!$A$2:$A$3000,0)),0)</f>
        <v>18</v>
      </c>
      <c r="F12" s="60" t="n">
        <f aca="false">C12*E12</f>
        <v>0</v>
      </c>
      <c r="G12" s="61"/>
      <c r="I12" s="63"/>
    </row>
    <row r="13" customFormat="false" ht="18.75" hidden="false" customHeight="true" outlineLevel="0" collapsed="false">
      <c r="A13" s="57" t="s">
        <v>1945</v>
      </c>
      <c r="B13" s="64"/>
      <c r="C13" s="58" t="n">
        <f aca="false">B13/B$22*B$24</f>
        <v>0</v>
      </c>
      <c r="D13" s="57" t="s">
        <v>434</v>
      </c>
      <c r="E13" s="59" t="n">
        <f aca="false">IFERROR(INDEX(Correspondance!$D$2:$D$3000,MATCH(A13,Correspondance!$A$2:$A$3000,0)),0)</f>
        <v>16</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85.1409182776801</v>
      </c>
      <c r="G19" s="61"/>
      <c r="I19" s="63"/>
    </row>
    <row r="20" customFormat="false" ht="18.75" hidden="false" customHeight="true" outlineLevel="0" collapsed="false">
      <c r="A20" s="68" t="s">
        <v>2628</v>
      </c>
      <c r="B20" s="69" t="n">
        <f aca="false">F19/B24</f>
        <v>0.77400834797891</v>
      </c>
      <c r="C20" s="70"/>
      <c r="G20" s="61"/>
      <c r="I20" s="63"/>
    </row>
    <row r="21" customFormat="false" ht="15.75" hidden="false" customHeight="false" outlineLevel="0" collapsed="false">
      <c r="A21" s="71" t="s">
        <v>2629</v>
      </c>
      <c r="B21" s="71" t="n">
        <f aca="false">SUM(B3:B18)</f>
        <v>9.104</v>
      </c>
      <c r="C21" s="66"/>
      <c r="G21" s="61"/>
      <c r="I21" s="63"/>
    </row>
    <row r="22" customFormat="false" ht="15.75" hidden="false" customHeight="false" outlineLevel="0" collapsed="false">
      <c r="A22" s="0" t="s">
        <v>2630</v>
      </c>
      <c r="B22" s="72" t="n">
        <f aca="false">B21/B23</f>
        <v>70.0307692307692</v>
      </c>
      <c r="C22" s="66"/>
      <c r="G22" s="61"/>
      <c r="I22" s="63"/>
    </row>
    <row r="23" customFormat="false" ht="15.75" hidden="false" customHeight="false" outlineLevel="0" collapsed="false">
      <c r="A23" s="0" t="s">
        <v>2631</v>
      </c>
      <c r="B23" s="0" t="n">
        <v>0.13</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0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147</v>
      </c>
      <c r="B1" s="50"/>
      <c r="C1" s="50"/>
      <c r="D1" s="50"/>
      <c r="E1" s="51" t="s">
        <v>2619</v>
      </c>
      <c r="F1" s="51"/>
      <c r="G1" s="52" t="s">
        <v>2805</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1905</v>
      </c>
      <c r="B4" s="57" t="n">
        <v>6.75</v>
      </c>
      <c r="C4" s="58" t="n">
        <f aca="false">B4/B$22*B$24</f>
        <v>10.6024824253076</v>
      </c>
      <c r="D4" s="57" t="s">
        <v>434</v>
      </c>
      <c r="E4" s="59" t="n">
        <f aca="false">IFERROR(INDEX(Correspondance!$D$2:$D$3000,MATCH(A4,Correspondance!$A$2:$A$3000,0)),0)</f>
        <v>7.5</v>
      </c>
      <c r="F4" s="60" t="n">
        <f aca="false">C4*E4</f>
        <v>79.5186181898067</v>
      </c>
      <c r="G4" s="61" t="s">
        <v>2806</v>
      </c>
    </row>
    <row r="5" customFormat="false" ht="15.75" hidden="false" customHeight="false" outlineLevel="0" collapsed="false">
      <c r="A5" s="57" t="s">
        <v>1675</v>
      </c>
      <c r="B5" s="57" t="n">
        <v>0.067</v>
      </c>
      <c r="C5" s="58" t="n">
        <f aca="false">B5/B$22*B$24</f>
        <v>0.105239455184534</v>
      </c>
      <c r="D5" s="57" t="s">
        <v>682</v>
      </c>
      <c r="E5" s="59" t="n">
        <f aca="false">IFERROR(INDEX(Correspondance!$D$2:$D$3000,MATCH(A5,Correspondance!$A$2:$A$3000,0)),0)</f>
        <v>2.2</v>
      </c>
      <c r="F5" s="60" t="n">
        <f aca="false">C5*E5</f>
        <v>0.231526801405975</v>
      </c>
      <c r="G5" s="61"/>
      <c r="I5" s="62"/>
    </row>
    <row r="6" customFormat="false" ht="15.75" hidden="false" customHeight="false" outlineLevel="0" collapsed="false">
      <c r="A6" s="57" t="s">
        <v>1001</v>
      </c>
      <c r="B6" s="57" t="n">
        <v>0.54</v>
      </c>
      <c r="C6" s="58" t="n">
        <f aca="false">B6/B$22*B$24</f>
        <v>0.848198594024605</v>
      </c>
      <c r="D6" s="57" t="s">
        <v>434</v>
      </c>
      <c r="E6" s="59" t="n">
        <f aca="false">IFERROR(INDEX(Correspondance!$D$2:$D$3000,MATCH(A6,Correspondance!$A$2:$A$3000,0)),0)</f>
        <v>1.8</v>
      </c>
      <c r="F6" s="60" t="n">
        <f aca="false">C6*E6</f>
        <v>1.52675746924429</v>
      </c>
      <c r="G6" s="61"/>
      <c r="I6" s="63"/>
    </row>
    <row r="7" customFormat="false" ht="15.75" hidden="false" customHeight="false" outlineLevel="0" collapsed="false">
      <c r="A7" s="57" t="s">
        <v>1856</v>
      </c>
      <c r="B7" s="57" t="n">
        <v>1.35</v>
      </c>
      <c r="C7" s="58" t="n">
        <f aca="false">B7/B$22*B$24</f>
        <v>2.12049648506151</v>
      </c>
      <c r="D7" s="57" t="s">
        <v>434</v>
      </c>
      <c r="E7" s="59" t="n">
        <f aca="false">IFERROR(INDEX(Correspondance!$D$2:$D$3000,MATCH(A7,Correspondance!$A$2:$A$3000,0)),0)</f>
        <v>1.5</v>
      </c>
      <c r="F7" s="60" t="n">
        <f aca="false">C7*E7</f>
        <v>3.18074472759227</v>
      </c>
      <c r="G7" s="61"/>
      <c r="I7" s="63"/>
    </row>
    <row r="8" customFormat="false" ht="15.75" hidden="false" customHeight="false" outlineLevel="0" collapsed="false">
      <c r="A8" s="57" t="s">
        <v>1459</v>
      </c>
      <c r="B8" s="57" t="n">
        <v>0.337</v>
      </c>
      <c r="C8" s="58" t="n">
        <f aca="false">B8/B$22*B$24</f>
        <v>0.529338752196837</v>
      </c>
      <c r="D8" s="57" t="s">
        <v>682</v>
      </c>
      <c r="E8" s="59" t="n">
        <f aca="false">IFERROR(INDEX(Correspondance!$D$2:$D$3000,MATCH(A8,Correspondance!$A$2:$A$3000,0)),0)</f>
        <v>0</v>
      </c>
      <c r="F8" s="60" t="n">
        <f aca="false">C8*E8</f>
        <v>0</v>
      </c>
      <c r="G8" s="61"/>
      <c r="I8" s="63"/>
    </row>
    <row r="9" customFormat="false" ht="15.75" hidden="false" customHeight="false" outlineLevel="0" collapsed="false">
      <c r="A9" s="57" t="s">
        <v>1100</v>
      </c>
      <c r="B9" s="57" t="n">
        <v>0.034</v>
      </c>
      <c r="C9" s="58" t="n">
        <f aca="false">B9/B$22*B$24</f>
        <v>0.0534050966608084</v>
      </c>
      <c r="D9" s="57" t="s">
        <v>434</v>
      </c>
      <c r="E9" s="59" t="n">
        <f aca="false">IFERROR(INDEX(Correspondance!$D$2:$D$3000,MATCH(A9,Correspondance!$A$2:$A$3000,0)),0)</f>
        <v>10</v>
      </c>
      <c r="F9" s="60" t="n">
        <f aca="false">C9*E9</f>
        <v>0.534050966608084</v>
      </c>
      <c r="G9" s="61"/>
      <c r="I9" s="63"/>
    </row>
    <row r="10" customFormat="false" ht="15.75" hidden="false" customHeight="false" outlineLevel="0" collapsed="false">
      <c r="A10" s="57" t="s">
        <v>1937</v>
      </c>
      <c r="B10" s="57" t="n">
        <v>0.013</v>
      </c>
      <c r="C10" s="58" t="n">
        <f aca="false">B10/B$22*B$24</f>
        <v>0.0204195957820738</v>
      </c>
      <c r="D10" s="57" t="s">
        <v>434</v>
      </c>
      <c r="E10" s="59" t="n">
        <f aca="false">IFERROR(INDEX(Correspondance!$D$2:$D$3000,MATCH(A10,Correspondance!$A$2:$A$3000,0)),0)</f>
        <v>1.3</v>
      </c>
      <c r="F10" s="60" t="n">
        <f aca="false">C10*E10</f>
        <v>0.026545474516696</v>
      </c>
      <c r="G10" s="61"/>
      <c r="I10" s="63"/>
    </row>
    <row r="11" customFormat="false" ht="15.75" hidden="false" customHeight="false" outlineLevel="0" collapsed="false">
      <c r="A11" s="57" t="s">
        <v>1919</v>
      </c>
      <c r="B11" s="57" t="n">
        <v>0.013</v>
      </c>
      <c r="C11" s="58" t="n">
        <f aca="false">B11/B$22*B$24</f>
        <v>0.0204195957820738</v>
      </c>
      <c r="D11" s="57" t="s">
        <v>434</v>
      </c>
      <c r="E11" s="59" t="n">
        <f aca="false">IFERROR(INDEX(Correspondance!$D$2:$D$3000,MATCH(A11,Correspondance!$A$2:$A$3000,0)),0)</f>
        <v>2</v>
      </c>
      <c r="F11" s="60" t="n">
        <f aca="false">C11*E11</f>
        <v>0.0408391915641476</v>
      </c>
      <c r="G11" s="61"/>
      <c r="I11" s="63"/>
    </row>
    <row r="12" customFormat="false" ht="18.75" hidden="false" customHeight="true" outlineLevel="0" collapsed="false">
      <c r="A12" s="57" t="s">
        <v>1814</v>
      </c>
      <c r="B12" s="64"/>
      <c r="C12" s="58" t="n">
        <f aca="false">B12/B$22*B$24</f>
        <v>0</v>
      </c>
      <c r="D12" s="57" t="s">
        <v>434</v>
      </c>
      <c r="E12" s="59" t="n">
        <f aca="false">IFERROR(INDEX(Correspondance!$D$2:$D$3000,MATCH(A12,Correspondance!$A$2:$A$3000,0)),0)</f>
        <v>18</v>
      </c>
      <c r="F12" s="60" t="n">
        <f aca="false">C12*E12</f>
        <v>0</v>
      </c>
      <c r="G12" s="61"/>
      <c r="I12" s="63"/>
    </row>
    <row r="13" customFormat="false" ht="18.75" hidden="false" customHeight="true" outlineLevel="0" collapsed="false">
      <c r="A13" s="57" t="s">
        <v>1664</v>
      </c>
      <c r="B13" s="64"/>
      <c r="C13" s="58" t="n">
        <f aca="false">B13/B$22*B$24</f>
        <v>0</v>
      </c>
      <c r="D13" s="57" t="s">
        <v>434</v>
      </c>
      <c r="E13" s="59" t="n">
        <f aca="false">IFERROR(INDEX(Correspondance!$D$2:$D$3000,MATCH(A13,Correspondance!$A$2:$A$3000,0)),0)</f>
        <v>11</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85.0590828207381</v>
      </c>
      <c r="G19" s="61"/>
      <c r="I19" s="63"/>
    </row>
    <row r="20" customFormat="false" ht="18.75" hidden="false" customHeight="true" outlineLevel="0" collapsed="false">
      <c r="A20" s="68" t="s">
        <v>2628</v>
      </c>
      <c r="B20" s="69" t="n">
        <f aca="false">F19/B24</f>
        <v>0.773264389279438</v>
      </c>
      <c r="C20" s="70"/>
      <c r="G20" s="61"/>
      <c r="I20" s="63"/>
    </row>
    <row r="21" customFormat="false" ht="15.75" hidden="false" customHeight="false" outlineLevel="0" collapsed="false">
      <c r="A21" s="71" t="s">
        <v>2629</v>
      </c>
      <c r="B21" s="71" t="n">
        <f aca="false">SUM(B3:B18)</f>
        <v>9.104</v>
      </c>
      <c r="C21" s="66"/>
      <c r="G21" s="61"/>
      <c r="I21" s="63"/>
    </row>
    <row r="22" customFormat="false" ht="15.75" hidden="false" customHeight="false" outlineLevel="0" collapsed="false">
      <c r="A22" s="0" t="s">
        <v>2630</v>
      </c>
      <c r="B22" s="72" t="n">
        <f aca="false">B21/B23</f>
        <v>70.0307692307692</v>
      </c>
      <c r="C22" s="66"/>
      <c r="G22" s="61"/>
      <c r="I22" s="63"/>
    </row>
    <row r="23" customFormat="false" ht="15.75" hidden="false" customHeight="false" outlineLevel="0" collapsed="false">
      <c r="A23" s="0" t="s">
        <v>2631</v>
      </c>
      <c r="B23" s="0" t="n">
        <v>0.13</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0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148</v>
      </c>
      <c r="B1" s="50"/>
      <c r="C1" s="50"/>
      <c r="D1" s="50"/>
      <c r="E1" s="51" t="s">
        <v>2619</v>
      </c>
      <c r="F1" s="51"/>
      <c r="G1" s="52" t="s">
        <v>2807</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1534</v>
      </c>
      <c r="B4" s="57" t="n">
        <v>6.72</v>
      </c>
      <c r="C4" s="58" t="n">
        <f aca="false">B4/B$22*B$24</f>
        <v>10.5588396879464</v>
      </c>
      <c r="D4" s="57" t="s">
        <v>434</v>
      </c>
      <c r="E4" s="59" t="n">
        <f aca="false">IFERROR(INDEX(Correspondance!$D$2:$D$3000,MATCH(A4,Correspondance!$A$2:$A$3000,0)),0)</f>
        <v>7</v>
      </c>
      <c r="F4" s="60" t="n">
        <f aca="false">C4*E4</f>
        <v>73.9118778156247</v>
      </c>
      <c r="G4" s="61" t="s">
        <v>2808</v>
      </c>
    </row>
    <row r="5" customFormat="false" ht="15.75" hidden="false" customHeight="false" outlineLevel="0" collapsed="false">
      <c r="A5" s="57" t="s">
        <v>1675</v>
      </c>
      <c r="B5" s="57" t="n">
        <v>0.067</v>
      </c>
      <c r="C5" s="58" t="n">
        <f aca="false">B5/B$22*B$24</f>
        <v>0.105274145698275</v>
      </c>
      <c r="D5" s="57" t="s">
        <v>682</v>
      </c>
      <c r="E5" s="59" t="n">
        <f aca="false">IFERROR(INDEX(Correspondance!$D$2:$D$3000,MATCH(A5,Correspondance!$A$2:$A$3000,0)),0)</f>
        <v>2.2</v>
      </c>
      <c r="F5" s="60" t="n">
        <f aca="false">C5*E5</f>
        <v>0.231603120536205</v>
      </c>
      <c r="G5" s="61"/>
      <c r="I5" s="62"/>
    </row>
    <row r="6" customFormat="false" ht="15.75" hidden="false" customHeight="false" outlineLevel="0" collapsed="false">
      <c r="A6" s="57" t="s">
        <v>1003</v>
      </c>
      <c r="B6" s="57" t="n">
        <v>0.672</v>
      </c>
      <c r="C6" s="58" t="n">
        <f aca="false">B6/B$22*B$24</f>
        <v>1.05588396879464</v>
      </c>
      <c r="D6" s="57" t="s">
        <v>434</v>
      </c>
      <c r="E6" s="59" t="n">
        <f aca="false">IFERROR(INDEX(Correspondance!$D$2:$D$3000,MATCH(A6,Correspondance!$A$2:$A$3000,0)),0)</f>
        <v>1.9</v>
      </c>
      <c r="F6" s="60" t="n">
        <f aca="false">C6*E6</f>
        <v>2.00617954070981</v>
      </c>
      <c r="G6" s="61"/>
      <c r="I6" s="63"/>
    </row>
    <row r="7" customFormat="false" ht="15.75" hidden="false" customHeight="false" outlineLevel="0" collapsed="false">
      <c r="A7" s="57" t="s">
        <v>1459</v>
      </c>
      <c r="B7" s="57" t="n">
        <v>1.01</v>
      </c>
      <c r="C7" s="58" t="n">
        <f aca="false">B7/B$22*B$24</f>
        <v>1.58696846500385</v>
      </c>
      <c r="D7" s="57" t="s">
        <v>682</v>
      </c>
      <c r="E7" s="59" t="n">
        <f aca="false">IFERROR(INDEX(Correspondance!$D$2:$D$3000,MATCH(A7,Correspondance!$A$2:$A$3000,0)),0)</f>
        <v>0</v>
      </c>
      <c r="F7" s="60" t="n">
        <f aca="false">C7*E7</f>
        <v>0</v>
      </c>
      <c r="G7" s="61"/>
      <c r="I7" s="63"/>
    </row>
    <row r="8" customFormat="false" ht="15.75" hidden="false" customHeight="false" outlineLevel="0" collapsed="false">
      <c r="A8" s="57" t="s">
        <v>1094</v>
      </c>
      <c r="B8" s="57" t="n">
        <v>0.054</v>
      </c>
      <c r="C8" s="58" t="n">
        <f aca="false">B8/B$22*B$24</f>
        <v>0.0848478189209977</v>
      </c>
      <c r="D8" s="57" t="s">
        <v>434</v>
      </c>
      <c r="E8" s="59" t="n">
        <f aca="false">IFERROR(INDEX(Correspondance!$D$2:$D$3000,MATCH(A8,Correspondance!$A$2:$A$3000,0)),0)</f>
        <v>11</v>
      </c>
      <c r="F8" s="60" t="n">
        <f aca="false">C8*E8</f>
        <v>0.933326008130975</v>
      </c>
      <c r="G8" s="61"/>
      <c r="I8" s="63"/>
    </row>
    <row r="9" customFormat="false" ht="15.75" hidden="false" customHeight="false" outlineLevel="0" collapsed="false">
      <c r="A9" s="57" t="s">
        <v>1084</v>
      </c>
      <c r="B9" s="57" t="n">
        <v>0.04</v>
      </c>
      <c r="C9" s="58" t="n">
        <f aca="false">B9/B$22*B$24</f>
        <v>0.0628502362377761</v>
      </c>
      <c r="D9" s="57" t="s">
        <v>434</v>
      </c>
      <c r="E9" s="59" t="n">
        <f aca="false">IFERROR(INDEX(Correspondance!$D$2:$D$3000,MATCH(A9,Correspondance!$A$2:$A$3000,0)),0)</f>
        <v>2.2</v>
      </c>
      <c r="F9" s="60" t="n">
        <f aca="false">C9*E9</f>
        <v>0.138270519723107</v>
      </c>
      <c r="G9" s="61"/>
      <c r="I9" s="63"/>
    </row>
    <row r="10" customFormat="false" ht="15.75" hidden="false" customHeight="false" outlineLevel="0" collapsed="false">
      <c r="A10" s="57" t="s">
        <v>1725</v>
      </c>
      <c r="B10" s="57" t="n">
        <v>0.202</v>
      </c>
      <c r="C10" s="58" t="n">
        <f aca="false">B10/B$22*B$24</f>
        <v>0.317393693000769</v>
      </c>
      <c r="D10" s="57" t="s">
        <v>434</v>
      </c>
      <c r="E10" s="59" t="n">
        <f aca="false">IFERROR(INDEX(Correspondance!$D$2:$D$3000,MATCH(A10,Correspondance!$A$2:$A$3000,0)),0)</f>
        <v>9</v>
      </c>
      <c r="F10" s="60" t="n">
        <f aca="false">C10*E10</f>
        <v>2.85654323700692</v>
      </c>
      <c r="G10" s="61"/>
      <c r="I10" s="63"/>
    </row>
    <row r="11" customFormat="false" ht="15.75" hidden="false" customHeight="false" outlineLevel="0" collapsed="false">
      <c r="A11" s="57" t="s">
        <v>1213</v>
      </c>
      <c r="B11" s="57" t="n">
        <v>0.336</v>
      </c>
      <c r="C11" s="58" t="n">
        <f aca="false">B11/B$22*B$24</f>
        <v>0.527941984397319</v>
      </c>
      <c r="D11" s="57" t="s">
        <v>434</v>
      </c>
      <c r="E11" s="59" t="n">
        <f aca="false">IFERROR(INDEX(Correspondance!$D$2:$D$3000,MATCH(A11,Correspondance!$A$2:$A$3000,0)),0)</f>
        <v>3</v>
      </c>
      <c r="F11" s="60" t="n">
        <f aca="false">C11*E11</f>
        <v>1.58382595319196</v>
      </c>
      <c r="G11" s="61"/>
      <c r="I11" s="63"/>
    </row>
    <row r="12" customFormat="false" ht="18.75" hidden="false" customHeight="true" outlineLevel="0" collapsed="false">
      <c r="A12" s="57" t="s">
        <v>1814</v>
      </c>
      <c r="B12" s="64"/>
      <c r="C12" s="58" t="n">
        <f aca="false">B12/B$22*B$24</f>
        <v>0</v>
      </c>
      <c r="D12" s="57" t="s">
        <v>434</v>
      </c>
      <c r="E12" s="59" t="n">
        <f aca="false">IFERROR(INDEX(Correspondance!$D$2:$D$3000,MATCH(A12,Correspondance!$A$2:$A$3000,0)),0)</f>
        <v>18</v>
      </c>
      <c r="F12" s="60" t="n">
        <f aca="false">C12*E12</f>
        <v>0</v>
      </c>
      <c r="G12" s="61"/>
      <c r="I12" s="63"/>
    </row>
    <row r="13" customFormat="false" ht="18.75" hidden="false" customHeight="true" outlineLevel="0" collapsed="false">
      <c r="A13" s="57"/>
      <c r="B13" s="64"/>
      <c r="C13" s="58" t="n">
        <f aca="false">B13/B$22*B$24</f>
        <v>0</v>
      </c>
      <c r="D13" s="57"/>
      <c r="E13" s="65" t="n">
        <f aca="false">IFERROR(INDEX(Correspondance!$D$2:$D$3000,MATCH(A13,Correspondance!$A$2:$A$3000,0)),0)</f>
        <v>0</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81.6616261949236</v>
      </c>
      <c r="G19" s="61"/>
      <c r="I19" s="63"/>
    </row>
    <row r="20" customFormat="false" ht="18.75" hidden="false" customHeight="true" outlineLevel="0" collapsed="false">
      <c r="A20" s="68" t="s">
        <v>2628</v>
      </c>
      <c r="B20" s="69" t="n">
        <f aca="false">F19/B24</f>
        <v>0.742378419953851</v>
      </c>
      <c r="C20" s="70"/>
      <c r="G20" s="61"/>
      <c r="I20" s="63"/>
    </row>
    <row r="21" customFormat="false" ht="15.75" hidden="false" customHeight="false" outlineLevel="0" collapsed="false">
      <c r="A21" s="71" t="s">
        <v>2629</v>
      </c>
      <c r="B21" s="71" t="n">
        <f aca="false">SUM(B3:B18)</f>
        <v>9.101</v>
      </c>
      <c r="C21" s="66"/>
      <c r="G21" s="61"/>
      <c r="I21" s="63"/>
    </row>
    <row r="22" customFormat="false" ht="15.75" hidden="false" customHeight="false" outlineLevel="0" collapsed="false">
      <c r="A22" s="0" t="s">
        <v>2630</v>
      </c>
      <c r="B22" s="72" t="n">
        <f aca="false">B21/B23</f>
        <v>70.0076923076923</v>
      </c>
      <c r="C22" s="66"/>
      <c r="G22" s="61"/>
      <c r="I22" s="63"/>
    </row>
    <row r="23" customFormat="false" ht="15.75" hidden="false" customHeight="false" outlineLevel="0" collapsed="false">
      <c r="A23" s="0" t="s">
        <v>2631</v>
      </c>
      <c r="B23" s="0" t="n">
        <v>0.13</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0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149</v>
      </c>
      <c r="B1" s="50"/>
      <c r="C1" s="50"/>
      <c r="D1" s="50"/>
      <c r="E1" s="51" t="s">
        <v>2619</v>
      </c>
      <c r="F1" s="51"/>
      <c r="G1" s="52" t="s">
        <v>2809</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1721</v>
      </c>
      <c r="B4" s="57" t="n">
        <v>6.67</v>
      </c>
      <c r="C4" s="58" t="n">
        <f aca="false">B4/B$22*B$24</f>
        <v>10.4814285714286</v>
      </c>
      <c r="D4" s="57" t="s">
        <v>434</v>
      </c>
      <c r="E4" s="59" t="n">
        <f aca="false">IFERROR(INDEX(Correspondance!$D$2:$D$3000,MATCH(A4,Correspondance!$A$2:$A$3000,0)),0)</f>
        <v>8</v>
      </c>
      <c r="F4" s="60" t="n">
        <f aca="false">C4*E4</f>
        <v>83.8514285714286</v>
      </c>
      <c r="G4" s="61" t="s">
        <v>2810</v>
      </c>
    </row>
    <row r="5" customFormat="false" ht="15.75" hidden="false" customHeight="false" outlineLevel="0" collapsed="false">
      <c r="A5" s="57" t="s">
        <v>1675</v>
      </c>
      <c r="B5" s="57" t="n">
        <v>0.067</v>
      </c>
      <c r="C5" s="58" t="n">
        <f aca="false">B5/B$22*B$24</f>
        <v>0.105285714285714</v>
      </c>
      <c r="D5" s="57" t="s">
        <v>682</v>
      </c>
      <c r="E5" s="59" t="n">
        <f aca="false">IFERROR(INDEX(Correspondance!$D$2:$D$3000,MATCH(A5,Correspondance!$A$2:$A$3000,0)),0)</f>
        <v>2.2</v>
      </c>
      <c r="F5" s="60" t="n">
        <f aca="false">C5*E5</f>
        <v>0.231628571428572</v>
      </c>
      <c r="G5" s="61"/>
      <c r="I5" s="62"/>
    </row>
    <row r="6" customFormat="false" ht="15.75" hidden="false" customHeight="false" outlineLevel="0" collapsed="false">
      <c r="A6" s="57" t="s">
        <v>1001</v>
      </c>
      <c r="B6" s="57" t="n">
        <v>0.533</v>
      </c>
      <c r="C6" s="58" t="n">
        <f aca="false">B6/B$22*B$24</f>
        <v>0.837571428571429</v>
      </c>
      <c r="D6" s="57" t="s">
        <v>434</v>
      </c>
      <c r="E6" s="59" t="n">
        <f aca="false">IFERROR(INDEX(Correspondance!$D$2:$D$3000,MATCH(A6,Correspondance!$A$2:$A$3000,0)),0)</f>
        <v>1.8</v>
      </c>
      <c r="F6" s="60" t="n">
        <f aca="false">C6*E6</f>
        <v>1.50762857142857</v>
      </c>
      <c r="G6" s="61"/>
      <c r="I6" s="63"/>
    </row>
    <row r="7" customFormat="false" ht="15.75" hidden="false" customHeight="false" outlineLevel="0" collapsed="false">
      <c r="A7" s="57" t="s">
        <v>1856</v>
      </c>
      <c r="B7" s="57" t="n">
        <v>1.33</v>
      </c>
      <c r="C7" s="58" t="n">
        <f aca="false">B7/B$22*B$24</f>
        <v>2.09</v>
      </c>
      <c r="D7" s="57" t="s">
        <v>434</v>
      </c>
      <c r="E7" s="59" t="n">
        <f aca="false">IFERROR(INDEX(Correspondance!$D$2:$D$3000,MATCH(A7,Correspondance!$A$2:$A$3000,0)),0)</f>
        <v>1.5</v>
      </c>
      <c r="F7" s="60" t="n">
        <f aca="false">C7*E7</f>
        <v>3.135</v>
      </c>
      <c r="G7" s="61"/>
      <c r="I7" s="63"/>
    </row>
    <row r="8" customFormat="false" ht="15.75" hidden="false" customHeight="false" outlineLevel="0" collapsed="false">
      <c r="A8" s="57" t="s">
        <v>1197</v>
      </c>
      <c r="B8" s="57" t="n">
        <v>0.067</v>
      </c>
      <c r="C8" s="58" t="n">
        <f aca="false">B8/B$22*B$24</f>
        <v>0.105285714285714</v>
      </c>
      <c r="D8" s="57" t="s">
        <v>434</v>
      </c>
      <c r="E8" s="59" t="n">
        <f aca="false">IFERROR(INDEX(Correspondance!$D$2:$D$3000,MATCH(A8,Correspondance!$A$2:$A$3000,0)),0)</f>
        <v>2.6</v>
      </c>
      <c r="F8" s="60" t="n">
        <f aca="false">C8*E8</f>
        <v>0.273742857142857</v>
      </c>
      <c r="G8" s="61"/>
      <c r="I8" s="63"/>
    </row>
    <row r="9" customFormat="false" ht="15.75" hidden="false" customHeight="false" outlineLevel="0" collapsed="false">
      <c r="A9" s="57" t="s">
        <v>1459</v>
      </c>
      <c r="B9" s="57" t="n">
        <v>0.333</v>
      </c>
      <c r="C9" s="58" t="n">
        <f aca="false">B9/B$22*B$24</f>
        <v>0.523285714285714</v>
      </c>
      <c r="D9" s="57" t="s">
        <v>682</v>
      </c>
      <c r="E9" s="59" t="n">
        <f aca="false">IFERROR(INDEX(Correspondance!$D$2:$D$3000,MATCH(A9,Correspondance!$A$2:$A$3000,0)),0)</f>
        <v>0</v>
      </c>
      <c r="F9" s="60" t="n">
        <f aca="false">C9*E9</f>
        <v>0</v>
      </c>
      <c r="G9" s="61"/>
      <c r="I9" s="63"/>
    </row>
    <row r="10" customFormat="false" ht="15.75" hidden="false" customHeight="false" outlineLevel="0" collapsed="false">
      <c r="A10" s="57" t="s">
        <v>1877</v>
      </c>
      <c r="B10" s="57" t="n">
        <v>0.02</v>
      </c>
      <c r="C10" s="58" t="n">
        <f aca="false">B10/B$22*B$24</f>
        <v>0.0314285714285714</v>
      </c>
      <c r="D10" s="57" t="s">
        <v>434</v>
      </c>
      <c r="E10" s="59" t="n">
        <f aca="false">IFERROR(INDEX(Correspondance!$D$2:$D$3000,MATCH(A10,Correspondance!$A$2:$A$3000,0)),0)</f>
        <v>14</v>
      </c>
      <c r="F10" s="60" t="n">
        <f aca="false">C10*E10</f>
        <v>0.44</v>
      </c>
      <c r="G10" s="61"/>
      <c r="I10" s="63"/>
    </row>
    <row r="11" customFormat="false" ht="15.75" hidden="false" customHeight="false" outlineLevel="0" collapsed="false">
      <c r="A11" s="57" t="s">
        <v>1286</v>
      </c>
      <c r="B11" s="57" t="n">
        <v>0.067</v>
      </c>
      <c r="C11" s="58" t="n">
        <f aca="false">B11/B$22*B$24</f>
        <v>0.105285714285714</v>
      </c>
      <c r="D11" s="57" t="s">
        <v>434</v>
      </c>
      <c r="E11" s="59" t="n">
        <f aca="false">IFERROR(INDEX(Correspondance!$D$2:$D$3000,MATCH(A11,Correspondance!$A$2:$A$3000,0)),0)</f>
        <v>6</v>
      </c>
      <c r="F11" s="60" t="n">
        <f aca="false">C11*E11</f>
        <v>0.631714285714286</v>
      </c>
      <c r="G11" s="61"/>
      <c r="I11" s="63"/>
    </row>
    <row r="12" customFormat="false" ht="18.75" hidden="false" customHeight="true" outlineLevel="0" collapsed="false">
      <c r="A12" s="57" t="s">
        <v>1919</v>
      </c>
      <c r="B12" s="64" t="n">
        <v>0.013</v>
      </c>
      <c r="C12" s="58" t="n">
        <f aca="false">B12/B$22*B$24</f>
        <v>0.0204285714285714</v>
      </c>
      <c r="D12" s="57" t="s">
        <v>434</v>
      </c>
      <c r="E12" s="59" t="n">
        <f aca="false">IFERROR(INDEX(Correspondance!$D$2:$D$3000,MATCH(A12,Correspondance!$A$2:$A$3000,0)),0)</f>
        <v>2</v>
      </c>
      <c r="F12" s="60" t="n">
        <f aca="false">C12*E12</f>
        <v>0.0408571428571429</v>
      </c>
      <c r="G12" s="61"/>
      <c r="I12" s="63"/>
    </row>
    <row r="13" customFormat="false" ht="18.75" hidden="false" customHeight="true" outlineLevel="0" collapsed="false">
      <c r="A13" s="57" t="s">
        <v>1814</v>
      </c>
      <c r="B13" s="64"/>
      <c r="C13" s="58" t="n">
        <f aca="false">B13/B$22*B$24</f>
        <v>0</v>
      </c>
      <c r="D13" s="57" t="s">
        <v>434</v>
      </c>
      <c r="E13" s="59" t="n">
        <f aca="false">IFERROR(INDEX(Correspondance!$D$2:$D$3000,MATCH(A13,Correspondance!$A$2:$A$3000,0)),0)</f>
        <v>18</v>
      </c>
      <c r="F13" s="60" t="n">
        <f aca="false">C13*E13</f>
        <v>0</v>
      </c>
      <c r="G13" s="61"/>
      <c r="I13" s="63"/>
    </row>
    <row r="14" customFormat="false" ht="15.75" hidden="false" customHeight="false" outlineLevel="0" collapsed="false">
      <c r="A14" s="57" t="s">
        <v>1565</v>
      </c>
      <c r="B14" s="57"/>
      <c r="C14" s="58" t="n">
        <f aca="false">B14/B$22*B$24</f>
        <v>0</v>
      </c>
      <c r="D14" s="57" t="s">
        <v>434</v>
      </c>
      <c r="E14" s="59" t="n">
        <f aca="false">IFERROR(INDEX(Correspondance!$D$2:$D$3000,MATCH(A14,Correspondance!$A$2:$A$3000,0)),0)</f>
        <v>13</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90.112</v>
      </c>
      <c r="G19" s="61"/>
      <c r="I19" s="63"/>
    </row>
    <row r="20" customFormat="false" ht="18.75" hidden="false" customHeight="true" outlineLevel="0" collapsed="false">
      <c r="A20" s="68" t="s">
        <v>2628</v>
      </c>
      <c r="B20" s="69" t="n">
        <f aca="false">F19/B24</f>
        <v>0.8192</v>
      </c>
      <c r="C20" s="70"/>
      <c r="G20" s="61"/>
      <c r="I20" s="63"/>
    </row>
    <row r="21" customFormat="false" ht="15.75" hidden="false" customHeight="false" outlineLevel="0" collapsed="false">
      <c r="A21" s="71" t="s">
        <v>2629</v>
      </c>
      <c r="B21" s="71" t="n">
        <f aca="false">SUM(B3:B18)</f>
        <v>9.1</v>
      </c>
      <c r="C21" s="66"/>
      <c r="G21" s="61"/>
      <c r="I21" s="63"/>
    </row>
    <row r="22" customFormat="false" ht="15.75" hidden="false" customHeight="false" outlineLevel="0" collapsed="false">
      <c r="A22" s="0" t="s">
        <v>2630</v>
      </c>
      <c r="B22" s="72" t="n">
        <f aca="false">B21/B23</f>
        <v>70</v>
      </c>
      <c r="C22" s="66"/>
      <c r="G22" s="61"/>
      <c r="I22" s="63"/>
    </row>
    <row r="23" customFormat="false" ht="15.75" hidden="false" customHeight="false" outlineLevel="0" collapsed="false">
      <c r="A23" s="0" t="s">
        <v>2631</v>
      </c>
      <c r="B23" s="0" t="n">
        <v>0.13</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150</v>
      </c>
      <c r="B1" s="50"/>
      <c r="C1" s="50"/>
      <c r="D1" s="50"/>
      <c r="E1" s="51" t="s">
        <v>2619</v>
      </c>
      <c r="F1" s="51"/>
      <c r="G1" s="52" t="s">
        <v>2811</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445</v>
      </c>
      <c r="B4" s="57" t="n">
        <v>5.74</v>
      </c>
      <c r="C4" s="58" t="n">
        <f aca="false">B4/B$22*B$24</f>
        <v>9.02464124406838</v>
      </c>
      <c r="D4" s="57" t="s">
        <v>434</v>
      </c>
      <c r="E4" s="59" t="n">
        <f aca="false">IFERROR(INDEX(Correspondance!$D$2:$D$3000,MATCH(A4,Correspondance!$A$2:$A$3000,0)),0)</f>
        <v>8.5</v>
      </c>
      <c r="F4" s="60" t="n">
        <f aca="false">C4*E4</f>
        <v>76.7094505745812</v>
      </c>
      <c r="G4" s="61" t="s">
        <v>2812</v>
      </c>
    </row>
    <row r="5" customFormat="false" ht="15.75" hidden="false" customHeight="false" outlineLevel="0" collapsed="false">
      <c r="A5" s="57" t="s">
        <v>1675</v>
      </c>
      <c r="B5" s="57" t="n">
        <v>0.082</v>
      </c>
      <c r="C5" s="58" t="n">
        <f aca="false">B5/B$22*B$24</f>
        <v>0.128923446343834</v>
      </c>
      <c r="D5" s="57" t="s">
        <v>682</v>
      </c>
      <c r="E5" s="59" t="n">
        <f aca="false">IFERROR(INDEX(Correspondance!$D$2:$D$3000,MATCH(A5,Correspondance!$A$2:$A$3000,0)),0)</f>
        <v>2.2</v>
      </c>
      <c r="F5" s="60" t="n">
        <f aca="false">C5*E5</f>
        <v>0.283631581956435</v>
      </c>
      <c r="G5" s="61"/>
      <c r="I5" s="62"/>
    </row>
    <row r="6" customFormat="false" ht="15.75" hidden="false" customHeight="false" outlineLevel="0" collapsed="false">
      <c r="A6" s="57" t="s">
        <v>1001</v>
      </c>
      <c r="B6" s="57" t="n">
        <v>0.82</v>
      </c>
      <c r="C6" s="58" t="n">
        <f aca="false">B6/B$22*B$24</f>
        <v>1.28923446343834</v>
      </c>
      <c r="D6" s="57" t="s">
        <v>434</v>
      </c>
      <c r="E6" s="59" t="n">
        <f aca="false">IFERROR(INDEX(Correspondance!$D$2:$D$3000,MATCH(A6,Correspondance!$A$2:$A$3000,0)),0)</f>
        <v>1.8</v>
      </c>
      <c r="F6" s="60" t="n">
        <f aca="false">C6*E6</f>
        <v>2.32062203418901</v>
      </c>
      <c r="G6" s="61"/>
      <c r="I6" s="63"/>
    </row>
    <row r="7" customFormat="false" ht="15.75" hidden="false" customHeight="false" outlineLevel="0" collapsed="false">
      <c r="A7" s="57" t="s">
        <v>894</v>
      </c>
      <c r="B7" s="57" t="n">
        <v>0.041</v>
      </c>
      <c r="C7" s="58" t="n">
        <f aca="false">B7/B$22*B$24</f>
        <v>0.064461723171917</v>
      </c>
      <c r="D7" s="57" t="s">
        <v>434</v>
      </c>
      <c r="E7" s="59" t="n">
        <f aca="false">IFERROR(INDEX(Correspondance!$D$2:$D$3000,MATCH(A7,Correspondance!$A$2:$A$3000,0)),0)</f>
        <v>5.5</v>
      </c>
      <c r="F7" s="60" t="n">
        <f aca="false">C7*E7</f>
        <v>0.354539477445544</v>
      </c>
      <c r="G7" s="61"/>
      <c r="I7" s="63"/>
    </row>
    <row r="8" customFormat="false" ht="15.75" hidden="false" customHeight="false" outlineLevel="0" collapsed="false">
      <c r="A8" s="57" t="s">
        <v>1197</v>
      </c>
      <c r="B8" s="57" t="n">
        <v>0.164</v>
      </c>
      <c r="C8" s="58" t="n">
        <f aca="false">B8/B$22*B$24</f>
        <v>0.257846892687668</v>
      </c>
      <c r="D8" s="57" t="s">
        <v>434</v>
      </c>
      <c r="E8" s="59" t="n">
        <f aca="false">IFERROR(INDEX(Correspondance!$D$2:$D$3000,MATCH(A8,Correspondance!$A$2:$A$3000,0)),0)</f>
        <v>2.6</v>
      </c>
      <c r="F8" s="60" t="n">
        <f aca="false">C8*E8</f>
        <v>0.670401920987937</v>
      </c>
      <c r="G8" s="61"/>
      <c r="I8" s="63"/>
    </row>
    <row r="9" customFormat="false" ht="15.75" hidden="false" customHeight="false" outlineLevel="0" collapsed="false">
      <c r="A9" s="57" t="s">
        <v>1094</v>
      </c>
      <c r="B9" s="57" t="n">
        <v>0.066</v>
      </c>
      <c r="C9" s="58" t="n">
        <f aca="false">B9/B$22*B$24</f>
        <v>0.103767651935281</v>
      </c>
      <c r="D9" s="57" t="s">
        <v>434</v>
      </c>
      <c r="E9" s="59" t="n">
        <f aca="false">IFERROR(INDEX(Correspondance!$D$2:$D$3000,MATCH(A9,Correspondance!$A$2:$A$3000,0)),0)</f>
        <v>11</v>
      </c>
      <c r="F9" s="60" t="n">
        <f aca="false">C9*E9</f>
        <v>1.14144417128809</v>
      </c>
      <c r="G9" s="61"/>
      <c r="I9" s="63"/>
    </row>
    <row r="10" customFormat="false" ht="15.75" hidden="false" customHeight="false" outlineLevel="0" collapsed="false">
      <c r="A10" s="57" t="s">
        <v>1459</v>
      </c>
      <c r="B10" s="57" t="n">
        <v>0.82</v>
      </c>
      <c r="C10" s="58" t="n">
        <f aca="false">B10/B$22*B$24</f>
        <v>1.28923446343834</v>
      </c>
      <c r="D10" s="57" t="s">
        <v>682</v>
      </c>
      <c r="E10" s="59" t="n">
        <f aca="false">IFERROR(INDEX(Correspondance!$D$2:$D$3000,MATCH(A10,Correspondance!$A$2:$A$3000,0)),0)</f>
        <v>0</v>
      </c>
      <c r="F10" s="60" t="n">
        <f aca="false">C10*E10</f>
        <v>0</v>
      </c>
      <c r="G10" s="61"/>
      <c r="I10" s="63"/>
    </row>
    <row r="11" customFormat="false" ht="15.75" hidden="false" customHeight="false" outlineLevel="0" collapsed="false">
      <c r="A11" s="57" t="s">
        <v>1089</v>
      </c>
      <c r="B11" s="57" t="n">
        <v>1.23</v>
      </c>
      <c r="C11" s="58" t="n">
        <f aca="false">B11/B$22*B$24</f>
        <v>1.93385169515751</v>
      </c>
      <c r="D11" s="57" t="s">
        <v>434</v>
      </c>
      <c r="E11" s="59" t="n">
        <f aca="false">IFERROR(INDEX(Correspondance!$D$2:$D$3000,MATCH(A11,Correspondance!$A$2:$A$3000,0)),0)</f>
        <v>3.5</v>
      </c>
      <c r="F11" s="60" t="n">
        <f aca="false">C11*E11</f>
        <v>6.76848093305128</v>
      </c>
      <c r="G11" s="61"/>
      <c r="I11" s="63"/>
    </row>
    <row r="12" customFormat="false" ht="18.75" hidden="false" customHeight="true" outlineLevel="0" collapsed="false">
      <c r="A12" s="57" t="s">
        <v>1693</v>
      </c>
      <c r="B12" s="64" t="n">
        <v>4.1</v>
      </c>
      <c r="C12" s="58" t="n">
        <f aca="false">B12/B$22*B$24</f>
        <v>6.4461723171917</v>
      </c>
      <c r="D12" s="57" t="s">
        <v>682</v>
      </c>
      <c r="E12" s="59" t="n">
        <f aca="false">IFERROR(INDEX(Correspondance!$D$2:$D$3000,MATCH(A12,Correspondance!$A$2:$A$3000,0)),0)</f>
        <v>2.4</v>
      </c>
      <c r="F12" s="60" t="n">
        <f aca="false">C12*E12</f>
        <v>15.4708135612601</v>
      </c>
      <c r="G12" s="61"/>
      <c r="I12" s="63"/>
    </row>
    <row r="13" customFormat="false" ht="18.75" hidden="false" customHeight="true" outlineLevel="0" collapsed="false">
      <c r="A13" s="57" t="s">
        <v>1605</v>
      </c>
      <c r="B13" s="64" t="n">
        <v>3.28</v>
      </c>
      <c r="C13" s="58" t="n">
        <f aca="false">B13/B$22*B$24</f>
        <v>5.15693785375336</v>
      </c>
      <c r="D13" s="57" t="s">
        <v>682</v>
      </c>
      <c r="E13" s="59" t="n">
        <f aca="false">IFERROR(INDEX(Correspondance!$D$2:$D$3000,MATCH(A13,Correspondance!$A$2:$A$3000,0)),0)</f>
        <v>0</v>
      </c>
      <c r="F13" s="60" t="n">
        <f aca="false">C13*E13</f>
        <v>0</v>
      </c>
      <c r="G13" s="61"/>
      <c r="I13" s="63"/>
    </row>
    <row r="14" customFormat="false" ht="15.75" hidden="false" customHeight="false" outlineLevel="0" collapsed="false">
      <c r="A14" s="57" t="s">
        <v>1491</v>
      </c>
      <c r="B14" s="57" t="n">
        <v>0.328</v>
      </c>
      <c r="C14" s="58" t="n">
        <f aca="false">B14/B$22*B$24</f>
        <v>0.515693785375336</v>
      </c>
      <c r="D14" s="57" t="s">
        <v>434</v>
      </c>
      <c r="E14" s="59" t="n">
        <f aca="false">IFERROR(INDEX(Correspondance!$D$2:$D$3000,MATCH(A14,Correspondance!$A$2:$A$3000,0)),0)</f>
        <v>9</v>
      </c>
      <c r="F14" s="60" t="n">
        <f aca="false">C14*E14</f>
        <v>4.64124406837802</v>
      </c>
      <c r="G14" s="61"/>
      <c r="I14" s="63"/>
    </row>
    <row r="15" customFormat="false" ht="15.75" hidden="false" customHeight="false" outlineLevel="0" collapsed="false">
      <c r="A15" s="57" t="s">
        <v>706</v>
      </c>
      <c r="B15" s="57" t="n">
        <v>0.656</v>
      </c>
      <c r="C15" s="58" t="n">
        <f aca="false">B15/B$22*B$24</f>
        <v>1.03138757075067</v>
      </c>
      <c r="D15" s="57" t="s">
        <v>434</v>
      </c>
      <c r="E15" s="59" t="n">
        <f aca="false">IFERROR(INDEX(Correspondance!$D$2:$D$3000,MATCH(A15,Correspondance!$A$2:$A$3000,0)),0)</f>
        <v>7.5</v>
      </c>
      <c r="F15" s="60" t="n">
        <f aca="false">C15*E15</f>
        <v>7.73540678063004</v>
      </c>
      <c r="G15" s="61"/>
      <c r="I15" s="63"/>
    </row>
    <row r="16" customFormat="false" ht="15.75" hidden="false" customHeight="false" outlineLevel="0" collapsed="false">
      <c r="A16" s="57" t="s">
        <v>1007</v>
      </c>
      <c r="B16" s="57" t="n">
        <v>0.041</v>
      </c>
      <c r="C16" s="58" t="n">
        <f aca="false">B16/B$22*B$24</f>
        <v>0.064461723171917</v>
      </c>
      <c r="D16" s="57" t="s">
        <v>434</v>
      </c>
      <c r="E16" s="59" t="n">
        <f aca="false">IFERROR(INDEX(Correspondance!$D$2:$D$3000,MATCH(A16,Correspondance!$A$2:$A$3000,0)),0)</f>
        <v>8</v>
      </c>
      <c r="F16" s="60" t="n">
        <f aca="false">C16*E16</f>
        <v>0.515693785375336</v>
      </c>
      <c r="G16" s="61"/>
      <c r="I16" s="63"/>
    </row>
    <row r="17" customFormat="false" ht="15.75" hidden="false" customHeight="false" outlineLevel="0" collapsed="false">
      <c r="A17" s="57" t="s">
        <v>1919</v>
      </c>
      <c r="B17" s="57" t="n">
        <v>0.123</v>
      </c>
      <c r="C17" s="58" t="n">
        <f aca="false">B17/B$22*B$24</f>
        <v>0.193385169515751</v>
      </c>
      <c r="D17" s="57" t="s">
        <v>434</v>
      </c>
      <c r="E17" s="59" t="n">
        <f aca="false">IFERROR(INDEX(Correspondance!$D$2:$D$3000,MATCH(A17,Correspondance!$A$2:$A$3000,0)),0)</f>
        <v>2</v>
      </c>
      <c r="F17" s="60" t="n">
        <f aca="false">C17*E17</f>
        <v>0.386770339031502</v>
      </c>
      <c r="G17" s="61"/>
      <c r="I17" s="63"/>
    </row>
    <row r="18" customFormat="false" ht="15.75" hidden="false" customHeight="false" outlineLevel="0" collapsed="false">
      <c r="A18" s="57" t="s">
        <v>1817</v>
      </c>
      <c r="B18" s="57"/>
      <c r="C18" s="58" t="n">
        <f aca="false">B18/B$22*B$24</f>
        <v>0</v>
      </c>
      <c r="D18" s="57" t="s">
        <v>434</v>
      </c>
      <c r="E18" s="59" t="n">
        <f aca="false">IFERROR(INDEX(Correspondance!$D$2:$D$3000,MATCH(A18,Correspondance!$A$2:$A$3000,0)),0)</f>
        <v>18</v>
      </c>
      <c r="F18" s="60" t="n">
        <f aca="false">C18*E18</f>
        <v>0</v>
      </c>
      <c r="G18" s="61"/>
      <c r="I18" s="63"/>
    </row>
    <row r="19" customFormat="false" ht="15.75" hidden="false" customHeight="false" outlineLevel="0" collapsed="false">
      <c r="C19" s="66"/>
      <c r="F19" s="67" t="n">
        <f aca="false">SUM(F4:F18)</f>
        <v>116.998499228175</v>
      </c>
      <c r="G19" s="61"/>
      <c r="I19" s="63"/>
    </row>
    <row r="20" customFormat="false" ht="18.75" hidden="false" customHeight="true" outlineLevel="0" collapsed="false">
      <c r="A20" s="68" t="s">
        <v>2628</v>
      </c>
      <c r="B20" s="69" t="n">
        <f aca="false">F19/B24</f>
        <v>1.06362272025613</v>
      </c>
      <c r="C20" s="70"/>
      <c r="G20" s="61"/>
      <c r="I20" s="63"/>
    </row>
    <row r="21" customFormat="false" ht="15.75" hidden="false" customHeight="false" outlineLevel="0" collapsed="false">
      <c r="A21" s="71" t="s">
        <v>2629</v>
      </c>
      <c r="B21" s="71" t="n">
        <f aca="false">SUM(B3:B18)</f>
        <v>17.491</v>
      </c>
      <c r="C21" s="66"/>
      <c r="G21" s="61"/>
      <c r="I21" s="63"/>
    </row>
    <row r="22" customFormat="false" ht="15.75" hidden="false" customHeight="false" outlineLevel="0" collapsed="false">
      <c r="A22" s="0" t="s">
        <v>2630</v>
      </c>
      <c r="B22" s="72" t="n">
        <f aca="false">B21/B23</f>
        <v>69.964</v>
      </c>
      <c r="C22" s="66"/>
      <c r="G22" s="61"/>
      <c r="I22" s="63"/>
    </row>
    <row r="23" customFormat="false" ht="15.75" hidden="false" customHeight="false" outlineLevel="0" collapsed="false">
      <c r="A23" s="0" t="s">
        <v>2631</v>
      </c>
      <c r="B23" s="0" t="n">
        <v>0.25</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152</v>
      </c>
      <c r="B1" s="50"/>
      <c r="C1" s="50"/>
      <c r="D1" s="50"/>
      <c r="E1" s="51" t="s">
        <v>2619</v>
      </c>
      <c r="F1" s="51"/>
      <c r="G1" s="52" t="s">
        <v>2813</v>
      </c>
    </row>
    <row r="2" customFormat="false" ht="24.75" hidden="false" customHeight="true" outlineLevel="0" collapsed="false">
      <c r="A2" s="50"/>
      <c r="B2" s="50"/>
      <c r="C2" s="50"/>
      <c r="D2" s="50"/>
      <c r="E2" s="53" t="s">
        <v>2717</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523</v>
      </c>
      <c r="B4" s="57" t="n">
        <v>7.52</v>
      </c>
      <c r="C4" s="58" t="n">
        <f aca="false">B4/B$22*B$24</f>
        <v>11.8097196048198</v>
      </c>
      <c r="D4" s="57" t="s">
        <v>434</v>
      </c>
      <c r="E4" s="59" t="n">
        <f aca="false">IFERROR(INDEX(Correspondance!$D$2:$D$3000,MATCH(A4,Correspondance!$A$2:$A$3000,0)),0)</f>
        <v>7.5</v>
      </c>
      <c r="F4" s="60" t="n">
        <f aca="false">C4*E4</f>
        <v>88.5728970361487</v>
      </c>
      <c r="G4" s="61" t="s">
        <v>2814</v>
      </c>
    </row>
    <row r="5" customFormat="false" ht="15.75" hidden="false" customHeight="false" outlineLevel="0" collapsed="false">
      <c r="A5" s="57" t="s">
        <v>1919</v>
      </c>
      <c r="B5" s="57" t="n">
        <v>0.09</v>
      </c>
      <c r="C5" s="58" t="n">
        <f aca="false">B5/B$22*B$24</f>
        <v>0.141339729313003</v>
      </c>
      <c r="D5" s="57" t="s">
        <v>434</v>
      </c>
      <c r="E5" s="59" t="n">
        <f aca="false">IFERROR(INDEX(Correspondance!$D$2:$D$3000,MATCH(A5,Correspondance!$A$2:$A$3000,0)),0)</f>
        <v>2</v>
      </c>
      <c r="F5" s="60" t="n">
        <f aca="false">C5*E5</f>
        <v>0.282679458626007</v>
      </c>
      <c r="G5" s="61"/>
      <c r="I5" s="62"/>
    </row>
    <row r="6" customFormat="false" ht="15.75" hidden="false" customHeight="false" outlineLevel="0" collapsed="false">
      <c r="A6" s="57" t="s">
        <v>1818</v>
      </c>
      <c r="B6" s="57"/>
      <c r="C6" s="58" t="n">
        <f aca="false">B6/B$22*B$24</f>
        <v>0</v>
      </c>
      <c r="D6" s="57" t="s">
        <v>434</v>
      </c>
      <c r="E6" s="59" t="n">
        <f aca="false">IFERROR(INDEX(Correspondance!$D$2:$D$3000,MATCH(A6,Correspondance!$A$2:$A$3000,0)),0)</f>
        <v>18</v>
      </c>
      <c r="F6" s="60" t="n">
        <f aca="false">C6*E6</f>
        <v>0</v>
      </c>
      <c r="G6" s="61"/>
      <c r="I6" s="63"/>
    </row>
    <row r="7" customFormat="false" ht="15.75" hidden="false" customHeight="false" outlineLevel="0" collapsed="false">
      <c r="A7" s="57" t="s">
        <v>894</v>
      </c>
      <c r="B7" s="57" t="n">
        <v>0.038</v>
      </c>
      <c r="C7" s="58" t="n">
        <f aca="false">B7/B$22*B$24</f>
        <v>0.0596767745988236</v>
      </c>
      <c r="D7" s="57" t="s">
        <v>434</v>
      </c>
      <c r="E7" s="59" t="n">
        <f aca="false">IFERROR(INDEX(Correspondance!$D$2:$D$3000,MATCH(A7,Correspondance!$A$2:$A$3000,0)),0)</f>
        <v>5.5</v>
      </c>
      <c r="F7" s="60" t="n">
        <f aca="false">C7*E7</f>
        <v>0.32822226029353</v>
      </c>
      <c r="G7" s="61"/>
      <c r="I7" s="63"/>
    </row>
    <row r="8" customFormat="false" ht="15.75" hidden="false" customHeight="false" outlineLevel="0" collapsed="false">
      <c r="A8" s="57" t="s">
        <v>947</v>
      </c>
      <c r="B8" s="57" t="n">
        <v>0.376</v>
      </c>
      <c r="C8" s="58" t="n">
        <f aca="false">B8/B$22*B$24</f>
        <v>0.590485980240991</v>
      </c>
      <c r="D8" s="57" t="s">
        <v>434</v>
      </c>
      <c r="E8" s="59" t="n">
        <f aca="false">IFERROR(INDEX(Correspondance!$D$2:$D$3000,MATCH(A8,Correspondance!$A$2:$A$3000,0)),0)</f>
        <v>4.5</v>
      </c>
      <c r="F8" s="60" t="n">
        <f aca="false">C8*E8</f>
        <v>2.65718691108446</v>
      </c>
      <c r="G8" s="61"/>
      <c r="I8" s="63"/>
    </row>
    <row r="9" customFormat="false" ht="15.75" hidden="false" customHeight="false" outlineLevel="0" collapsed="false">
      <c r="A9" s="57" t="s">
        <v>1100</v>
      </c>
      <c r="B9" s="57" t="n">
        <v>0.045</v>
      </c>
      <c r="C9" s="58" t="n">
        <f aca="false">B9/B$22*B$24</f>
        <v>0.0706698646565016</v>
      </c>
      <c r="D9" s="57" t="s">
        <v>434</v>
      </c>
      <c r="E9" s="59" t="n">
        <f aca="false">IFERROR(INDEX(Correspondance!$D$2:$D$3000,MATCH(A9,Correspondance!$A$2:$A$3000,0)),0)</f>
        <v>10</v>
      </c>
      <c r="F9" s="60" t="n">
        <f aca="false">C9*E9</f>
        <v>0.706698646565016</v>
      </c>
      <c r="G9" s="61"/>
      <c r="I9" s="63"/>
    </row>
    <row r="10" customFormat="false" ht="15.75" hidden="false" customHeight="false" outlineLevel="0" collapsed="false">
      <c r="A10" s="57" t="s">
        <v>1459</v>
      </c>
      <c r="B10" s="57" t="n">
        <v>0.752</v>
      </c>
      <c r="C10" s="58" t="n">
        <f aca="false">B10/B$22*B$24</f>
        <v>1.18097196048198</v>
      </c>
      <c r="D10" s="57" t="s">
        <v>682</v>
      </c>
      <c r="E10" s="59" t="n">
        <f aca="false">IFERROR(INDEX(Correspondance!$D$2:$D$3000,MATCH(A10,Correspondance!$A$2:$A$3000,0)),0)</f>
        <v>0</v>
      </c>
      <c r="F10" s="60" t="n">
        <f aca="false">C10*E10</f>
        <v>0</v>
      </c>
      <c r="G10" s="61"/>
      <c r="I10" s="63"/>
    </row>
    <row r="11" customFormat="false" ht="15.75" hidden="false" customHeight="false" outlineLevel="0" collapsed="false">
      <c r="A11" s="57" t="s">
        <v>1089</v>
      </c>
      <c r="B11" s="57" t="n">
        <v>1.13</v>
      </c>
      <c r="C11" s="58" t="n">
        <f aca="false">B11/B$22*B$24</f>
        <v>1.7745988235966</v>
      </c>
      <c r="D11" s="57" t="s">
        <v>434</v>
      </c>
      <c r="E11" s="59" t="n">
        <f aca="false">IFERROR(INDEX(Correspondance!$D$2:$D$3000,MATCH(A11,Correspondance!$A$2:$A$3000,0)),0)</f>
        <v>3.5</v>
      </c>
      <c r="F11" s="60" t="n">
        <f aca="false">C11*E11</f>
        <v>6.21109588258809</v>
      </c>
      <c r="G11" s="61"/>
      <c r="I11" s="63"/>
    </row>
    <row r="12" customFormat="false" ht="18.75" hidden="false" customHeight="true" outlineLevel="0" collapsed="false">
      <c r="A12" s="57" t="s">
        <v>1693</v>
      </c>
      <c r="B12" s="64" t="n">
        <v>3.76</v>
      </c>
      <c r="C12" s="58" t="n">
        <f aca="false">B12/B$22*B$24</f>
        <v>5.90485980240991</v>
      </c>
      <c r="D12" s="57" t="s">
        <v>682</v>
      </c>
      <c r="E12" s="59" t="n">
        <f aca="false">IFERROR(INDEX(Correspondance!$D$2:$D$3000,MATCH(A12,Correspondance!$A$2:$A$3000,0)),0)</f>
        <v>2.4</v>
      </c>
      <c r="F12" s="60" t="n">
        <f aca="false">C12*E12</f>
        <v>14.1716635257838</v>
      </c>
      <c r="G12" s="61"/>
      <c r="I12" s="63"/>
    </row>
    <row r="13" customFormat="false" ht="18.75" hidden="false" customHeight="true" outlineLevel="0" collapsed="false">
      <c r="A13" s="57" t="s">
        <v>1605</v>
      </c>
      <c r="B13" s="64" t="n">
        <v>3.01</v>
      </c>
      <c r="C13" s="58" t="n">
        <f aca="false">B13/B$22*B$24</f>
        <v>4.72702872480155</v>
      </c>
      <c r="D13" s="57" t="s">
        <v>682</v>
      </c>
      <c r="E13" s="59" t="n">
        <f aca="false">IFERROR(INDEX(Correspondance!$D$2:$D$3000,MATCH(A13,Correspondance!$A$2:$A$3000,0)),0)</f>
        <v>0</v>
      </c>
      <c r="F13" s="60" t="n">
        <f aca="false">C13*E13</f>
        <v>0</v>
      </c>
      <c r="G13" s="61"/>
      <c r="I13" s="63"/>
    </row>
    <row r="14" customFormat="false" ht="15.75" hidden="false" customHeight="false" outlineLevel="0" collapsed="false">
      <c r="A14" s="57" t="s">
        <v>1491</v>
      </c>
      <c r="B14" s="57" t="n">
        <v>0.301</v>
      </c>
      <c r="C14" s="58" t="n">
        <f aca="false">B14/B$22*B$24</f>
        <v>0.472702872480155</v>
      </c>
      <c r="D14" s="57" t="s">
        <v>434</v>
      </c>
      <c r="E14" s="59" t="n">
        <f aca="false">IFERROR(INDEX(Correspondance!$D$2:$D$3000,MATCH(A14,Correspondance!$A$2:$A$3000,0)),0)</f>
        <v>9</v>
      </c>
      <c r="F14" s="60" t="n">
        <f aca="false">C14*E14</f>
        <v>4.2543258523214</v>
      </c>
      <c r="G14" s="61"/>
      <c r="I14" s="63"/>
    </row>
    <row r="15" customFormat="false" ht="15.75" hidden="false" customHeight="false" outlineLevel="0" collapsed="false">
      <c r="A15" s="57" t="s">
        <v>706</v>
      </c>
      <c r="B15" s="57" t="n">
        <v>0.451</v>
      </c>
      <c r="C15" s="58" t="n">
        <f aca="false">B15/B$22*B$24</f>
        <v>0.708269088001827</v>
      </c>
      <c r="D15" s="57" t="s">
        <v>434</v>
      </c>
      <c r="E15" s="59" t="n">
        <f aca="false">IFERROR(INDEX(Correspondance!$D$2:$D$3000,MATCH(A15,Correspondance!$A$2:$A$3000,0)),0)</f>
        <v>7.5</v>
      </c>
      <c r="F15" s="60" t="n">
        <f aca="false">C15*E15</f>
        <v>5.31201816001371</v>
      </c>
      <c r="G15" s="61"/>
      <c r="I15" s="63"/>
    </row>
    <row r="16" customFormat="false" ht="15.75" hidden="false" customHeight="false" outlineLevel="0" collapsed="false">
      <c r="A16" s="57" t="s">
        <v>1007</v>
      </c>
      <c r="B16" s="57" t="n">
        <v>0.038</v>
      </c>
      <c r="C16" s="58" t="n">
        <f aca="false">B16/B$22*B$24</f>
        <v>0.0596767745988236</v>
      </c>
      <c r="D16" s="57" t="s">
        <v>434</v>
      </c>
      <c r="E16" s="59" t="n">
        <f aca="false">IFERROR(INDEX(Correspondance!$D$2:$D$3000,MATCH(A16,Correspondance!$A$2:$A$3000,0)),0)</f>
        <v>8</v>
      </c>
      <c r="F16" s="60" t="n">
        <f aca="false">C16*E16</f>
        <v>0.477414196790589</v>
      </c>
      <c r="G16" s="61"/>
      <c r="I16" s="63"/>
    </row>
    <row r="17" customFormat="false" ht="15.75" hidden="false" customHeight="false" outlineLevel="0" collapsed="false">
      <c r="A17" s="57" t="s">
        <v>1732</v>
      </c>
      <c r="B17" s="57"/>
      <c r="C17" s="58" t="n">
        <f aca="false">B17/B$22*B$24</f>
        <v>0</v>
      </c>
      <c r="D17" s="57" t="s">
        <v>434</v>
      </c>
      <c r="E17" s="59" t="n">
        <f aca="false">IFERROR(INDEX(Correspondance!$D$2:$D$3000,MATCH(A17,Correspondance!$A$2:$A$3000,0)),0)</f>
        <v>30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122.974201930215</v>
      </c>
      <c r="G19" s="61"/>
      <c r="I19" s="63"/>
    </row>
    <row r="20" customFormat="false" ht="18.75" hidden="false" customHeight="true" outlineLevel="0" collapsed="false">
      <c r="A20" s="68" t="s">
        <v>2628</v>
      </c>
      <c r="B20" s="69" t="n">
        <f aca="false">F19/B24</f>
        <v>1.11794729027468</v>
      </c>
      <c r="C20" s="70"/>
      <c r="G20" s="61"/>
      <c r="I20" s="63"/>
    </row>
    <row r="21" customFormat="false" ht="15.75" hidden="false" customHeight="false" outlineLevel="0" collapsed="false">
      <c r="A21" s="71" t="s">
        <v>2629</v>
      </c>
      <c r="B21" s="71" t="n">
        <f aca="false">SUM(B3:B18)</f>
        <v>17.511</v>
      </c>
      <c r="C21" s="66"/>
      <c r="G21" s="61"/>
      <c r="I21" s="63"/>
    </row>
    <row r="22" customFormat="false" ht="15.75" hidden="false" customHeight="false" outlineLevel="0" collapsed="false">
      <c r="A22" s="0" t="s">
        <v>2630</v>
      </c>
      <c r="B22" s="72" t="n">
        <f aca="false">B21/B23</f>
        <v>70.044</v>
      </c>
      <c r="C22" s="66"/>
      <c r="G22" s="61"/>
      <c r="I22" s="63"/>
    </row>
    <row r="23" customFormat="false" ht="15.75" hidden="false" customHeight="false" outlineLevel="0" collapsed="false">
      <c r="A23" s="0" t="s">
        <v>2631</v>
      </c>
      <c r="B23" s="0" t="n">
        <v>0.25</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153</v>
      </c>
      <c r="B1" s="50"/>
      <c r="C1" s="50"/>
      <c r="D1" s="50"/>
      <c r="E1" s="51" t="s">
        <v>2619</v>
      </c>
      <c r="F1" s="51"/>
      <c r="G1" s="52" t="s">
        <v>2811</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1601</v>
      </c>
      <c r="B4" s="57" t="n">
        <v>5.19</v>
      </c>
      <c r="C4" s="58" t="n">
        <f aca="false">B4/B$22*B$24</f>
        <v>8.15571428571429</v>
      </c>
      <c r="D4" s="57" t="s">
        <v>434</v>
      </c>
      <c r="E4" s="59" t="n">
        <f aca="false">IFERROR(INDEX(Correspondance!$D$2:$D$3000,MATCH(A4,Correspondance!$A$2:$A$3000,0)),0)</f>
        <v>8.5</v>
      </c>
      <c r="F4" s="60" t="n">
        <f aca="false">C4*E4</f>
        <v>69.3235714285714</v>
      </c>
      <c r="G4" s="61" t="s">
        <v>2815</v>
      </c>
    </row>
    <row r="5" customFormat="false" ht="15.75" hidden="false" customHeight="false" outlineLevel="0" collapsed="false">
      <c r="A5" s="57" t="s">
        <v>947</v>
      </c>
      <c r="B5" s="57" t="n">
        <v>0.26</v>
      </c>
      <c r="C5" s="58" t="n">
        <f aca="false">B5/B$22*B$24</f>
        <v>0.408571428571429</v>
      </c>
      <c r="D5" s="57" t="s">
        <v>434</v>
      </c>
      <c r="E5" s="59" t="n">
        <f aca="false">IFERROR(INDEX(Correspondance!$D$2:$D$3000,MATCH(A5,Correspondance!$A$2:$A$3000,0)),0)</f>
        <v>4.5</v>
      </c>
      <c r="F5" s="60" t="n">
        <f aca="false">C5*E5</f>
        <v>1.83857142857143</v>
      </c>
      <c r="G5" s="61"/>
      <c r="I5" s="62"/>
    </row>
    <row r="6" customFormat="false" ht="15.75" hidden="false" customHeight="false" outlineLevel="0" collapsed="false">
      <c r="A6" s="57" t="s">
        <v>1491</v>
      </c>
      <c r="B6" s="57" t="n">
        <v>0.433</v>
      </c>
      <c r="C6" s="58" t="n">
        <f aca="false">B6/B$22*B$24</f>
        <v>0.680428571428571</v>
      </c>
      <c r="D6" s="57" t="s">
        <v>434</v>
      </c>
      <c r="E6" s="59" t="n">
        <f aca="false">IFERROR(INDEX(Correspondance!$D$2:$D$3000,MATCH(A6,Correspondance!$A$2:$A$3000,0)),0)</f>
        <v>9</v>
      </c>
      <c r="F6" s="60" t="n">
        <f aca="false">C6*E6</f>
        <v>6.12385714285714</v>
      </c>
      <c r="G6" s="61"/>
      <c r="I6" s="63"/>
    </row>
    <row r="7" customFormat="false" ht="15.75" hidden="false" customHeight="false" outlineLevel="0" collapsed="false">
      <c r="A7" s="57" t="s">
        <v>1973</v>
      </c>
      <c r="B7" s="57" t="n">
        <v>0.26</v>
      </c>
      <c r="C7" s="58" t="n">
        <f aca="false">B7/B$22*B$24</f>
        <v>0.408571428571429</v>
      </c>
      <c r="D7" s="57" t="s">
        <v>682</v>
      </c>
      <c r="E7" s="59" t="n">
        <f aca="false">IFERROR(INDEX(Correspondance!$D$2:$D$3000,MATCH(A7,Correspondance!$A$2:$A$3000,0)),0)</f>
        <v>2</v>
      </c>
      <c r="F7" s="60" t="n">
        <f aca="false">C7*E7</f>
        <v>0.817142857142857</v>
      </c>
      <c r="G7" s="61"/>
      <c r="I7" s="63"/>
    </row>
    <row r="8" customFormat="false" ht="15.75" hidden="false" customHeight="false" outlineLevel="0" collapsed="false">
      <c r="A8" s="57" t="s">
        <v>1104</v>
      </c>
      <c r="B8" s="57" t="n">
        <v>0.043</v>
      </c>
      <c r="C8" s="58" t="n">
        <f aca="false">B8/B$22*B$24</f>
        <v>0.0675714285714286</v>
      </c>
      <c r="D8" s="57" t="s">
        <v>434</v>
      </c>
      <c r="E8" s="59" t="n">
        <f aca="false">IFERROR(INDEX(Correspondance!$D$2:$D$3000,MATCH(A8,Correspondance!$A$2:$A$3000,0)),0)</f>
        <v>12</v>
      </c>
      <c r="F8" s="60" t="n">
        <f aca="false">C8*E8</f>
        <v>0.810857142857143</v>
      </c>
      <c r="G8" s="61"/>
      <c r="I8" s="63"/>
    </row>
    <row r="9" customFormat="false" ht="15.75" hidden="false" customHeight="false" outlineLevel="0" collapsed="false">
      <c r="A9" s="57" t="s">
        <v>1459</v>
      </c>
      <c r="B9" s="57" t="n">
        <v>0.433</v>
      </c>
      <c r="C9" s="58" t="n">
        <f aca="false">B9/B$22*B$24</f>
        <v>0.680428571428571</v>
      </c>
      <c r="D9" s="57" t="s">
        <v>682</v>
      </c>
      <c r="E9" s="59" t="n">
        <f aca="false">IFERROR(INDEX(Correspondance!$D$2:$D$3000,MATCH(A9,Correspondance!$A$2:$A$3000,0)),0)</f>
        <v>0</v>
      </c>
      <c r="F9" s="60" t="n">
        <f aca="false">C9*E9</f>
        <v>0</v>
      </c>
      <c r="G9" s="61"/>
      <c r="I9" s="63"/>
    </row>
    <row r="10" customFormat="false" ht="15.75" hidden="false" customHeight="false" outlineLevel="0" collapsed="false">
      <c r="A10" s="57" t="s">
        <v>1576</v>
      </c>
      <c r="B10" s="57" t="n">
        <v>0.865</v>
      </c>
      <c r="C10" s="58" t="n">
        <f aca="false">B10/B$22*B$24</f>
        <v>1.35928571428571</v>
      </c>
      <c r="D10" s="57" t="s">
        <v>434</v>
      </c>
      <c r="E10" s="59" t="n">
        <f aca="false">IFERROR(INDEX(Correspondance!$D$2:$D$3000,MATCH(A10,Correspondance!$A$2:$A$3000,0)),0)</f>
        <v>5.5</v>
      </c>
      <c r="F10" s="60" t="n">
        <f aca="false">C10*E10</f>
        <v>7.47607142857143</v>
      </c>
      <c r="G10" s="61"/>
      <c r="I10" s="63"/>
    </row>
    <row r="11" customFormat="false" ht="15.75" hidden="false" customHeight="false" outlineLevel="0" collapsed="false">
      <c r="A11" s="57" t="s">
        <v>1007</v>
      </c>
      <c r="B11" s="57" t="n">
        <v>0.043</v>
      </c>
      <c r="C11" s="58" t="n">
        <f aca="false">B11/B$22*B$24</f>
        <v>0.0675714285714286</v>
      </c>
      <c r="D11" s="57" t="s">
        <v>434</v>
      </c>
      <c r="E11" s="59" t="n">
        <f aca="false">IFERROR(INDEX(Correspondance!$D$2:$D$3000,MATCH(A11,Correspondance!$A$2:$A$3000,0)),0)</f>
        <v>8</v>
      </c>
      <c r="F11" s="60" t="n">
        <f aca="false">C11*E11</f>
        <v>0.540571428571429</v>
      </c>
      <c r="G11" s="61"/>
      <c r="I11" s="63"/>
    </row>
    <row r="12" customFormat="false" ht="18.75" hidden="false" customHeight="true" outlineLevel="0" collapsed="false">
      <c r="A12" s="57" t="s">
        <v>1549</v>
      </c>
      <c r="B12" s="64" t="n">
        <v>0.26</v>
      </c>
      <c r="C12" s="58" t="n">
        <f aca="false">B12/B$22*B$24</f>
        <v>0.408571428571429</v>
      </c>
      <c r="D12" s="57" t="s">
        <v>434</v>
      </c>
      <c r="E12" s="59" t="n">
        <f aca="false">IFERROR(INDEX(Correspondance!$D$2:$D$3000,MATCH(A12,Correspondance!$A$2:$A$3000,0)),0)</f>
        <v>2.2</v>
      </c>
      <c r="F12" s="60" t="n">
        <f aca="false">C12*E12</f>
        <v>0.898857142857143</v>
      </c>
      <c r="G12" s="61"/>
      <c r="I12" s="63"/>
    </row>
    <row r="13" customFormat="false" ht="18.75" hidden="false" customHeight="true" outlineLevel="0" collapsed="false">
      <c r="A13" s="57" t="s">
        <v>1089</v>
      </c>
      <c r="B13" s="64" t="n">
        <v>1.3</v>
      </c>
      <c r="C13" s="58" t="n">
        <f aca="false">B13/B$22*B$24</f>
        <v>2.04285714285714</v>
      </c>
      <c r="D13" s="57" t="s">
        <v>434</v>
      </c>
      <c r="E13" s="59" t="n">
        <f aca="false">IFERROR(INDEX(Correspondance!$D$2:$D$3000,MATCH(A13,Correspondance!$A$2:$A$3000,0)),0)</f>
        <v>3.5</v>
      </c>
      <c r="F13" s="60" t="n">
        <f aca="false">C13*E13</f>
        <v>7.15</v>
      </c>
      <c r="G13" s="61"/>
      <c r="I13" s="63"/>
    </row>
    <row r="14" customFormat="false" ht="15.75" hidden="false" customHeight="false" outlineLevel="0" collapsed="false">
      <c r="A14" s="57" t="s">
        <v>1693</v>
      </c>
      <c r="B14" s="57" t="n">
        <v>4.33</v>
      </c>
      <c r="C14" s="58" t="n">
        <f aca="false">B14/B$22*B$24</f>
        <v>6.80428571428571</v>
      </c>
      <c r="D14" s="57" t="s">
        <v>682</v>
      </c>
      <c r="E14" s="59" t="n">
        <f aca="false">IFERROR(INDEX(Correspondance!$D$2:$D$3000,MATCH(A14,Correspondance!$A$2:$A$3000,0)),0)</f>
        <v>2.4</v>
      </c>
      <c r="F14" s="60" t="n">
        <f aca="false">C14*E14</f>
        <v>16.3302857142857</v>
      </c>
      <c r="G14" s="61"/>
      <c r="I14" s="63"/>
    </row>
    <row r="15" customFormat="false" ht="15.75" hidden="false" customHeight="false" outlineLevel="0" collapsed="false">
      <c r="A15" s="57" t="s">
        <v>1605</v>
      </c>
      <c r="B15" s="57" t="n">
        <v>3.46</v>
      </c>
      <c r="C15" s="58" t="n">
        <f aca="false">B15/B$22*B$24</f>
        <v>5.43714285714286</v>
      </c>
      <c r="D15" s="57" t="s">
        <v>682</v>
      </c>
      <c r="E15" s="59" t="n">
        <f aca="false">IFERROR(INDEX(Correspondance!$D$2:$D$3000,MATCH(A15,Correspondance!$A$2:$A$3000,0)),0)</f>
        <v>0</v>
      </c>
      <c r="F15" s="60" t="n">
        <f aca="false">C15*E15</f>
        <v>0</v>
      </c>
      <c r="G15" s="61"/>
      <c r="I15" s="63"/>
    </row>
    <row r="16" customFormat="false" ht="15.75" hidden="false" customHeight="false" outlineLevel="0" collapsed="false">
      <c r="A16" s="57" t="s">
        <v>706</v>
      </c>
      <c r="B16" s="57" t="n">
        <v>0.519</v>
      </c>
      <c r="C16" s="58" t="n">
        <f aca="false">B16/B$22*B$24</f>
        <v>0.815571428571429</v>
      </c>
      <c r="D16" s="57" t="s">
        <v>434</v>
      </c>
      <c r="E16" s="59" t="n">
        <f aca="false">IFERROR(INDEX(Correspondance!$D$2:$D$3000,MATCH(A16,Correspondance!$A$2:$A$3000,0)),0)</f>
        <v>7.5</v>
      </c>
      <c r="F16" s="60" t="n">
        <f aca="false">C16*E16</f>
        <v>6.11678571428571</v>
      </c>
      <c r="G16" s="61"/>
      <c r="I16" s="63"/>
    </row>
    <row r="17" customFormat="false" ht="15.75" hidden="false" customHeight="false" outlineLevel="0" collapsed="false">
      <c r="A17" s="57" t="s">
        <v>1919</v>
      </c>
      <c r="B17" s="57" t="n">
        <v>0.104</v>
      </c>
      <c r="C17" s="58" t="n">
        <f aca="false">B17/B$22*B$24</f>
        <v>0.163428571428571</v>
      </c>
      <c r="D17" s="57" t="s">
        <v>434</v>
      </c>
      <c r="E17" s="59" t="n">
        <f aca="false">IFERROR(INDEX(Correspondance!$D$2:$D$3000,MATCH(A17,Correspondance!$A$2:$A$3000,0)),0)</f>
        <v>2</v>
      </c>
      <c r="F17" s="60" t="n">
        <f aca="false">C17*E17</f>
        <v>0.326857142857143</v>
      </c>
      <c r="G17" s="61"/>
      <c r="I17" s="63"/>
    </row>
    <row r="18" customFormat="false" ht="15.75" hidden="false" customHeight="false" outlineLevel="0" collapsed="false">
      <c r="A18" s="57" t="s">
        <v>1817</v>
      </c>
      <c r="B18" s="57"/>
      <c r="C18" s="58" t="n">
        <f aca="false">B18/B$22*B$24</f>
        <v>0</v>
      </c>
      <c r="D18" s="57" t="s">
        <v>434</v>
      </c>
      <c r="E18" s="59" t="n">
        <f aca="false">IFERROR(INDEX(Correspondance!$D$2:$D$3000,MATCH(A18,Correspondance!$A$2:$A$3000,0)),0)</f>
        <v>18</v>
      </c>
      <c r="F18" s="60" t="n">
        <f aca="false">C18*E18</f>
        <v>0</v>
      </c>
      <c r="G18" s="61"/>
      <c r="I18" s="63"/>
    </row>
    <row r="19" customFormat="false" ht="15.75" hidden="false" customHeight="false" outlineLevel="0" collapsed="false">
      <c r="C19" s="66"/>
      <c r="F19" s="67" t="n">
        <f aca="false">SUM(F4:F18)</f>
        <v>117.753428571429</v>
      </c>
      <c r="G19" s="61"/>
      <c r="I19" s="63"/>
    </row>
    <row r="20" customFormat="false" ht="18.75" hidden="false" customHeight="true" outlineLevel="0" collapsed="false">
      <c r="A20" s="68" t="s">
        <v>2628</v>
      </c>
      <c r="B20" s="69" t="n">
        <f aca="false">F19/B24</f>
        <v>1.07048571428571</v>
      </c>
      <c r="C20" s="70"/>
      <c r="G20" s="61"/>
      <c r="I20" s="63"/>
    </row>
    <row r="21" customFormat="false" ht="15.75" hidden="false" customHeight="false" outlineLevel="0" collapsed="false">
      <c r="A21" s="71" t="s">
        <v>2629</v>
      </c>
      <c r="B21" s="71" t="n">
        <f aca="false">SUM(B3:B18)</f>
        <v>17.5</v>
      </c>
      <c r="C21" s="66"/>
      <c r="G21" s="61"/>
      <c r="I21" s="63"/>
    </row>
    <row r="22" customFormat="false" ht="15.75" hidden="false" customHeight="false" outlineLevel="0" collapsed="false">
      <c r="A22" s="0" t="s">
        <v>2630</v>
      </c>
      <c r="B22" s="72" t="n">
        <f aca="false">B21/B23</f>
        <v>70</v>
      </c>
      <c r="C22" s="66"/>
      <c r="G22" s="61"/>
      <c r="I22" s="63"/>
    </row>
    <row r="23" customFormat="false" ht="15.75" hidden="false" customHeight="false" outlineLevel="0" collapsed="false">
      <c r="A23" s="0" t="s">
        <v>2631</v>
      </c>
      <c r="B23" s="0" t="n">
        <v>0.25</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155</v>
      </c>
      <c r="B1" s="50"/>
      <c r="C1" s="50"/>
      <c r="D1" s="50"/>
      <c r="E1" s="51" t="s">
        <v>2619</v>
      </c>
      <c r="F1" s="51"/>
      <c r="G1" s="52" t="s">
        <v>2793</v>
      </c>
    </row>
    <row r="2" customFormat="false" ht="24.75" hidden="false" customHeight="true" outlineLevel="0" collapsed="false">
      <c r="A2" s="50"/>
      <c r="B2" s="50"/>
      <c r="C2" s="50"/>
      <c r="D2" s="50"/>
      <c r="E2" s="53" t="s">
        <v>2692</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1598</v>
      </c>
      <c r="B4" s="57" t="n">
        <v>6.8</v>
      </c>
      <c r="C4" s="58" t="n">
        <f aca="false">B4/B$22*B$24</f>
        <v>10.6806282722513</v>
      </c>
      <c r="D4" s="57" t="s">
        <v>434</v>
      </c>
      <c r="E4" s="59" t="n">
        <f aca="false">IFERROR(INDEX(Correspondance!$D$2:$D$3000,MATCH(A4,Correspondance!$A$2:$A$3000,0)),0)</f>
        <v>14</v>
      </c>
      <c r="F4" s="60" t="n">
        <f aca="false">C4*E4</f>
        <v>149.528795811518</v>
      </c>
      <c r="G4" s="61" t="s">
        <v>2816</v>
      </c>
    </row>
    <row r="5" customFormat="false" ht="15.75" hidden="false" customHeight="false" outlineLevel="0" collapsed="false">
      <c r="A5" s="57" t="s">
        <v>1919</v>
      </c>
      <c r="B5" s="57" t="n">
        <v>0.054</v>
      </c>
      <c r="C5" s="58" t="n">
        <f aca="false">B5/B$22*B$24</f>
        <v>0.0848167539267016</v>
      </c>
      <c r="D5" s="57" t="s">
        <v>434</v>
      </c>
      <c r="E5" s="59" t="n">
        <f aca="false">IFERROR(INDEX(Correspondance!$D$2:$D$3000,MATCH(A5,Correspondance!$A$2:$A$3000,0)),0)</f>
        <v>2</v>
      </c>
      <c r="F5" s="60" t="n">
        <f aca="false">C5*E5</f>
        <v>0.169633507853403</v>
      </c>
      <c r="G5" s="61"/>
      <c r="I5" s="62"/>
    </row>
    <row r="6" customFormat="false" ht="15.75" hidden="false" customHeight="false" outlineLevel="0" collapsed="false">
      <c r="A6" s="57" t="s">
        <v>1811</v>
      </c>
      <c r="B6" s="57"/>
      <c r="C6" s="58" t="n">
        <f aca="false">B6/B$22*B$24</f>
        <v>0</v>
      </c>
      <c r="D6" s="57" t="s">
        <v>434</v>
      </c>
      <c r="E6" s="59" t="n">
        <f aca="false">IFERROR(INDEX(Correspondance!$D$2:$D$3000,MATCH(A6,Correspondance!$A$2:$A$3000,0)),0)</f>
        <v>22</v>
      </c>
      <c r="F6" s="60" t="n">
        <f aca="false">C6*E6</f>
        <v>0</v>
      </c>
      <c r="G6" s="61"/>
      <c r="I6" s="63"/>
    </row>
    <row r="7" customFormat="false" ht="15.75" hidden="false" customHeight="false" outlineLevel="0" collapsed="false">
      <c r="A7" s="57" t="s">
        <v>1120</v>
      </c>
      <c r="B7" s="57" t="n">
        <v>0.136</v>
      </c>
      <c r="C7" s="58" t="n">
        <f aca="false">B7/B$22*B$24</f>
        <v>0.213612565445026</v>
      </c>
      <c r="D7" s="57" t="s">
        <v>682</v>
      </c>
      <c r="E7" s="59" t="n">
        <f aca="false">IFERROR(INDEX(Correspondance!$D$2:$D$3000,MATCH(A7,Correspondance!$A$2:$A$3000,0)),0)</f>
        <v>7.5</v>
      </c>
      <c r="F7" s="60" t="n">
        <f aca="false">C7*E7</f>
        <v>1.6020942408377</v>
      </c>
      <c r="G7" s="61"/>
      <c r="I7" s="63"/>
    </row>
    <row r="8" customFormat="false" ht="15.75" hidden="false" customHeight="false" outlineLevel="0" collapsed="false">
      <c r="A8" s="57" t="s">
        <v>1549</v>
      </c>
      <c r="B8" s="57" t="n">
        <v>0.408</v>
      </c>
      <c r="C8" s="58" t="n">
        <f aca="false">B8/B$22*B$24</f>
        <v>0.640837696335079</v>
      </c>
      <c r="D8" s="57" t="s">
        <v>434</v>
      </c>
      <c r="E8" s="59" t="n">
        <f aca="false">IFERROR(INDEX(Correspondance!$D$2:$D$3000,MATCH(A8,Correspondance!$A$2:$A$3000,0)),0)</f>
        <v>2.2</v>
      </c>
      <c r="F8" s="60" t="n">
        <f aca="false">C8*E8</f>
        <v>1.40984293193717</v>
      </c>
      <c r="G8" s="61"/>
      <c r="I8" s="63"/>
    </row>
    <row r="9" customFormat="false" ht="15.75" hidden="false" customHeight="false" outlineLevel="0" collapsed="false">
      <c r="A9" s="57" t="s">
        <v>947</v>
      </c>
      <c r="B9" s="57" t="n">
        <v>0.136</v>
      </c>
      <c r="C9" s="58" t="n">
        <f aca="false">B9/B$22*B$24</f>
        <v>0.213612565445026</v>
      </c>
      <c r="D9" s="57" t="s">
        <v>434</v>
      </c>
      <c r="E9" s="59" t="n">
        <f aca="false">IFERROR(INDEX(Correspondance!$D$2:$D$3000,MATCH(A9,Correspondance!$A$2:$A$3000,0)),0)</f>
        <v>4.5</v>
      </c>
      <c r="F9" s="60" t="n">
        <f aca="false">C9*E9</f>
        <v>0.961256544502618</v>
      </c>
      <c r="G9" s="61"/>
      <c r="I9" s="63"/>
    </row>
    <row r="10" customFormat="false" ht="15.75" hidden="false" customHeight="false" outlineLevel="0" collapsed="false">
      <c r="A10" s="57" t="s">
        <v>1973</v>
      </c>
      <c r="B10" s="57" t="n">
        <v>0.204</v>
      </c>
      <c r="C10" s="58" t="n">
        <f aca="false">B10/B$22*B$24</f>
        <v>0.320418848167539</v>
      </c>
      <c r="D10" s="57" t="s">
        <v>682</v>
      </c>
      <c r="E10" s="59" t="n">
        <f aca="false">IFERROR(INDEX(Correspondance!$D$2:$D$3000,MATCH(A10,Correspondance!$A$2:$A$3000,0)),0)</f>
        <v>2</v>
      </c>
      <c r="F10" s="60" t="n">
        <f aca="false">C10*E10</f>
        <v>0.640837696335079</v>
      </c>
      <c r="G10" s="61"/>
      <c r="I10" s="63"/>
    </row>
    <row r="11" customFormat="false" ht="15.75" hidden="false" customHeight="false" outlineLevel="0" collapsed="false">
      <c r="A11" s="57" t="s">
        <v>1104</v>
      </c>
      <c r="B11" s="57" t="n">
        <v>0.02</v>
      </c>
      <c r="C11" s="58" t="n">
        <f aca="false">B11/B$22*B$24</f>
        <v>0.031413612565445</v>
      </c>
      <c r="D11" s="57" t="s">
        <v>434</v>
      </c>
      <c r="E11" s="59" t="n">
        <f aca="false">IFERROR(INDEX(Correspondance!$D$2:$D$3000,MATCH(A11,Correspondance!$A$2:$A$3000,0)),0)</f>
        <v>12</v>
      </c>
      <c r="F11" s="60" t="n">
        <f aca="false">C11*E11</f>
        <v>0.37696335078534</v>
      </c>
      <c r="G11" s="61"/>
      <c r="I11" s="63"/>
    </row>
    <row r="12" customFormat="false" ht="18.75" hidden="false" customHeight="true" outlineLevel="0" collapsed="false">
      <c r="A12" s="57" t="s">
        <v>1459</v>
      </c>
      <c r="B12" s="64" t="n">
        <v>0.204</v>
      </c>
      <c r="C12" s="58" t="n">
        <f aca="false">B12/B$22*B$24</f>
        <v>0.320418848167539</v>
      </c>
      <c r="D12" s="57" t="s">
        <v>682</v>
      </c>
      <c r="E12" s="59" t="n">
        <f aca="false">IFERROR(INDEX(Correspondance!$D$2:$D$3000,MATCH(A12,Correspondance!$A$2:$A$3000,0)),0)</f>
        <v>0</v>
      </c>
      <c r="F12" s="60" t="n">
        <f aca="false">C12*E12</f>
        <v>0</v>
      </c>
      <c r="G12" s="61"/>
      <c r="I12" s="63"/>
    </row>
    <row r="13" customFormat="false" ht="18.75" hidden="false" customHeight="true" outlineLevel="0" collapsed="false">
      <c r="A13" s="57" t="s">
        <v>675</v>
      </c>
      <c r="B13" s="64" t="n">
        <v>0.408</v>
      </c>
      <c r="C13" s="58" t="n">
        <f aca="false">B13/B$22*B$24</f>
        <v>0.640837696335079</v>
      </c>
      <c r="D13" s="57" t="s">
        <v>434</v>
      </c>
      <c r="E13" s="59" t="n">
        <f aca="false">IFERROR(INDEX(Correspondance!$D$2:$D$3000,MATCH(A13,Correspondance!$A$2:$A$3000,0)),0)</f>
        <v>9</v>
      </c>
      <c r="F13" s="60" t="n">
        <f aca="false">C13*E13</f>
        <v>5.76753926701571</v>
      </c>
      <c r="G13" s="61"/>
      <c r="I13" s="63"/>
    </row>
    <row r="14" customFormat="false" ht="15.75" hidden="false" customHeight="false" outlineLevel="0" collapsed="false">
      <c r="A14" s="57" t="s">
        <v>1007</v>
      </c>
      <c r="B14" s="57" t="n">
        <v>0.034</v>
      </c>
      <c r="C14" s="58" t="n">
        <f aca="false">B14/B$22*B$24</f>
        <v>0.0534031413612566</v>
      </c>
      <c r="D14" s="57" t="s">
        <v>434</v>
      </c>
      <c r="E14" s="59" t="n">
        <f aca="false">IFERROR(INDEX(Correspondance!$D$2:$D$3000,MATCH(A14,Correspondance!$A$2:$A$3000,0)),0)</f>
        <v>8</v>
      </c>
      <c r="F14" s="60" t="n">
        <f aca="false">C14*E14</f>
        <v>0.427225130890052</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160.884188481675</v>
      </c>
      <c r="G19" s="61"/>
      <c r="I19" s="63"/>
    </row>
    <row r="20" customFormat="false" ht="18.75" hidden="false" customHeight="true" outlineLevel="0" collapsed="false">
      <c r="A20" s="68" t="s">
        <v>2628</v>
      </c>
      <c r="B20" s="69" t="n">
        <f aca="false">F19/B24</f>
        <v>1.46258353165159</v>
      </c>
      <c r="C20" s="70"/>
      <c r="G20" s="61"/>
      <c r="I20" s="63"/>
    </row>
    <row r="21" customFormat="false" ht="15.75" hidden="false" customHeight="false" outlineLevel="0" collapsed="false">
      <c r="A21" s="71" t="s">
        <v>2629</v>
      </c>
      <c r="B21" s="71" t="n">
        <f aca="false">SUM(B3:B18)</f>
        <v>8.404</v>
      </c>
      <c r="C21" s="66"/>
      <c r="G21" s="61"/>
      <c r="I21" s="63"/>
    </row>
    <row r="22" customFormat="false" ht="15.75" hidden="false" customHeight="false" outlineLevel="0" collapsed="false">
      <c r="A22" s="0" t="s">
        <v>2630</v>
      </c>
      <c r="B22" s="72" t="n">
        <f aca="false">B21/B23</f>
        <v>70.0333333333333</v>
      </c>
      <c r="C22" s="66"/>
      <c r="G22" s="61"/>
      <c r="I22" s="63"/>
    </row>
    <row r="23" customFormat="false" ht="15.75" hidden="false" customHeight="false" outlineLevel="0" collapsed="false">
      <c r="A23" s="0" t="s">
        <v>2631</v>
      </c>
      <c r="B23" s="0" t="n">
        <v>0.12</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156</v>
      </c>
      <c r="B1" s="50"/>
      <c r="C1" s="50"/>
      <c r="D1" s="50"/>
      <c r="E1" s="51" t="s">
        <v>2619</v>
      </c>
      <c r="F1" s="51"/>
      <c r="G1" s="52" t="s">
        <v>2817</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1599</v>
      </c>
      <c r="B4" s="57" t="n">
        <v>6.66</v>
      </c>
      <c r="C4" s="58" t="n">
        <f aca="false">B4/B$22*B$24</f>
        <v>10.4691656590085</v>
      </c>
      <c r="D4" s="57" t="s">
        <v>434</v>
      </c>
      <c r="E4" s="59" t="n">
        <f aca="false">IFERROR(INDEX(Correspondance!$D$2:$D$3000,MATCH(A4,Correspondance!$A$2:$A$3000,0)),0)</f>
        <v>10.5</v>
      </c>
      <c r="F4" s="60" t="n">
        <f aca="false">C4*E4</f>
        <v>109.926239419589</v>
      </c>
      <c r="G4" s="61" t="s">
        <v>2818</v>
      </c>
    </row>
    <row r="5" customFormat="false" ht="15.75" hidden="false" customHeight="false" outlineLevel="0" collapsed="false">
      <c r="A5" s="57" t="s">
        <v>1616</v>
      </c>
      <c r="B5" s="57" t="n">
        <v>0.4</v>
      </c>
      <c r="C5" s="58" t="n">
        <f aca="false">B5/B$22*B$24</f>
        <v>0.628778718258767</v>
      </c>
      <c r="D5" s="57" t="s">
        <v>434</v>
      </c>
      <c r="E5" s="59" t="n">
        <f aca="false">IFERROR(INDEX(Correspondance!$D$2:$D$3000,MATCH(A5,Correspondance!$A$2:$A$3000,0)),0)</f>
        <v>0.85</v>
      </c>
      <c r="F5" s="60" t="n">
        <f aca="false">C5*E5</f>
        <v>0.534461910519952</v>
      </c>
      <c r="G5" s="61"/>
      <c r="I5" s="62"/>
    </row>
    <row r="6" customFormat="false" ht="15.75" hidden="false" customHeight="false" outlineLevel="0" collapsed="false">
      <c r="A6" s="57" t="s">
        <v>1675</v>
      </c>
      <c r="B6" s="57" t="n">
        <v>0.266</v>
      </c>
      <c r="C6" s="58" t="n">
        <f aca="false">B6/B$22*B$24</f>
        <v>0.41813784764208</v>
      </c>
      <c r="D6" s="57" t="s">
        <v>682</v>
      </c>
      <c r="E6" s="59" t="n">
        <f aca="false">IFERROR(INDEX(Correspondance!$D$2:$D$3000,MATCH(A6,Correspondance!$A$2:$A$3000,0)),0)</f>
        <v>2.2</v>
      </c>
      <c r="F6" s="60" t="n">
        <f aca="false">C6*E6</f>
        <v>0.919903264812576</v>
      </c>
      <c r="G6" s="61"/>
      <c r="I6" s="63"/>
    </row>
    <row r="7" customFormat="false" ht="15.75" hidden="false" customHeight="false" outlineLevel="0" collapsed="false">
      <c r="A7" s="57" t="s">
        <v>1491</v>
      </c>
      <c r="B7" s="57" t="n">
        <v>0.666</v>
      </c>
      <c r="C7" s="58" t="n">
        <f aca="false">B7/B$22*B$24</f>
        <v>1.04691656590085</v>
      </c>
      <c r="D7" s="57" t="s">
        <v>434</v>
      </c>
      <c r="E7" s="59" t="n">
        <f aca="false">IFERROR(INDEX(Correspondance!$D$2:$D$3000,MATCH(A7,Correspondance!$A$2:$A$3000,0)),0)</f>
        <v>9</v>
      </c>
      <c r="F7" s="60" t="n">
        <f aca="false">C7*E7</f>
        <v>9.42224909310762</v>
      </c>
      <c r="G7" s="61"/>
      <c r="I7" s="63"/>
    </row>
    <row r="8" customFormat="false" ht="15.75" hidden="false" customHeight="false" outlineLevel="0" collapsed="false">
      <c r="A8" s="57" t="s">
        <v>1549</v>
      </c>
      <c r="B8" s="57" t="n">
        <v>0.999</v>
      </c>
      <c r="C8" s="58" t="n">
        <f aca="false">B8/B$22*B$24</f>
        <v>1.57037484885127</v>
      </c>
      <c r="D8" s="57" t="s">
        <v>434</v>
      </c>
      <c r="E8" s="59" t="n">
        <f aca="false">IFERROR(INDEX(Correspondance!$D$2:$D$3000,MATCH(A8,Correspondance!$A$2:$A$3000,0)),0)</f>
        <v>2.2</v>
      </c>
      <c r="F8" s="60" t="n">
        <f aca="false">C8*E8</f>
        <v>3.45482466747279</v>
      </c>
      <c r="G8" s="61"/>
      <c r="I8" s="63"/>
    </row>
    <row r="9" customFormat="false" ht="15.75" hidden="false" customHeight="false" outlineLevel="0" collapsed="false">
      <c r="A9" s="57" t="s">
        <v>1007</v>
      </c>
      <c r="B9" s="57" t="n">
        <v>0.053</v>
      </c>
      <c r="C9" s="58" t="n">
        <f aca="false">B9/B$22*B$24</f>
        <v>0.0833131801692866</v>
      </c>
      <c r="D9" s="57" t="s">
        <v>434</v>
      </c>
      <c r="E9" s="59" t="n">
        <f aca="false">IFERROR(INDEX(Correspondance!$D$2:$D$3000,MATCH(A9,Correspondance!$A$2:$A$3000,0)),0)</f>
        <v>8</v>
      </c>
      <c r="F9" s="60" t="n">
        <f aca="false">C9*E9</f>
        <v>0.666505441354293</v>
      </c>
      <c r="G9" s="61"/>
      <c r="I9" s="63"/>
    </row>
    <row r="10" customFormat="false" ht="15.75" hidden="false" customHeight="false" outlineLevel="0" collapsed="false">
      <c r="A10" s="57" t="s">
        <v>1919</v>
      </c>
      <c r="B10" s="57" t="n">
        <v>0.053</v>
      </c>
      <c r="C10" s="58" t="n">
        <f aca="false">B10/B$22*B$24</f>
        <v>0.0833131801692866</v>
      </c>
      <c r="D10" s="57" t="s">
        <v>434</v>
      </c>
      <c r="E10" s="59" t="n">
        <f aca="false">IFERROR(INDEX(Correspondance!$D$2:$D$3000,MATCH(A10,Correspondance!$A$2:$A$3000,0)),0)</f>
        <v>2</v>
      </c>
      <c r="F10" s="60" t="n">
        <f aca="false">C10*E10</f>
        <v>0.166626360338573</v>
      </c>
      <c r="G10" s="61"/>
      <c r="I10" s="63"/>
    </row>
    <row r="11" customFormat="false" ht="15.75" hidden="false" customHeight="false" outlineLevel="0" collapsed="false">
      <c r="A11" s="57" t="s">
        <v>1814</v>
      </c>
      <c r="B11" s="57"/>
      <c r="C11" s="58" t="n">
        <f aca="false">B11/B$22*B$24</f>
        <v>0</v>
      </c>
      <c r="D11" s="57" t="s">
        <v>434</v>
      </c>
      <c r="E11" s="59" t="n">
        <f aca="false">IFERROR(INDEX(Correspondance!$D$2:$D$3000,MATCH(A11,Correspondance!$A$2:$A$3000,0)),0)</f>
        <v>18</v>
      </c>
      <c r="F11" s="60" t="n">
        <f aca="false">C11*E11</f>
        <v>0</v>
      </c>
      <c r="G11" s="61"/>
      <c r="I11" s="63"/>
    </row>
    <row r="12" customFormat="false" ht="18.75" hidden="false" customHeight="true" outlineLevel="0" collapsed="false">
      <c r="A12" s="57"/>
      <c r="B12" s="64"/>
      <c r="C12" s="58" t="n">
        <f aca="false">B12/B$22*B$24</f>
        <v>0</v>
      </c>
      <c r="D12" s="57"/>
      <c r="E12" s="65" t="n">
        <f aca="false">IFERROR(INDEX(Correspondance!$D$2:$D$3000,MATCH(A12,Correspondance!$A$2:$A$3000,0)),0)</f>
        <v>0</v>
      </c>
      <c r="F12" s="60" t="n">
        <f aca="false">C12*E12</f>
        <v>0</v>
      </c>
      <c r="G12" s="61"/>
      <c r="I12" s="63"/>
    </row>
    <row r="13" customFormat="false" ht="18.75" hidden="false" customHeight="true" outlineLevel="0" collapsed="false">
      <c r="A13" s="57"/>
      <c r="B13" s="64"/>
      <c r="C13" s="58" t="n">
        <f aca="false">B13/B$22*B$24</f>
        <v>0</v>
      </c>
      <c r="D13" s="57"/>
      <c r="E13" s="65" t="n">
        <f aca="false">IFERROR(INDEX(Correspondance!$D$2:$D$3000,MATCH(A13,Correspondance!$A$2:$A$3000,0)),0)</f>
        <v>0</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125.090810157195</v>
      </c>
      <c r="G19" s="61"/>
      <c r="I19" s="63"/>
    </row>
    <row r="20" customFormat="false" ht="18.75" hidden="false" customHeight="true" outlineLevel="0" collapsed="false">
      <c r="A20" s="68" t="s">
        <v>2628</v>
      </c>
      <c r="B20" s="69" t="n">
        <f aca="false">F19/B24</f>
        <v>1.13718918324722</v>
      </c>
      <c r="C20" s="70"/>
      <c r="G20" s="61"/>
      <c r="I20" s="63"/>
    </row>
    <row r="21" customFormat="false" ht="15.75" hidden="false" customHeight="false" outlineLevel="0" collapsed="false">
      <c r="A21" s="71" t="s">
        <v>2629</v>
      </c>
      <c r="B21" s="71" t="n">
        <f aca="false">SUM(B3:B18)</f>
        <v>9.097</v>
      </c>
      <c r="C21" s="66"/>
      <c r="G21" s="61"/>
      <c r="I21" s="63"/>
    </row>
    <row r="22" customFormat="false" ht="15.75" hidden="false" customHeight="false" outlineLevel="0" collapsed="false">
      <c r="A22" s="0" t="s">
        <v>2630</v>
      </c>
      <c r="B22" s="72" t="n">
        <f aca="false">B21/B23</f>
        <v>69.9769230769231</v>
      </c>
      <c r="C22" s="66"/>
      <c r="G22" s="61"/>
      <c r="I22" s="63"/>
    </row>
    <row r="23" customFormat="false" ht="15.75" hidden="false" customHeight="false" outlineLevel="0" collapsed="false">
      <c r="A23" s="0" t="s">
        <v>2631</v>
      </c>
      <c r="B23" s="0" t="n">
        <v>0.13</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157</v>
      </c>
      <c r="B1" s="50"/>
      <c r="C1" s="50"/>
      <c r="D1" s="50"/>
      <c r="E1" s="51" t="s">
        <v>2619</v>
      </c>
      <c r="F1" s="51"/>
      <c r="G1" s="52" t="s">
        <v>2819</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1599</v>
      </c>
      <c r="B4" s="57" t="n">
        <v>6.64</v>
      </c>
      <c r="C4" s="58" t="n">
        <f aca="false">B4/B$22*B$24</f>
        <v>10.4319929685783</v>
      </c>
      <c r="D4" s="57" t="s">
        <v>434</v>
      </c>
      <c r="E4" s="59" t="n">
        <f aca="false">IFERROR(INDEX(Correspondance!$D$2:$D$3000,MATCH(A4,Correspondance!$A$2:$A$3000,0)),0)</f>
        <v>10.5</v>
      </c>
      <c r="F4" s="60" t="n">
        <f aca="false">C4*E4</f>
        <v>109.535926170073</v>
      </c>
      <c r="G4" s="61" t="s">
        <v>2820</v>
      </c>
    </row>
    <row r="5" customFormat="false" ht="15.75" hidden="false" customHeight="false" outlineLevel="0" collapsed="false">
      <c r="A5" s="57" t="s">
        <v>1070</v>
      </c>
      <c r="B5" s="57" t="n">
        <v>0.531</v>
      </c>
      <c r="C5" s="58" t="n">
        <f aca="false">B5/B$22*B$24</f>
        <v>0.834245220830587</v>
      </c>
      <c r="D5" s="57" t="s">
        <v>434</v>
      </c>
      <c r="E5" s="59" t="n">
        <f aca="false">IFERROR(INDEX(Correspondance!$D$2:$D$3000,MATCH(A5,Correspondance!$A$2:$A$3000,0)),0)</f>
        <v>2</v>
      </c>
      <c r="F5" s="60" t="n">
        <f aca="false">C5*E5</f>
        <v>1.66849044166117</v>
      </c>
      <c r="G5" s="61"/>
      <c r="I5" s="62"/>
    </row>
    <row r="6" customFormat="false" ht="15.75" hidden="false" customHeight="false" outlineLevel="0" collapsed="false">
      <c r="A6" s="57" t="s">
        <v>947</v>
      </c>
      <c r="B6" s="57" t="n">
        <v>0.265</v>
      </c>
      <c r="C6" s="58" t="n">
        <f aca="false">B6/B$22*B$24</f>
        <v>0.416337068776093</v>
      </c>
      <c r="D6" s="57" t="s">
        <v>434</v>
      </c>
      <c r="E6" s="59" t="n">
        <f aca="false">IFERROR(INDEX(Correspondance!$D$2:$D$3000,MATCH(A6,Correspondance!$A$2:$A$3000,0)),0)</f>
        <v>4.5</v>
      </c>
      <c r="F6" s="60" t="n">
        <f aca="false">C6*E6</f>
        <v>1.87351680949242</v>
      </c>
      <c r="G6" s="61"/>
      <c r="I6" s="63"/>
    </row>
    <row r="7" customFormat="false" ht="15.75" hidden="false" customHeight="false" outlineLevel="0" collapsed="false">
      <c r="A7" s="57" t="s">
        <v>1007</v>
      </c>
      <c r="B7" s="57" t="n">
        <v>0.066</v>
      </c>
      <c r="C7" s="58" t="n">
        <f aca="false">B7/B$22*B$24</f>
        <v>0.103691496374423</v>
      </c>
      <c r="D7" s="57" t="s">
        <v>434</v>
      </c>
      <c r="E7" s="59" t="n">
        <f aca="false">IFERROR(INDEX(Correspondance!$D$2:$D$3000,MATCH(A7,Correspondance!$A$2:$A$3000,0)),0)</f>
        <v>8</v>
      </c>
      <c r="F7" s="60" t="n">
        <f aca="false">C7*E7</f>
        <v>0.829531970995386</v>
      </c>
      <c r="G7" s="61"/>
      <c r="I7" s="63"/>
    </row>
    <row r="8" customFormat="false" ht="15.75" hidden="false" customHeight="false" outlineLevel="0" collapsed="false">
      <c r="A8" s="57" t="s">
        <v>894</v>
      </c>
      <c r="B8" s="57" t="n">
        <v>0.02</v>
      </c>
      <c r="C8" s="58" t="n">
        <f aca="false">B8/B$22*B$24</f>
        <v>0.031421665568007</v>
      </c>
      <c r="D8" s="57" t="s">
        <v>434</v>
      </c>
      <c r="E8" s="59" t="n">
        <f aca="false">IFERROR(INDEX(Correspondance!$D$2:$D$3000,MATCH(A8,Correspondance!$A$2:$A$3000,0)),0)</f>
        <v>5.5</v>
      </c>
      <c r="F8" s="60" t="n">
        <f aca="false">C8*E8</f>
        <v>0.172819160624039</v>
      </c>
      <c r="G8" s="61"/>
      <c r="I8" s="63"/>
    </row>
    <row r="9" customFormat="false" ht="15.75" hidden="false" customHeight="false" outlineLevel="0" collapsed="false">
      <c r="A9" s="57" t="s">
        <v>1491</v>
      </c>
      <c r="B9" s="57" t="n">
        <v>0.531</v>
      </c>
      <c r="C9" s="58" t="n">
        <f aca="false">B9/B$22*B$24</f>
        <v>0.834245220830587</v>
      </c>
      <c r="D9" s="57" t="s">
        <v>434</v>
      </c>
      <c r="E9" s="59" t="n">
        <f aca="false">IFERROR(INDEX(Correspondance!$D$2:$D$3000,MATCH(A9,Correspondance!$A$2:$A$3000,0)),0)</f>
        <v>9</v>
      </c>
      <c r="F9" s="60" t="n">
        <f aca="false">C9*E9</f>
        <v>7.50820698747528</v>
      </c>
      <c r="G9" s="61"/>
      <c r="I9" s="63"/>
    </row>
    <row r="10" customFormat="false" ht="15.75" hidden="false" customHeight="false" outlineLevel="0" collapsed="false">
      <c r="A10" s="57" t="s">
        <v>1120</v>
      </c>
      <c r="B10" s="57" t="n">
        <v>0.133</v>
      </c>
      <c r="C10" s="58" t="n">
        <f aca="false">B10/B$22*B$24</f>
        <v>0.208954076027247</v>
      </c>
      <c r="D10" s="57" t="s">
        <v>682</v>
      </c>
      <c r="E10" s="59" t="n">
        <f aca="false">IFERROR(INDEX(Correspondance!$D$2:$D$3000,MATCH(A10,Correspondance!$A$2:$A$3000,0)),0)</f>
        <v>7.5</v>
      </c>
      <c r="F10" s="60" t="n">
        <f aca="false">C10*E10</f>
        <v>1.56715557020435</v>
      </c>
      <c r="G10" s="61"/>
      <c r="I10" s="63"/>
    </row>
    <row r="11" customFormat="false" ht="15.75" hidden="false" customHeight="false" outlineLevel="0" collapsed="false">
      <c r="A11" s="57" t="s">
        <v>1973</v>
      </c>
      <c r="B11" s="57" t="n">
        <v>0.332</v>
      </c>
      <c r="C11" s="58" t="n">
        <f aca="false">B11/B$22*B$24</f>
        <v>0.521599648428917</v>
      </c>
      <c r="D11" s="57" t="s">
        <v>682</v>
      </c>
      <c r="E11" s="59" t="n">
        <f aca="false">IFERROR(INDEX(Correspondance!$D$2:$D$3000,MATCH(A11,Correspondance!$A$2:$A$3000,0)),0)</f>
        <v>2</v>
      </c>
      <c r="F11" s="60" t="n">
        <f aca="false">C11*E11</f>
        <v>1.04319929685783</v>
      </c>
      <c r="G11" s="61"/>
      <c r="I11" s="63"/>
    </row>
    <row r="12" customFormat="false" ht="18.75" hidden="false" customHeight="true" outlineLevel="0" collapsed="false">
      <c r="A12" s="57" t="s">
        <v>1549</v>
      </c>
      <c r="B12" s="64" t="n">
        <v>0.531</v>
      </c>
      <c r="C12" s="58" t="n">
        <f aca="false">B12/B$22*B$24</f>
        <v>0.834245220830587</v>
      </c>
      <c r="D12" s="57" t="s">
        <v>434</v>
      </c>
      <c r="E12" s="59" t="n">
        <f aca="false">IFERROR(INDEX(Correspondance!$D$2:$D$3000,MATCH(A12,Correspondance!$A$2:$A$3000,0)),0)</f>
        <v>2.2</v>
      </c>
      <c r="F12" s="60" t="n">
        <f aca="false">C12*E12</f>
        <v>1.83533948582729</v>
      </c>
      <c r="G12" s="61"/>
      <c r="I12" s="63"/>
    </row>
    <row r="13" customFormat="false" ht="18.75" hidden="false" customHeight="true" outlineLevel="0" collapsed="false">
      <c r="A13" s="57" t="s">
        <v>1919</v>
      </c>
      <c r="B13" s="64" t="n">
        <v>0.053</v>
      </c>
      <c r="C13" s="58" t="n">
        <f aca="false">B13/B$22*B$24</f>
        <v>0.0832674137552186</v>
      </c>
      <c r="D13" s="57" t="s">
        <v>434</v>
      </c>
      <c r="E13" s="59" t="n">
        <f aca="false">IFERROR(INDEX(Correspondance!$D$2:$D$3000,MATCH(A13,Correspondance!$A$2:$A$3000,0)),0)</f>
        <v>2</v>
      </c>
      <c r="F13" s="60" t="n">
        <f aca="false">C13*E13</f>
        <v>0.166534827510437</v>
      </c>
      <c r="G13" s="61"/>
      <c r="I13" s="63"/>
    </row>
    <row r="14" customFormat="false" ht="15.75" hidden="false" customHeight="false" outlineLevel="0" collapsed="false">
      <c r="A14" s="57" t="s">
        <v>1814</v>
      </c>
      <c r="B14" s="57"/>
      <c r="C14" s="58" t="n">
        <f aca="false">B14/B$22*B$24</f>
        <v>0</v>
      </c>
      <c r="D14" s="57" t="s">
        <v>434</v>
      </c>
      <c r="E14" s="59" t="n">
        <f aca="false">IFERROR(INDEX(Correspondance!$D$2:$D$3000,MATCH(A14,Correspondance!$A$2:$A$3000,0)),0)</f>
        <v>18</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126.200720720721</v>
      </c>
      <c r="G19" s="61"/>
      <c r="I19" s="63"/>
    </row>
    <row r="20" customFormat="false" ht="18.75" hidden="false" customHeight="true" outlineLevel="0" collapsed="false">
      <c r="A20" s="68" t="s">
        <v>2628</v>
      </c>
      <c r="B20" s="69" t="n">
        <f aca="false">F19/B24</f>
        <v>1.14727927927928</v>
      </c>
      <c r="C20" s="70"/>
      <c r="G20" s="61"/>
      <c r="I20" s="63"/>
    </row>
    <row r="21" customFormat="false" ht="15.75" hidden="false" customHeight="false" outlineLevel="0" collapsed="false">
      <c r="A21" s="71" t="s">
        <v>2629</v>
      </c>
      <c r="B21" s="71" t="n">
        <f aca="false">SUM(B3:B18)</f>
        <v>9.102</v>
      </c>
      <c r="C21" s="66"/>
      <c r="G21" s="61"/>
      <c r="I21" s="63"/>
    </row>
    <row r="22" customFormat="false" ht="15.75" hidden="false" customHeight="false" outlineLevel="0" collapsed="false">
      <c r="A22" s="0" t="s">
        <v>2630</v>
      </c>
      <c r="B22" s="72" t="n">
        <f aca="false">B21/B23</f>
        <v>70.0153846153846</v>
      </c>
      <c r="C22" s="66"/>
      <c r="G22" s="61"/>
      <c r="I22" s="63"/>
    </row>
    <row r="23" customFormat="false" ht="15.75" hidden="false" customHeight="false" outlineLevel="0" collapsed="false">
      <c r="A23" s="0" t="s">
        <v>2631</v>
      </c>
      <c r="B23" s="0" t="n">
        <v>0.13</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158</v>
      </c>
      <c r="B1" s="50"/>
      <c r="C1" s="50"/>
      <c r="D1" s="50"/>
      <c r="E1" s="51" t="s">
        <v>2619</v>
      </c>
      <c r="F1" s="51"/>
      <c r="G1" s="52" t="s">
        <v>2821</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1600</v>
      </c>
      <c r="B4" s="57" t="n">
        <v>6.8</v>
      </c>
      <c r="C4" s="58" t="n">
        <f aca="false">B4/B$22*B$24</f>
        <v>10.6880633106177</v>
      </c>
      <c r="D4" s="57" t="s">
        <v>434</v>
      </c>
      <c r="E4" s="59" t="n">
        <f aca="false">IFERROR(INDEX(Correspondance!$D$2:$D$3000,MATCH(A4,Correspondance!$A$2:$A$3000,0)),0)</f>
        <v>15</v>
      </c>
      <c r="F4" s="60" t="n">
        <f aca="false">C4*E4</f>
        <v>160.320949659266</v>
      </c>
      <c r="G4" s="61" t="s">
        <v>2822</v>
      </c>
    </row>
    <row r="5" customFormat="false" ht="15.75" hidden="false" customHeight="false" outlineLevel="0" collapsed="false">
      <c r="A5" s="57" t="s">
        <v>1120</v>
      </c>
      <c r="B5" s="57" t="n">
        <v>0.204</v>
      </c>
      <c r="C5" s="58" t="n">
        <f aca="false">B5/B$22*B$24</f>
        <v>0.320641899318532</v>
      </c>
      <c r="D5" s="57" t="s">
        <v>682</v>
      </c>
      <c r="E5" s="59" t="n">
        <f aca="false">IFERROR(INDEX(Correspondance!$D$2:$D$3000,MATCH(A5,Correspondance!$A$2:$A$3000,0)),0)</f>
        <v>7.5</v>
      </c>
      <c r="F5" s="60" t="n">
        <f aca="false">C5*E5</f>
        <v>2.40481424488899</v>
      </c>
      <c r="G5" s="61"/>
      <c r="I5" s="62"/>
    </row>
    <row r="6" customFormat="false" ht="15.75" hidden="false" customHeight="false" outlineLevel="0" collapsed="false">
      <c r="A6" s="57" t="s">
        <v>1549</v>
      </c>
      <c r="B6" s="57" t="n">
        <v>0.68</v>
      </c>
      <c r="C6" s="58" t="n">
        <f aca="false">B6/B$22*B$24</f>
        <v>1.06880633106177</v>
      </c>
      <c r="D6" s="57" t="s">
        <v>434</v>
      </c>
      <c r="E6" s="59" t="n">
        <f aca="false">IFERROR(INDEX(Correspondance!$D$2:$D$3000,MATCH(A6,Correspondance!$A$2:$A$3000,0)),0)</f>
        <v>2.2</v>
      </c>
      <c r="F6" s="60" t="n">
        <f aca="false">C6*E6</f>
        <v>2.3513739283359</v>
      </c>
      <c r="G6" s="61"/>
      <c r="I6" s="63"/>
    </row>
    <row r="7" customFormat="false" ht="15.75" hidden="false" customHeight="false" outlineLevel="0" collapsed="false">
      <c r="A7" s="57" t="s">
        <v>1602</v>
      </c>
      <c r="B7" s="57" t="n">
        <v>1.02</v>
      </c>
      <c r="C7" s="58" t="n">
        <f aca="false">B7/B$22*B$24</f>
        <v>1.60320949659266</v>
      </c>
      <c r="D7" s="57" t="s">
        <v>434</v>
      </c>
      <c r="E7" s="59" t="n">
        <f aca="false">IFERROR(INDEX(Correspondance!$D$2:$D$3000,MATCH(A7,Correspondance!$A$2:$A$3000,0)),0)</f>
        <v>2.5</v>
      </c>
      <c r="F7" s="60" t="n">
        <f aca="false">C7*E7</f>
        <v>4.00802374148165</v>
      </c>
      <c r="G7" s="61"/>
      <c r="I7" s="63"/>
    </row>
    <row r="8" customFormat="false" ht="15.75" hidden="false" customHeight="false" outlineLevel="0" collapsed="false">
      <c r="A8" s="57" t="s">
        <v>1227</v>
      </c>
      <c r="B8" s="57" t="n">
        <v>0.204</v>
      </c>
      <c r="C8" s="58" t="n">
        <f aca="false">B8/B$22*B$24</f>
        <v>0.320641899318532</v>
      </c>
      <c r="D8" s="57" t="s">
        <v>434</v>
      </c>
      <c r="E8" s="59" t="n">
        <f aca="false">IFERROR(INDEX(Correspondance!$D$2:$D$3000,MATCH(A8,Correspondance!$A$2:$A$3000,0)),0)</f>
        <v>5.5</v>
      </c>
      <c r="F8" s="60" t="n">
        <f aca="false">C8*E8</f>
        <v>1.76353044625192</v>
      </c>
      <c r="G8" s="61"/>
      <c r="I8" s="63"/>
    </row>
    <row r="9" customFormat="false" ht="15.75" hidden="false" customHeight="false" outlineLevel="0" collapsed="false">
      <c r="A9" s="57" t="s">
        <v>947</v>
      </c>
      <c r="B9" s="57" t="n">
        <v>0.136</v>
      </c>
      <c r="C9" s="58" t="n">
        <f aca="false">B9/B$22*B$24</f>
        <v>0.213761266212354</v>
      </c>
      <c r="D9" s="57" t="s">
        <v>434</v>
      </c>
      <c r="E9" s="59" t="n">
        <f aca="false">IFERROR(INDEX(Correspondance!$D$2:$D$3000,MATCH(A9,Correspondance!$A$2:$A$3000,0)),0)</f>
        <v>4.5</v>
      </c>
      <c r="F9" s="60" t="n">
        <f aca="false">C9*E9</f>
        <v>0.961925697955595</v>
      </c>
      <c r="G9" s="61"/>
      <c r="I9" s="63"/>
    </row>
    <row r="10" customFormat="false" ht="15.75" hidden="false" customHeight="false" outlineLevel="0" collapsed="false">
      <c r="A10" s="57" t="s">
        <v>1487</v>
      </c>
      <c r="B10" s="57"/>
      <c r="C10" s="58" t="n">
        <f aca="false">B10/B$22*B$24</f>
        <v>0</v>
      </c>
      <c r="D10" s="57" t="s">
        <v>434</v>
      </c>
      <c r="E10" s="59" t="n">
        <f aca="false">IFERROR(INDEX(Correspondance!$D$2:$D$3000,MATCH(A10,Correspondance!$A$2:$A$3000,0)),0)</f>
        <v>12</v>
      </c>
      <c r="F10" s="60" t="n">
        <f aca="false">C10*E10</f>
        <v>0</v>
      </c>
      <c r="G10" s="61"/>
      <c r="I10" s="63"/>
    </row>
    <row r="11" customFormat="false" ht="15.75" hidden="false" customHeight="false" outlineLevel="0" collapsed="false">
      <c r="A11" s="57" t="s">
        <v>1919</v>
      </c>
      <c r="B11" s="57" t="n">
        <v>0.054</v>
      </c>
      <c r="C11" s="58" t="n">
        <f aca="false">B11/B$22*B$24</f>
        <v>0.0848757968784348</v>
      </c>
      <c r="D11" s="57" t="s">
        <v>434</v>
      </c>
      <c r="E11" s="59" t="n">
        <f aca="false">IFERROR(INDEX(Correspondance!$D$2:$D$3000,MATCH(A11,Correspondance!$A$2:$A$3000,0)),0)</f>
        <v>2</v>
      </c>
      <c r="F11" s="60" t="n">
        <f aca="false">C11*E11</f>
        <v>0.16975159375687</v>
      </c>
      <c r="G11" s="61"/>
      <c r="I11" s="63"/>
    </row>
    <row r="12" customFormat="false" ht="18.75" hidden="false" customHeight="true" outlineLevel="0" collapsed="false">
      <c r="A12" s="57" t="s">
        <v>1814</v>
      </c>
      <c r="B12" s="64"/>
      <c r="C12" s="58" t="n">
        <f aca="false">B12/B$22*B$24</f>
        <v>0</v>
      </c>
      <c r="D12" s="57" t="s">
        <v>434</v>
      </c>
      <c r="E12" s="59" t="n">
        <f aca="false">IFERROR(INDEX(Correspondance!$D$2:$D$3000,MATCH(A12,Correspondance!$A$2:$A$3000,0)),0)</f>
        <v>18</v>
      </c>
      <c r="F12" s="60" t="n">
        <f aca="false">C12*E12</f>
        <v>0</v>
      </c>
      <c r="G12" s="61"/>
      <c r="I12" s="63"/>
    </row>
    <row r="13" customFormat="false" ht="18.75" hidden="false" customHeight="true" outlineLevel="0" collapsed="false">
      <c r="A13" s="57"/>
      <c r="B13" s="64"/>
      <c r="C13" s="58" t="n">
        <f aca="false">B13/B$22*B$24</f>
        <v>0</v>
      </c>
      <c r="D13" s="57"/>
      <c r="E13" s="65" t="n">
        <f aca="false">IFERROR(INDEX(Correspondance!$D$2:$D$3000,MATCH(A13,Correspondance!$A$2:$A$3000,0)),0)</f>
        <v>0</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171.980369311937</v>
      </c>
      <c r="G19" s="61"/>
      <c r="I19" s="63"/>
    </row>
    <row r="20" customFormat="false" ht="18.75" hidden="false" customHeight="true" outlineLevel="0" collapsed="false">
      <c r="A20" s="68" t="s">
        <v>2628</v>
      </c>
      <c r="B20" s="69" t="n">
        <f aca="false">F19/B24</f>
        <v>1.56345790283579</v>
      </c>
      <c r="C20" s="70"/>
      <c r="G20" s="61"/>
      <c r="I20" s="63"/>
    </row>
    <row r="21" customFormat="false" ht="15.75" hidden="false" customHeight="false" outlineLevel="0" collapsed="false">
      <c r="A21" s="71" t="s">
        <v>2629</v>
      </c>
      <c r="B21" s="71" t="n">
        <f aca="false">SUM(B3:B18)</f>
        <v>9.098</v>
      </c>
      <c r="C21" s="66"/>
      <c r="G21" s="61"/>
      <c r="I21" s="63"/>
    </row>
    <row r="22" customFormat="false" ht="15.75" hidden="false" customHeight="false" outlineLevel="0" collapsed="false">
      <c r="A22" s="0" t="s">
        <v>2630</v>
      </c>
      <c r="B22" s="72" t="n">
        <f aca="false">B21/B23</f>
        <v>69.9846153846154</v>
      </c>
      <c r="C22" s="66"/>
      <c r="G22" s="61"/>
      <c r="I22" s="63"/>
    </row>
    <row r="23" customFormat="false" ht="15.75" hidden="false" customHeight="false" outlineLevel="0" collapsed="false">
      <c r="A23" s="0" t="s">
        <v>2631</v>
      </c>
      <c r="B23" s="0" t="n">
        <v>0.13</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160</v>
      </c>
      <c r="B1" s="50"/>
      <c r="C1" s="50"/>
      <c r="D1" s="50"/>
      <c r="E1" s="51" t="s">
        <v>2619</v>
      </c>
      <c r="F1" s="51"/>
      <c r="G1" s="52" t="s">
        <v>2823</v>
      </c>
    </row>
    <row r="2" customFormat="false" ht="24.75" hidden="false" customHeight="true" outlineLevel="0" collapsed="false">
      <c r="A2" s="50"/>
      <c r="B2" s="50"/>
      <c r="C2" s="50"/>
      <c r="D2" s="50"/>
      <c r="E2" s="53" t="s">
        <v>2824</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1886</v>
      </c>
      <c r="B4" s="57" t="n">
        <v>6.41</v>
      </c>
      <c r="C4" s="58" t="n">
        <f aca="false">B4/B$22*B$24</f>
        <v>10.0728571428571</v>
      </c>
      <c r="D4" s="57" t="s">
        <v>434</v>
      </c>
      <c r="E4" s="59" t="n">
        <f aca="false">IFERROR(INDEX(Correspondance!$D$2:$D$3000,MATCH(A4,Correspondance!$A$2:$A$3000,0)),0)</f>
        <v>14.5</v>
      </c>
      <c r="F4" s="60" t="n">
        <f aca="false">C4*E4</f>
        <v>146.056428571429</v>
      </c>
      <c r="G4" s="61" t="s">
        <v>2825</v>
      </c>
    </row>
    <row r="5" customFormat="false" ht="15.75" hidden="false" customHeight="false" outlineLevel="0" collapsed="false">
      <c r="A5" s="57" t="s">
        <v>1919</v>
      </c>
      <c r="B5" s="57" t="n">
        <v>0.064</v>
      </c>
      <c r="C5" s="58" t="n">
        <f aca="false">B5/B$22*B$24</f>
        <v>0.100571428571429</v>
      </c>
      <c r="D5" s="57" t="s">
        <v>434</v>
      </c>
      <c r="E5" s="59" t="n">
        <f aca="false">IFERROR(INDEX(Correspondance!$D$2:$D$3000,MATCH(A5,Correspondance!$A$2:$A$3000,0)),0)</f>
        <v>2</v>
      </c>
      <c r="F5" s="60" t="n">
        <f aca="false">C5*E5</f>
        <v>0.201142857142857</v>
      </c>
      <c r="G5" s="61"/>
      <c r="I5" s="62"/>
    </row>
    <row r="6" customFormat="false" ht="15.75" hidden="false" customHeight="false" outlineLevel="0" collapsed="false">
      <c r="A6" s="57" t="s">
        <v>1796</v>
      </c>
      <c r="B6" s="57" t="n">
        <v>0.006</v>
      </c>
      <c r="C6" s="58" t="n">
        <f aca="false">B6/B$22*B$24</f>
        <v>0.00942857142857143</v>
      </c>
      <c r="D6" s="57" t="s">
        <v>434</v>
      </c>
      <c r="E6" s="59" t="n">
        <f aca="false">IFERROR(INDEX(Correspondance!$D$2:$D$3000,MATCH(A6,Correspondance!$A$2:$A$3000,0)),0)</f>
        <v>18</v>
      </c>
      <c r="F6" s="60" t="n">
        <f aca="false">C6*E6</f>
        <v>0.169714285714286</v>
      </c>
      <c r="G6" s="61"/>
      <c r="I6" s="63"/>
    </row>
    <row r="7" customFormat="false" ht="15.75" hidden="false" customHeight="false" outlineLevel="0" collapsed="false">
      <c r="A7" s="57" t="s">
        <v>1675</v>
      </c>
      <c r="B7" s="57" t="n">
        <v>0.128</v>
      </c>
      <c r="C7" s="58" t="n">
        <f aca="false">B7/B$22*B$24</f>
        <v>0.201142857142857</v>
      </c>
      <c r="D7" s="57" t="s">
        <v>682</v>
      </c>
      <c r="E7" s="59" t="n">
        <f aca="false">IFERROR(INDEX(Correspondance!$D$2:$D$3000,MATCH(A7,Correspondance!$A$2:$A$3000,0)),0)</f>
        <v>2.2</v>
      </c>
      <c r="F7" s="60" t="n">
        <f aca="false">C7*E7</f>
        <v>0.442514285714286</v>
      </c>
      <c r="G7" s="61"/>
      <c r="I7" s="63"/>
    </row>
    <row r="8" customFormat="false" ht="15.75" hidden="false" customHeight="false" outlineLevel="0" collapsed="false">
      <c r="A8" s="57" t="s">
        <v>894</v>
      </c>
      <c r="B8" s="57" t="n">
        <v>0.019</v>
      </c>
      <c r="C8" s="58" t="n">
        <f aca="false">B8/B$22*B$24</f>
        <v>0.0298571428571429</v>
      </c>
      <c r="D8" s="57" t="s">
        <v>434</v>
      </c>
      <c r="E8" s="59" t="n">
        <f aca="false">IFERROR(INDEX(Correspondance!$D$2:$D$3000,MATCH(A8,Correspondance!$A$2:$A$3000,0)),0)</f>
        <v>5.5</v>
      </c>
      <c r="F8" s="60" t="n">
        <f aca="false">C8*E8</f>
        <v>0.164214285714286</v>
      </c>
      <c r="G8" s="61"/>
      <c r="I8" s="63"/>
    </row>
    <row r="9" customFormat="false" ht="15.75" hidden="false" customHeight="false" outlineLevel="0" collapsed="false">
      <c r="A9" s="57" t="s">
        <v>1945</v>
      </c>
      <c r="B9" s="57"/>
      <c r="C9" s="58" t="n">
        <f aca="false">B9/B$22*B$24</f>
        <v>0</v>
      </c>
      <c r="D9" s="57" t="s">
        <v>434</v>
      </c>
      <c r="E9" s="59" t="n">
        <f aca="false">IFERROR(INDEX(Correspondance!$D$2:$D$3000,MATCH(A9,Correspondance!$A$2:$A$3000,0)),0)</f>
        <v>16</v>
      </c>
      <c r="F9" s="60" t="n">
        <f aca="false">C9*E9</f>
        <v>0</v>
      </c>
      <c r="G9" s="61"/>
      <c r="I9" s="63"/>
    </row>
    <row r="10" customFormat="false" ht="15.75" hidden="false" customHeight="false" outlineLevel="0" collapsed="false">
      <c r="A10" s="57" t="s">
        <v>947</v>
      </c>
      <c r="B10" s="57" t="n">
        <v>0.128</v>
      </c>
      <c r="C10" s="58" t="n">
        <f aca="false">B10/B$22*B$24</f>
        <v>0.201142857142857</v>
      </c>
      <c r="D10" s="57" t="s">
        <v>434</v>
      </c>
      <c r="E10" s="59" t="n">
        <f aca="false">IFERROR(INDEX(Correspondance!$D$2:$D$3000,MATCH(A10,Correspondance!$A$2:$A$3000,0)),0)</f>
        <v>4.5</v>
      </c>
      <c r="F10" s="60" t="n">
        <f aca="false">C10*E10</f>
        <v>0.905142857142857</v>
      </c>
      <c r="G10" s="61"/>
      <c r="I10" s="63"/>
    </row>
    <row r="11" customFormat="false" ht="15.75" hidden="false" customHeight="false" outlineLevel="0" collapsed="false">
      <c r="A11" s="57" t="s">
        <v>1491</v>
      </c>
      <c r="B11" s="57" t="n">
        <v>0.064</v>
      </c>
      <c r="C11" s="58" t="n">
        <f aca="false">B11/B$22*B$24</f>
        <v>0.100571428571429</v>
      </c>
      <c r="D11" s="57" t="s">
        <v>434</v>
      </c>
      <c r="E11" s="59" t="n">
        <f aca="false">IFERROR(INDEX(Correspondance!$D$2:$D$3000,MATCH(A11,Correspondance!$A$2:$A$3000,0)),0)</f>
        <v>9</v>
      </c>
      <c r="F11" s="60" t="n">
        <f aca="false">C11*E11</f>
        <v>0.905142857142857</v>
      </c>
      <c r="G11" s="61"/>
      <c r="I11" s="63"/>
    </row>
    <row r="12" customFormat="false" ht="18.75" hidden="false" customHeight="true" outlineLevel="0" collapsed="false">
      <c r="A12" s="57" t="s">
        <v>1977</v>
      </c>
      <c r="B12" s="64" t="n">
        <v>0.192</v>
      </c>
      <c r="C12" s="58" t="n">
        <f aca="false">B12/B$22*B$24</f>
        <v>0.301714285714286</v>
      </c>
      <c r="D12" s="57" t="s">
        <v>682</v>
      </c>
      <c r="E12" s="59" t="n">
        <f aca="false">IFERROR(INDEX(Correspondance!$D$2:$D$3000,MATCH(A12,Correspondance!$A$2:$A$3000,0)),0)</f>
        <v>2</v>
      </c>
      <c r="F12" s="60" t="n">
        <f aca="false">C12*E12</f>
        <v>0.603428571428571</v>
      </c>
      <c r="G12" s="61"/>
      <c r="I12" s="63"/>
    </row>
    <row r="13" customFormat="false" ht="18.75" hidden="false" customHeight="true" outlineLevel="0" collapsed="false">
      <c r="A13" s="57" t="s">
        <v>1459</v>
      </c>
      <c r="B13" s="64" t="n">
        <v>1.28</v>
      </c>
      <c r="C13" s="58" t="n">
        <f aca="false">B13/B$22*B$24</f>
        <v>2.01142857142857</v>
      </c>
      <c r="D13" s="57" t="s">
        <v>682</v>
      </c>
      <c r="E13" s="59" t="n">
        <f aca="false">IFERROR(INDEX(Correspondance!$D$2:$D$3000,MATCH(A13,Correspondance!$A$2:$A$3000,0)),0)</f>
        <v>0</v>
      </c>
      <c r="F13" s="60" t="n">
        <f aca="false">C13*E13</f>
        <v>0</v>
      </c>
      <c r="G13" s="61"/>
      <c r="I13" s="63"/>
    </row>
    <row r="14" customFormat="false" ht="15.75" hidden="false" customHeight="false" outlineLevel="0" collapsed="false">
      <c r="A14" s="57" t="s">
        <v>1094</v>
      </c>
      <c r="B14" s="57" t="n">
        <v>0.077</v>
      </c>
      <c r="C14" s="58" t="n">
        <f aca="false">B14/B$22*B$24</f>
        <v>0.121</v>
      </c>
      <c r="D14" s="57" t="s">
        <v>434</v>
      </c>
      <c r="E14" s="59" t="n">
        <f aca="false">IFERROR(INDEX(Correspondance!$D$2:$D$3000,MATCH(A14,Correspondance!$A$2:$A$3000,0)),0)</f>
        <v>11</v>
      </c>
      <c r="F14" s="60" t="n">
        <f aca="false">C14*E14</f>
        <v>1.331</v>
      </c>
      <c r="G14" s="61"/>
      <c r="I14" s="63"/>
    </row>
    <row r="15" customFormat="false" ht="15.75" hidden="false" customHeight="false" outlineLevel="0" collapsed="false">
      <c r="A15" s="57" t="s">
        <v>1084</v>
      </c>
      <c r="B15" s="57" t="n">
        <v>0.032</v>
      </c>
      <c r="C15" s="58" t="n">
        <f aca="false">B15/B$22*B$24</f>
        <v>0.0502857142857143</v>
      </c>
      <c r="D15" s="57" t="s">
        <v>434</v>
      </c>
      <c r="E15" s="59" t="n">
        <f aca="false">IFERROR(INDEX(Correspondance!$D$2:$D$3000,MATCH(A15,Correspondance!$A$2:$A$3000,0)),0)</f>
        <v>2.2</v>
      </c>
      <c r="F15" s="60" t="n">
        <f aca="false">C15*E15</f>
        <v>0.110628571428571</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150.889357142857</v>
      </c>
      <c r="G19" s="61"/>
      <c r="I19" s="63"/>
    </row>
    <row r="20" customFormat="false" ht="18.75" hidden="false" customHeight="true" outlineLevel="0" collapsed="false">
      <c r="A20" s="68" t="s">
        <v>2628</v>
      </c>
      <c r="B20" s="69" t="n">
        <f aca="false">F19/B24</f>
        <v>1.37172142857143</v>
      </c>
      <c r="C20" s="70"/>
      <c r="G20" s="61"/>
      <c r="I20" s="63"/>
    </row>
    <row r="21" customFormat="false" ht="15.75" hidden="false" customHeight="false" outlineLevel="0" collapsed="false">
      <c r="A21" s="71" t="s">
        <v>2629</v>
      </c>
      <c r="B21" s="71" t="n">
        <f aca="false">SUM(B3:B18)</f>
        <v>8.4</v>
      </c>
      <c r="C21" s="66"/>
      <c r="G21" s="61"/>
      <c r="I21" s="63"/>
    </row>
    <row r="22" customFormat="false" ht="15.75" hidden="false" customHeight="false" outlineLevel="0" collapsed="false">
      <c r="A22" s="0" t="s">
        <v>2630</v>
      </c>
      <c r="B22" s="72" t="n">
        <f aca="false">B21/B23</f>
        <v>70</v>
      </c>
      <c r="C22" s="66"/>
      <c r="G22" s="61"/>
      <c r="I22" s="63"/>
    </row>
    <row r="23" customFormat="false" ht="15.75" hidden="false" customHeight="false" outlineLevel="0" collapsed="false">
      <c r="A23" s="0" t="s">
        <v>2631</v>
      </c>
      <c r="B23" s="0" t="n">
        <v>0.12</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162</v>
      </c>
      <c r="B1" s="50"/>
      <c r="C1" s="50"/>
      <c r="D1" s="50"/>
      <c r="E1" s="51" t="s">
        <v>2619</v>
      </c>
      <c r="F1" s="51"/>
      <c r="G1" s="52" t="s">
        <v>2826</v>
      </c>
    </row>
    <row r="2" customFormat="false" ht="24.75" hidden="false" customHeight="true" outlineLevel="0" collapsed="false">
      <c r="A2" s="50"/>
      <c r="B2" s="50"/>
      <c r="C2" s="50"/>
      <c r="D2" s="50"/>
      <c r="E2" s="53" t="s">
        <v>2824</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1886</v>
      </c>
      <c r="B4" s="57" t="n">
        <v>6.66</v>
      </c>
      <c r="C4" s="58" t="n">
        <f aca="false">B4/B$22*B$24</f>
        <v>10.4689190568541</v>
      </c>
      <c r="D4" s="57" t="s">
        <v>434</v>
      </c>
      <c r="E4" s="59" t="n">
        <f aca="false">IFERROR(INDEX(Correspondance!$D$2:$D$3000,MATCH(A4,Correspondance!$A$2:$A$3000,0)),0)</f>
        <v>14.5</v>
      </c>
      <c r="F4" s="60" t="n">
        <f aca="false">C4*E4</f>
        <v>151.799326324385</v>
      </c>
      <c r="G4" s="61" t="s">
        <v>2827</v>
      </c>
    </row>
    <row r="5" customFormat="false" ht="15.75" hidden="false" customHeight="false" outlineLevel="0" collapsed="false">
      <c r="A5" s="57" t="s">
        <v>1919</v>
      </c>
      <c r="B5" s="57" t="n">
        <v>0.067</v>
      </c>
      <c r="C5" s="58" t="n">
        <f aca="false">B5/B$22*B$24</f>
        <v>0.10531795447586</v>
      </c>
      <c r="D5" s="57" t="s">
        <v>434</v>
      </c>
      <c r="E5" s="59" t="n">
        <f aca="false">IFERROR(INDEX(Correspondance!$D$2:$D$3000,MATCH(A5,Correspondance!$A$2:$A$3000,0)),0)</f>
        <v>2</v>
      </c>
      <c r="F5" s="60" t="n">
        <f aca="false">C5*E5</f>
        <v>0.21063590895172</v>
      </c>
      <c r="G5" s="61"/>
      <c r="I5" s="62"/>
    </row>
    <row r="6" customFormat="false" ht="15.75" hidden="false" customHeight="false" outlineLevel="0" collapsed="false">
      <c r="A6" s="57" t="s">
        <v>1796</v>
      </c>
      <c r="B6" s="57" t="n">
        <v>0.007</v>
      </c>
      <c r="C6" s="58" t="n">
        <f aca="false">B6/B$22*B$24</f>
        <v>0.0110033683780749</v>
      </c>
      <c r="D6" s="57" t="s">
        <v>434</v>
      </c>
      <c r="E6" s="59" t="n">
        <f aca="false">IFERROR(INDEX(Correspondance!$D$2:$D$3000,MATCH(A6,Correspondance!$A$2:$A$3000,0)),0)</f>
        <v>18</v>
      </c>
      <c r="F6" s="60" t="n">
        <f aca="false">C6*E6</f>
        <v>0.198060630805349</v>
      </c>
      <c r="G6" s="61"/>
      <c r="I6" s="63"/>
    </row>
    <row r="7" customFormat="false" ht="15.75" hidden="false" customHeight="false" outlineLevel="0" collapsed="false">
      <c r="A7" s="57" t="s">
        <v>1675</v>
      </c>
      <c r="B7" s="57" t="n">
        <v>0.133</v>
      </c>
      <c r="C7" s="58" t="n">
        <f aca="false">B7/B$22*B$24</f>
        <v>0.209063999183424</v>
      </c>
      <c r="D7" s="57" t="s">
        <v>682</v>
      </c>
      <c r="E7" s="59" t="n">
        <f aca="false">IFERROR(INDEX(Correspondance!$D$2:$D$3000,MATCH(A7,Correspondance!$A$2:$A$3000,0)),0)</f>
        <v>2.2</v>
      </c>
      <c r="F7" s="60" t="n">
        <f aca="false">C7*E7</f>
        <v>0.459940798203532</v>
      </c>
      <c r="G7" s="61"/>
      <c r="I7" s="63"/>
    </row>
    <row r="8" customFormat="false" ht="15.75" hidden="false" customHeight="false" outlineLevel="0" collapsed="false">
      <c r="A8" s="57" t="s">
        <v>1945</v>
      </c>
      <c r="B8" s="57"/>
      <c r="C8" s="58" t="n">
        <f aca="false">B8/B$22*B$24</f>
        <v>0</v>
      </c>
      <c r="D8" s="57" t="s">
        <v>434</v>
      </c>
      <c r="E8" s="59" t="n">
        <f aca="false">IFERROR(INDEX(Correspondance!$D$2:$D$3000,MATCH(A8,Correspondance!$A$2:$A$3000,0)),0)</f>
        <v>16</v>
      </c>
      <c r="F8" s="60" t="n">
        <f aca="false">C8*E8</f>
        <v>0</v>
      </c>
      <c r="G8" s="61"/>
      <c r="I8" s="63"/>
    </row>
    <row r="9" customFormat="false" ht="15.75" hidden="false" customHeight="false" outlineLevel="0" collapsed="false">
      <c r="A9" s="57" t="s">
        <v>1710</v>
      </c>
      <c r="B9" s="57" t="n">
        <v>0.799</v>
      </c>
      <c r="C9" s="58" t="n">
        <f aca="false">B9/B$22*B$24</f>
        <v>1.25595590486884</v>
      </c>
      <c r="D9" s="57" t="s">
        <v>434</v>
      </c>
      <c r="E9" s="59" t="n">
        <f aca="false">IFERROR(INDEX(Correspondance!$D$2:$D$3000,MATCH(A9,Correspondance!$A$2:$A$3000,0)),0)</f>
        <v>4.5</v>
      </c>
      <c r="F9" s="60" t="n">
        <f aca="false">C9*E9</f>
        <v>5.65180157190977</v>
      </c>
      <c r="G9" s="61"/>
      <c r="I9" s="63"/>
    </row>
    <row r="10" customFormat="false" ht="15.75" hidden="false" customHeight="false" outlineLevel="0" collapsed="false">
      <c r="A10" s="57" t="s">
        <v>1725</v>
      </c>
      <c r="B10" s="57" t="n">
        <v>0.133</v>
      </c>
      <c r="C10" s="58" t="n">
        <f aca="false">B10/B$22*B$24</f>
        <v>0.209063999183424</v>
      </c>
      <c r="D10" s="57" t="s">
        <v>434</v>
      </c>
      <c r="E10" s="59" t="n">
        <f aca="false">IFERROR(INDEX(Correspondance!$D$2:$D$3000,MATCH(A10,Correspondance!$A$2:$A$3000,0)),0)</f>
        <v>9</v>
      </c>
      <c r="F10" s="60" t="n">
        <f aca="false">C10*E10</f>
        <v>1.88157599265081</v>
      </c>
      <c r="G10" s="61"/>
      <c r="I10" s="63"/>
    </row>
    <row r="11" customFormat="false" ht="15.75" hidden="false" customHeight="false" outlineLevel="0" collapsed="false">
      <c r="A11" s="57" t="s">
        <v>1567</v>
      </c>
      <c r="B11" s="57" t="n">
        <v>0.533</v>
      </c>
      <c r="C11" s="58" t="n">
        <f aca="false">B11/B$22*B$24</f>
        <v>0.837827906501991</v>
      </c>
      <c r="D11" s="57" t="s">
        <v>434</v>
      </c>
      <c r="E11" s="59" t="n">
        <f aca="false">IFERROR(INDEX(Correspondance!$D$2:$D$3000,MATCH(A11,Correspondance!$A$2:$A$3000,0)),0)</f>
        <v>6.5</v>
      </c>
      <c r="F11" s="60" t="n">
        <f aca="false">C11*E11</f>
        <v>5.44588139226294</v>
      </c>
      <c r="G11" s="61"/>
      <c r="I11" s="63"/>
    </row>
    <row r="12" customFormat="false" ht="18.75" hidden="false" customHeight="true" outlineLevel="0" collapsed="false">
      <c r="A12" s="57" t="s">
        <v>1956</v>
      </c>
      <c r="B12" s="64" t="n">
        <v>0.666</v>
      </c>
      <c r="C12" s="58" t="n">
        <f aca="false">B12/B$22*B$24</f>
        <v>1.04689190568541</v>
      </c>
      <c r="D12" s="57" t="s">
        <v>434</v>
      </c>
      <c r="E12" s="59" t="n">
        <f aca="false">IFERROR(INDEX(Correspondance!$D$2:$D$3000,MATCH(A12,Correspondance!$A$2:$A$3000,0)),0)</f>
        <v>2.4</v>
      </c>
      <c r="F12" s="60" t="n">
        <f aca="false">C12*E12</f>
        <v>2.51254057364499</v>
      </c>
      <c r="G12" s="61"/>
      <c r="I12" s="63"/>
    </row>
    <row r="13" customFormat="false" ht="18.75" hidden="false" customHeight="true" outlineLevel="0" collapsed="false">
      <c r="A13" s="57" t="s">
        <v>1898</v>
      </c>
      <c r="B13" s="64" t="n">
        <v>0.666</v>
      </c>
      <c r="C13" s="58" t="n">
        <f aca="false">B13/B$22*B$24</f>
        <v>1.04689190568541</v>
      </c>
      <c r="D13" s="57" t="s">
        <v>434</v>
      </c>
      <c r="E13" s="59" t="n">
        <f aca="false">IFERROR(INDEX(Correspondance!$D$2:$D$3000,MATCH(A13,Correspondance!$A$2:$A$3000,0)),0)</f>
        <v>5.5</v>
      </c>
      <c r="F13" s="60" t="n">
        <f aca="false">C13*E13</f>
        <v>5.75790548126978</v>
      </c>
      <c r="G13" s="61"/>
      <c r="I13" s="63"/>
    </row>
    <row r="14" customFormat="false" ht="15.75" hidden="false" customHeight="false" outlineLevel="0" collapsed="false">
      <c r="A14" s="57" t="s">
        <v>1984</v>
      </c>
      <c r="B14" s="57" t="n">
        <v>0.133</v>
      </c>
      <c r="C14" s="58" t="n">
        <f aca="false">B14/B$22*B$24</f>
        <v>0.209063999183424</v>
      </c>
      <c r="D14" s="57" t="s">
        <v>682</v>
      </c>
      <c r="E14" s="59" t="n">
        <f aca="false">IFERROR(INDEX(Correspondance!$D$2:$D$3000,MATCH(A14,Correspondance!$A$2:$A$3000,0)),0)</f>
        <v>3</v>
      </c>
      <c r="F14" s="60" t="n">
        <f aca="false">C14*E14</f>
        <v>0.62719199755027</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174.544860671634</v>
      </c>
      <c r="G19" s="61"/>
      <c r="I19" s="63"/>
    </row>
    <row r="20" customFormat="false" ht="18.75" hidden="false" customHeight="true" outlineLevel="0" collapsed="false">
      <c r="A20" s="68" t="s">
        <v>2628</v>
      </c>
      <c r="B20" s="69" t="n">
        <f aca="false">F19/B24</f>
        <v>1.58677146065122</v>
      </c>
      <c r="C20" s="70"/>
      <c r="G20" s="61"/>
      <c r="I20" s="63"/>
    </row>
    <row r="21" customFormat="false" ht="15.75" hidden="false" customHeight="false" outlineLevel="0" collapsed="false">
      <c r="A21" s="71" t="s">
        <v>2629</v>
      </c>
      <c r="B21" s="71" t="n">
        <f aca="false">SUM(B3:B18)</f>
        <v>9.797</v>
      </c>
      <c r="C21" s="66"/>
      <c r="G21" s="61"/>
      <c r="I21" s="63"/>
    </row>
    <row r="22" customFormat="false" ht="15.75" hidden="false" customHeight="false" outlineLevel="0" collapsed="false">
      <c r="A22" s="0" t="s">
        <v>2630</v>
      </c>
      <c r="B22" s="72" t="n">
        <f aca="false">B21/B23</f>
        <v>69.9785714285714</v>
      </c>
      <c r="C22" s="66"/>
      <c r="G22" s="61"/>
      <c r="I22" s="63"/>
    </row>
    <row r="23" customFormat="false" ht="15.75" hidden="false" customHeight="false" outlineLevel="0" collapsed="false">
      <c r="A23" s="0" t="s">
        <v>2631</v>
      </c>
      <c r="B23" s="0" t="n">
        <v>0.14</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7.33"/>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2828</v>
      </c>
      <c r="B1" s="50"/>
      <c r="C1" s="50"/>
      <c r="D1" s="50"/>
      <c r="E1" s="51" t="s">
        <v>2619</v>
      </c>
      <c r="F1" s="51"/>
      <c r="G1" s="75" t="s">
        <v>2829</v>
      </c>
    </row>
    <row r="2" customFormat="false" ht="24.75" hidden="false" customHeight="true" outlineLevel="0" collapsed="false">
      <c r="A2" s="50"/>
      <c r="B2" s="50"/>
      <c r="C2" s="50"/>
      <c r="D2" s="50"/>
      <c r="E2" s="53" t="s">
        <v>2830</v>
      </c>
      <c r="F2" s="53"/>
      <c r="G2" s="75"/>
    </row>
    <row r="3" customFormat="false" ht="51.75" hidden="false" customHeight="true" outlineLevel="0" collapsed="false">
      <c r="A3" s="54" t="s">
        <v>2588</v>
      </c>
      <c r="B3" s="55" t="s">
        <v>2622</v>
      </c>
      <c r="C3" s="55" t="s">
        <v>2623</v>
      </c>
      <c r="D3" s="56" t="s">
        <v>2624</v>
      </c>
      <c r="E3" s="56" t="s">
        <v>2625</v>
      </c>
      <c r="F3" s="56" t="s">
        <v>2626</v>
      </c>
      <c r="G3" s="75"/>
    </row>
    <row r="4" customFormat="false" ht="19.5" hidden="false" customHeight="true" outlineLevel="0" collapsed="false">
      <c r="A4" s="57" t="s">
        <v>1915</v>
      </c>
      <c r="B4" s="64" t="n">
        <v>12</v>
      </c>
      <c r="C4" s="58" t="n">
        <f aca="false">B4/B$23*B$25</f>
        <v>18.8571428571429</v>
      </c>
      <c r="D4" s="57" t="s">
        <v>434</v>
      </c>
      <c r="E4" s="59" t="n">
        <f aca="false">IFERROR(INDEX(Correspondance!$D$2:$D$3000,MATCH(A4,Correspondance!$A$2:$A$3000,0)),0)</f>
        <v>14</v>
      </c>
      <c r="F4" s="77" t="n">
        <f aca="false">C4*E4</f>
        <v>264</v>
      </c>
      <c r="G4" s="78" t="s">
        <v>2831</v>
      </c>
    </row>
    <row r="5" customFormat="false" ht="18.75" hidden="false" customHeight="true" outlineLevel="0" collapsed="false">
      <c r="A5" s="57" t="s">
        <v>1512</v>
      </c>
      <c r="B5" s="64" t="n">
        <v>1.2</v>
      </c>
      <c r="C5" s="58" t="n">
        <f aca="false">B5/B$23*B$25</f>
        <v>1.88571428571429</v>
      </c>
      <c r="D5" s="57" t="s">
        <v>682</v>
      </c>
      <c r="E5" s="59" t="n">
        <f aca="false">IFERROR(INDEX(Correspondance!$D$2:$D$3000,MATCH(A5,Correspondance!$A$2:$A$3000,0)),0)</f>
        <v>4</v>
      </c>
      <c r="F5" s="77" t="n">
        <f aca="false">C5*E5</f>
        <v>7.54285714285714</v>
      </c>
      <c r="G5" s="78"/>
      <c r="I5" s="62"/>
    </row>
    <row r="6" customFormat="false" ht="18.75" hidden="false" customHeight="true" outlineLevel="0" collapsed="false">
      <c r="A6" s="57" t="s">
        <v>1473</v>
      </c>
      <c r="B6" s="64" t="n">
        <v>0.012</v>
      </c>
      <c r="C6" s="58" t="n">
        <f aca="false">B6/B$23*B$25</f>
        <v>0.0188571428571429</v>
      </c>
      <c r="D6" s="57" t="s">
        <v>434</v>
      </c>
      <c r="E6" s="59" t="n">
        <f aca="false">IFERROR(INDEX(Correspondance!$D$2:$D$3000,MATCH(A6,Correspondance!$A$2:$A$3000,0)),0)</f>
        <v>6</v>
      </c>
      <c r="F6" s="77" t="n">
        <f aca="false">C6*E6</f>
        <v>0.113142857142857</v>
      </c>
      <c r="G6" s="78"/>
      <c r="I6" s="63"/>
    </row>
    <row r="7" customFormat="false" ht="18.75" hidden="false" customHeight="true" outlineLevel="0" collapsed="false">
      <c r="A7" s="57" t="s">
        <v>1675</v>
      </c>
      <c r="B7" s="64" t="n">
        <v>0.36</v>
      </c>
      <c r="C7" s="58" t="n">
        <f aca="false">B7/B$23*B$25</f>
        <v>0.565714285714286</v>
      </c>
      <c r="D7" s="57" t="s">
        <v>434</v>
      </c>
      <c r="E7" s="59" t="n">
        <f aca="false">IFERROR(INDEX(Correspondance!$D$2:$D$3000,MATCH(A7,Correspondance!$A$2:$A$3000,0)),0)</f>
        <v>2.2</v>
      </c>
      <c r="F7" s="77" t="n">
        <f aca="false">C7*E7</f>
        <v>1.24457142857143</v>
      </c>
      <c r="G7" s="78"/>
      <c r="I7" s="63"/>
    </row>
    <row r="8" customFormat="false" ht="18.75" hidden="false" customHeight="true" outlineLevel="0" collapsed="false">
      <c r="A8" s="57" t="s">
        <v>1197</v>
      </c>
      <c r="B8" s="64" t="n">
        <v>0.6</v>
      </c>
      <c r="C8" s="58" t="n">
        <f aca="false">B8/B$23*B$25</f>
        <v>0.942857142857143</v>
      </c>
      <c r="D8" s="57" t="s">
        <v>682</v>
      </c>
      <c r="E8" s="59" t="n">
        <f aca="false">IFERROR(INDEX(Correspondance!$D$2:$D$3000,MATCH(A8,Correspondance!$A$2:$A$3000,0)),0)</f>
        <v>2.6</v>
      </c>
      <c r="F8" s="77" t="n">
        <f aca="false">C8*E8</f>
        <v>2.45142857142857</v>
      </c>
      <c r="G8" s="78"/>
      <c r="I8" s="63"/>
    </row>
    <row r="9" customFormat="false" ht="18.75" hidden="false" customHeight="true" outlineLevel="0" collapsed="false">
      <c r="A9" s="57" t="s">
        <v>1974</v>
      </c>
      <c r="B9" s="64" t="n">
        <v>1.8</v>
      </c>
      <c r="C9" s="58" t="n">
        <f aca="false">B9/B$23*B$25</f>
        <v>2.82857142857143</v>
      </c>
      <c r="D9" s="57" t="s">
        <v>434</v>
      </c>
      <c r="E9" s="59" t="n">
        <f aca="false">IFERROR(INDEX(Correspondance!$D$2:$D$3000,MATCH(A9,Correspondance!$A$2:$A$3000,0)),0)</f>
        <v>2</v>
      </c>
      <c r="F9" s="77" t="n">
        <f aca="false">C9*E9</f>
        <v>5.65714285714286</v>
      </c>
      <c r="G9" s="78"/>
      <c r="I9" s="63"/>
    </row>
    <row r="10" customFormat="false" ht="18.75" hidden="false" customHeight="true" outlineLevel="0" collapsed="false">
      <c r="A10" s="57" t="s">
        <v>1556</v>
      </c>
      <c r="B10" s="64" t="n">
        <v>0.06</v>
      </c>
      <c r="C10" s="58" t="n">
        <f aca="false">B10/B$23*B$25</f>
        <v>0.0942857142857143</v>
      </c>
      <c r="D10" s="57" t="s">
        <v>434</v>
      </c>
      <c r="E10" s="59" t="n">
        <f aca="false">IFERROR(INDEX(Correspondance!$D$2:$D$3000,MATCH(A10,Correspondance!$A$2:$A$3000,0)),0)</f>
        <v>14</v>
      </c>
      <c r="F10" s="77" t="n">
        <f aca="false">C10*E10</f>
        <v>1.32</v>
      </c>
      <c r="G10" s="78"/>
      <c r="I10" s="63"/>
    </row>
    <row r="11" customFormat="false" ht="18.75" hidden="false" customHeight="true" outlineLevel="0" collapsed="false">
      <c r="A11" s="57" t="s">
        <v>1785</v>
      </c>
      <c r="B11" s="64" t="n">
        <v>0.006</v>
      </c>
      <c r="C11" s="58" t="n">
        <f aca="false">B11/B$23*B$25</f>
        <v>0.00942857142857143</v>
      </c>
      <c r="D11" s="57" t="s">
        <v>434</v>
      </c>
      <c r="E11" s="59" t="n">
        <f aca="false">IFERROR(INDEX(Correspondance!$D$2:$D$3000,MATCH(A11,Correspondance!$A$2:$A$3000,0)),0)</f>
        <v>60</v>
      </c>
      <c r="F11" s="77" t="n">
        <f aca="false">C11*E11</f>
        <v>0.565714285714286</v>
      </c>
      <c r="G11" s="78"/>
      <c r="I11" s="63"/>
    </row>
    <row r="12" customFormat="false" ht="18.75" hidden="false" customHeight="true" outlineLevel="0" collapsed="false">
      <c r="A12" s="57" t="s">
        <v>1645</v>
      </c>
      <c r="B12" s="64" t="n">
        <v>0.24</v>
      </c>
      <c r="C12" s="58" t="n">
        <f aca="false">B12/B$23*B$25</f>
        <v>0.377142857142857</v>
      </c>
      <c r="D12" s="57" t="s">
        <v>434</v>
      </c>
      <c r="E12" s="59" t="n">
        <f aca="false">IFERROR(INDEX(Correspondance!$D$2:$D$3000,MATCH(A12,Correspondance!$A$2:$A$3000,0)),0)</f>
        <v>2.2</v>
      </c>
      <c r="F12" s="77" t="n">
        <f aca="false">C12*E12</f>
        <v>0.829714285714286</v>
      </c>
      <c r="G12" s="78"/>
      <c r="I12" s="63"/>
    </row>
    <row r="13" customFormat="false" ht="18.75" hidden="false" customHeight="true" outlineLevel="0" collapsed="false">
      <c r="A13" s="57"/>
      <c r="B13" s="64"/>
      <c r="C13" s="58" t="n">
        <f aca="false">B13/B$23*B$25</f>
        <v>0</v>
      </c>
      <c r="D13" s="57" t="s">
        <v>434</v>
      </c>
      <c r="E13" s="65"/>
      <c r="F13" s="77" t="n">
        <f aca="false">C13*E13</f>
        <v>0</v>
      </c>
      <c r="G13" s="78"/>
      <c r="I13" s="63"/>
    </row>
    <row r="14" customFormat="false" ht="18.75" hidden="false" customHeight="true" outlineLevel="0" collapsed="false">
      <c r="A14" s="57"/>
      <c r="B14" s="64"/>
      <c r="C14" s="58" t="n">
        <f aca="false">B14/B$23*B$25</f>
        <v>0</v>
      </c>
      <c r="D14" s="57" t="s">
        <v>682</v>
      </c>
      <c r="E14" s="65"/>
      <c r="F14" s="77" t="n">
        <f aca="false">C14*E14</f>
        <v>0</v>
      </c>
      <c r="G14" s="78"/>
      <c r="I14" s="63"/>
    </row>
    <row r="15" customFormat="false" ht="15.75" hidden="false" customHeight="false" outlineLevel="0" collapsed="false">
      <c r="A15" s="57"/>
      <c r="B15" s="57"/>
      <c r="C15" s="58" t="n">
        <f aca="false">B15/B$23*B$25</f>
        <v>0</v>
      </c>
      <c r="D15" s="57" t="s">
        <v>682</v>
      </c>
      <c r="E15" s="65"/>
      <c r="F15" s="77" t="n">
        <f aca="false">C15*E15</f>
        <v>0</v>
      </c>
      <c r="G15" s="78"/>
      <c r="I15" s="63"/>
    </row>
    <row r="16" customFormat="false" ht="15.75" hidden="false" customHeight="false" outlineLevel="0" collapsed="false">
      <c r="A16" s="57"/>
      <c r="B16" s="57"/>
      <c r="C16" s="58" t="n">
        <f aca="false">B16/B$23*B$25</f>
        <v>0</v>
      </c>
      <c r="D16" s="57" t="s">
        <v>434</v>
      </c>
      <c r="E16" s="65"/>
      <c r="F16" s="77" t="n">
        <f aca="false">C16*E16</f>
        <v>0</v>
      </c>
      <c r="G16" s="78"/>
      <c r="I16" s="63"/>
    </row>
    <row r="17" customFormat="false" ht="15.75" hidden="false" customHeight="false" outlineLevel="0" collapsed="false">
      <c r="A17" s="57"/>
      <c r="B17" s="57"/>
      <c r="C17" s="58" t="n">
        <f aca="false">B17/B$23*B$25</f>
        <v>0</v>
      </c>
      <c r="D17" s="57" t="s">
        <v>434</v>
      </c>
      <c r="E17" s="65"/>
      <c r="F17" s="77" t="n">
        <f aca="false">C17*E17</f>
        <v>0</v>
      </c>
      <c r="G17" s="78"/>
      <c r="I17" s="63"/>
    </row>
    <row r="18" customFormat="false" ht="15.75" hidden="false" customHeight="false" outlineLevel="0" collapsed="false">
      <c r="A18" s="57"/>
      <c r="B18" s="57"/>
      <c r="C18" s="58" t="n">
        <f aca="false">B18/B$23*B$25</f>
        <v>0</v>
      </c>
      <c r="D18" s="57"/>
      <c r="E18" s="65"/>
      <c r="F18" s="77" t="n">
        <f aca="false">C18*E18</f>
        <v>0</v>
      </c>
      <c r="G18" s="78"/>
      <c r="I18" s="63"/>
    </row>
    <row r="19" customFormat="false" ht="15.75" hidden="false" customHeight="false" outlineLevel="0" collapsed="false">
      <c r="A19" s="57"/>
      <c r="B19" s="57"/>
      <c r="C19" s="58" t="n">
        <f aca="false">B19/B$23*B$25</f>
        <v>0</v>
      </c>
      <c r="D19" s="57"/>
      <c r="E19" s="65"/>
      <c r="F19" s="77" t="n">
        <f aca="false">C19*E19</f>
        <v>0</v>
      </c>
      <c r="G19" s="78"/>
      <c r="I19" s="63"/>
    </row>
    <row r="20" customFormat="false" ht="15.75" hidden="false" customHeight="false" outlineLevel="0" collapsed="false">
      <c r="C20" s="66"/>
      <c r="F20" s="67" t="n">
        <f aca="false">SUM(F4:F19)</f>
        <v>283.724571428571</v>
      </c>
      <c r="G20" s="78"/>
      <c r="I20" s="63"/>
    </row>
    <row r="21" customFormat="false" ht="18.75" hidden="false" customHeight="true" outlineLevel="0" collapsed="false">
      <c r="A21" s="68" t="s">
        <v>2628</v>
      </c>
      <c r="B21" s="69" t="n">
        <f aca="false">F20/B25</f>
        <v>2.57931428571429</v>
      </c>
      <c r="C21" s="70"/>
      <c r="G21" s="78"/>
      <c r="I21" s="63"/>
    </row>
    <row r="22" customFormat="false" ht="15.75" hidden="false" customHeight="false" outlineLevel="0" collapsed="false">
      <c r="A22" s="71" t="s">
        <v>2629</v>
      </c>
      <c r="B22" s="71" t="n">
        <v>8.4</v>
      </c>
      <c r="C22" s="66"/>
      <c r="G22" s="78"/>
      <c r="I22" s="63"/>
    </row>
    <row r="23" customFormat="false" ht="15.75" hidden="false" customHeight="false" outlineLevel="0" collapsed="false">
      <c r="A23" s="0" t="s">
        <v>2630</v>
      </c>
      <c r="B23" s="72" t="n">
        <f aca="false">B22/B24</f>
        <v>70</v>
      </c>
      <c r="C23" s="66"/>
      <c r="G23" s="78"/>
      <c r="I23" s="63"/>
    </row>
    <row r="24" customFormat="false" ht="15.75" hidden="false" customHeight="false" outlineLevel="0" collapsed="false">
      <c r="A24" s="0" t="s">
        <v>2631</v>
      </c>
      <c r="B24" s="0" t="n">
        <v>0.12</v>
      </c>
      <c r="C24" s="79" t="s">
        <v>2632</v>
      </c>
      <c r="G24" s="78"/>
      <c r="I24" s="63"/>
    </row>
    <row r="25" customFormat="false" ht="18.75" hidden="false" customHeight="true" outlineLevel="0" collapsed="false">
      <c r="A25" s="74" t="s">
        <v>2633</v>
      </c>
      <c r="B25" s="74" t="n">
        <f aca="false">Paramètres!$B$5</f>
        <v>110</v>
      </c>
      <c r="C25" s="79" t="s">
        <v>2634</v>
      </c>
      <c r="G25" s="78"/>
      <c r="I25" s="63"/>
    </row>
    <row r="26" customFormat="false" ht="15.75" hidden="false" customHeight="false" outlineLevel="0" collapsed="false">
      <c r="I26" s="63"/>
    </row>
  </sheetData>
  <mergeCells count="5">
    <mergeCell ref="A1:D2"/>
    <mergeCell ref="E1:F1"/>
    <mergeCell ref="G1:G3"/>
    <mergeCell ref="E2:F2"/>
    <mergeCell ref="G4:G2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166</v>
      </c>
      <c r="B1" s="50"/>
      <c r="C1" s="50"/>
      <c r="D1" s="50"/>
      <c r="E1" s="51" t="s">
        <v>2619</v>
      </c>
      <c r="F1" s="51"/>
      <c r="G1" s="52" t="s">
        <v>2832</v>
      </c>
    </row>
    <row r="2" customFormat="false" ht="24.75" hidden="false" customHeight="true" outlineLevel="0" collapsed="false">
      <c r="A2" s="50"/>
      <c r="B2" s="50"/>
      <c r="C2" s="50"/>
      <c r="D2" s="50"/>
      <c r="E2" s="53" t="s">
        <v>2717</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1912</v>
      </c>
      <c r="B4" s="57" t="n">
        <v>6.12</v>
      </c>
      <c r="C4" s="58" t="n">
        <f aca="false">B4/B$22*B$24</f>
        <v>9.62143814202769</v>
      </c>
      <c r="D4" s="57" t="s">
        <v>434</v>
      </c>
      <c r="E4" s="59" t="n">
        <f aca="false">IFERROR(INDEX(Correspondance!$D$2:$D$3000,MATCH(A4,Correspondance!$A$2:$A$3000,0)),0)</f>
        <v>10</v>
      </c>
      <c r="F4" s="60" t="n">
        <f aca="false">C4*E4</f>
        <v>96.2143814202769</v>
      </c>
      <c r="G4" s="61" t="s">
        <v>2833</v>
      </c>
    </row>
    <row r="5" customFormat="false" ht="15.75" hidden="false" customHeight="false" outlineLevel="0" collapsed="false">
      <c r="A5" s="57" t="s">
        <v>1675</v>
      </c>
      <c r="B5" s="57" t="n">
        <v>0.122</v>
      </c>
      <c r="C5" s="58" t="n">
        <f aca="false">B5/B$22*B$24</f>
        <v>0.191799910674408</v>
      </c>
      <c r="D5" s="57" t="s">
        <v>682</v>
      </c>
      <c r="E5" s="59" t="n">
        <f aca="false">IFERROR(INDEX(Correspondance!$D$2:$D$3000,MATCH(A5,Correspondance!$A$2:$A$3000,0)),0)</f>
        <v>2.2</v>
      </c>
      <c r="F5" s="60" t="n">
        <f aca="false">C5*E5</f>
        <v>0.421959803483698</v>
      </c>
      <c r="G5" s="61"/>
      <c r="I5" s="62"/>
    </row>
    <row r="6" customFormat="false" ht="15.75" hidden="false" customHeight="false" outlineLevel="0" collapsed="false">
      <c r="A6" s="57" t="s">
        <v>587</v>
      </c>
      <c r="B6" s="57" t="n">
        <v>0.49</v>
      </c>
      <c r="C6" s="58" t="n">
        <f aca="false">B6/B$22*B$24</f>
        <v>0.770343903528361</v>
      </c>
      <c r="D6" s="57" t="s">
        <v>434</v>
      </c>
      <c r="E6" s="59" t="n">
        <f aca="false">IFERROR(INDEX(Correspondance!$D$2:$D$3000,MATCH(A6,Correspondance!$A$2:$A$3000,0)),0)</f>
        <v>8</v>
      </c>
      <c r="F6" s="60" t="n">
        <f aca="false">C6*E6</f>
        <v>6.16275122822689</v>
      </c>
      <c r="G6" s="61"/>
      <c r="I6" s="63"/>
    </row>
    <row r="7" customFormat="false" ht="15.75" hidden="false" customHeight="false" outlineLevel="0" collapsed="false">
      <c r="A7" s="57" t="s">
        <v>1001</v>
      </c>
      <c r="B7" s="57" t="n">
        <v>0.612</v>
      </c>
      <c r="C7" s="58" t="n">
        <f aca="false">B7/B$22*B$24</f>
        <v>0.962143814202769</v>
      </c>
      <c r="D7" s="57" t="s">
        <v>434</v>
      </c>
      <c r="E7" s="59" t="n">
        <f aca="false">IFERROR(INDEX(Correspondance!$D$2:$D$3000,MATCH(A7,Correspondance!$A$2:$A$3000,0)),0)</f>
        <v>1.8</v>
      </c>
      <c r="F7" s="60" t="n">
        <f aca="false">C7*E7</f>
        <v>1.73185886556498</v>
      </c>
      <c r="G7" s="61"/>
      <c r="I7" s="63"/>
    </row>
    <row r="8" customFormat="false" ht="15.75" hidden="false" customHeight="false" outlineLevel="0" collapsed="false">
      <c r="A8" s="57" t="s">
        <v>1530</v>
      </c>
      <c r="B8" s="57" t="n">
        <v>0.918</v>
      </c>
      <c r="C8" s="58" t="n">
        <f aca="false">B8/B$22*B$24</f>
        <v>1.44321572130415</v>
      </c>
      <c r="D8" s="57" t="s">
        <v>434</v>
      </c>
      <c r="E8" s="59" t="n">
        <f aca="false">IFERROR(INDEX(Correspondance!$D$2:$D$3000,MATCH(A8,Correspondance!$A$2:$A$3000,0)),0)</f>
        <v>3.8</v>
      </c>
      <c r="F8" s="60" t="n">
        <f aca="false">C8*E8</f>
        <v>5.48421974095578</v>
      </c>
      <c r="G8" s="61"/>
      <c r="I8" s="63"/>
    </row>
    <row r="9" customFormat="false" ht="15.75" hidden="false" customHeight="false" outlineLevel="0" collapsed="false">
      <c r="A9" s="57" t="s">
        <v>1973</v>
      </c>
      <c r="B9" s="57" t="n">
        <v>0.612</v>
      </c>
      <c r="C9" s="58" t="n">
        <f aca="false">B9/B$22*B$24</f>
        <v>0.962143814202769</v>
      </c>
      <c r="D9" s="57" t="s">
        <v>682</v>
      </c>
      <c r="E9" s="59" t="n">
        <f aca="false">IFERROR(INDEX(Correspondance!$D$2:$D$3000,MATCH(A9,Correspondance!$A$2:$A$3000,0)),0)</f>
        <v>2</v>
      </c>
      <c r="F9" s="60" t="n">
        <f aca="false">C9*E9</f>
        <v>1.92428762840554</v>
      </c>
      <c r="G9" s="61"/>
      <c r="I9" s="63"/>
    </row>
    <row r="10" customFormat="false" ht="15.75" hidden="false" customHeight="false" outlineLevel="0" collapsed="false">
      <c r="A10" s="57" t="s">
        <v>1459</v>
      </c>
      <c r="B10" s="57" t="n">
        <v>1.22</v>
      </c>
      <c r="C10" s="58" t="n">
        <f aca="false">B10/B$22*B$24</f>
        <v>1.91799910674408</v>
      </c>
      <c r="D10" s="57" t="s">
        <v>682</v>
      </c>
      <c r="E10" s="59" t="n">
        <f aca="false">IFERROR(INDEX(Correspondance!$D$2:$D$3000,MATCH(A10,Correspondance!$A$2:$A$3000,0)),0)</f>
        <v>0</v>
      </c>
      <c r="F10" s="60" t="n">
        <f aca="false">C10*E10</f>
        <v>0</v>
      </c>
      <c r="G10" s="61"/>
      <c r="I10" s="63"/>
    </row>
    <row r="11" customFormat="false" ht="15.75" hidden="false" customHeight="false" outlineLevel="0" collapsed="false">
      <c r="A11" s="57" t="s">
        <v>1100</v>
      </c>
      <c r="B11" s="57" t="n">
        <v>0.073</v>
      </c>
      <c r="C11" s="58" t="n">
        <f aca="false">B11/B$22*B$24</f>
        <v>0.114765520321572</v>
      </c>
      <c r="D11" s="57" t="s">
        <v>434</v>
      </c>
      <c r="E11" s="59" t="n">
        <f aca="false">IFERROR(INDEX(Correspondance!$D$2:$D$3000,MATCH(A11,Correspondance!$A$2:$A$3000,0)),0)</f>
        <v>10</v>
      </c>
      <c r="F11" s="60" t="n">
        <f aca="false">C11*E11</f>
        <v>1.14765520321572</v>
      </c>
      <c r="G11" s="61"/>
      <c r="I11" s="63"/>
    </row>
    <row r="12" customFormat="false" ht="18.75" hidden="false" customHeight="true" outlineLevel="0" collapsed="false">
      <c r="A12" s="57" t="s">
        <v>1296</v>
      </c>
      <c r="B12" s="64" t="n">
        <v>0.245</v>
      </c>
      <c r="C12" s="58" t="n">
        <f aca="false">B12/B$22*B$24</f>
        <v>0.38517195176418</v>
      </c>
      <c r="D12" s="57" t="s">
        <v>434</v>
      </c>
      <c r="E12" s="59" t="n">
        <f aca="false">IFERROR(INDEX(Correspondance!$D$2:$D$3000,MATCH(A12,Correspondance!$A$2:$A$3000,0)),0)</f>
        <v>9.5</v>
      </c>
      <c r="F12" s="60" t="n">
        <f aca="false">C12*E12</f>
        <v>3.65913354175971</v>
      </c>
      <c r="G12" s="61"/>
      <c r="I12" s="63"/>
    </row>
    <row r="13" customFormat="false" ht="18.75" hidden="false" customHeight="true" outlineLevel="0" collapsed="false">
      <c r="A13" s="57" t="s">
        <v>1576</v>
      </c>
      <c r="B13" s="64" t="n">
        <v>0.612</v>
      </c>
      <c r="C13" s="58" t="n">
        <f aca="false">B13/B$22*B$24</f>
        <v>0.962143814202769</v>
      </c>
      <c r="D13" s="57" t="s">
        <v>434</v>
      </c>
      <c r="E13" s="59" t="n">
        <f aca="false">IFERROR(INDEX(Correspondance!$D$2:$D$3000,MATCH(A13,Correspondance!$A$2:$A$3000,0)),0)</f>
        <v>5.5</v>
      </c>
      <c r="F13" s="60" t="n">
        <f aca="false">C13*E13</f>
        <v>5.29179097811523</v>
      </c>
      <c r="G13" s="61"/>
      <c r="I13" s="63"/>
    </row>
    <row r="14" customFormat="false" ht="15.75" hidden="false" customHeight="false" outlineLevel="0" collapsed="false">
      <c r="A14" s="57" t="s">
        <v>1084</v>
      </c>
      <c r="B14" s="57" t="n">
        <v>0.122</v>
      </c>
      <c r="C14" s="58" t="n">
        <f aca="false">B14/B$22*B$24</f>
        <v>0.191799910674408</v>
      </c>
      <c r="D14" s="57" t="s">
        <v>434</v>
      </c>
      <c r="E14" s="59" t="n">
        <f aca="false">IFERROR(INDEX(Correspondance!$D$2:$D$3000,MATCH(A14,Correspondance!$A$2:$A$3000,0)),0)</f>
        <v>2.2</v>
      </c>
      <c r="F14" s="60" t="n">
        <f aca="false">C14*E14</f>
        <v>0.421959803483698</v>
      </c>
      <c r="G14" s="61"/>
      <c r="I14" s="63"/>
    </row>
    <row r="15" customFormat="false" ht="15.75" hidden="false" customHeight="false" outlineLevel="0" collapsed="false">
      <c r="A15" s="57" t="s">
        <v>1919</v>
      </c>
      <c r="B15" s="57" t="n">
        <v>0.049</v>
      </c>
      <c r="C15" s="58" t="n">
        <f aca="false">B15/B$22*B$24</f>
        <v>0.0770343903528361</v>
      </c>
      <c r="D15" s="57" t="s">
        <v>434</v>
      </c>
      <c r="E15" s="59" t="n">
        <f aca="false">IFERROR(INDEX(Correspondance!$D$2:$D$3000,MATCH(A15,Correspondance!$A$2:$A$3000,0)),0)</f>
        <v>2</v>
      </c>
      <c r="F15" s="60" t="n">
        <f aca="false">C15*E15</f>
        <v>0.154068780705672</v>
      </c>
      <c r="G15" s="61"/>
      <c r="I15" s="63"/>
    </row>
    <row r="16" customFormat="false" ht="15.75" hidden="false" customHeight="false" outlineLevel="0" collapsed="false">
      <c r="A16" s="57" t="s">
        <v>1814</v>
      </c>
      <c r="B16" s="57"/>
      <c r="C16" s="58" t="n">
        <f aca="false">B16/B$22*B$24</f>
        <v>0</v>
      </c>
      <c r="D16" s="57" t="s">
        <v>434</v>
      </c>
      <c r="E16" s="59" t="n">
        <f aca="false">IFERROR(INDEX(Correspondance!$D$2:$D$3000,MATCH(A16,Correspondance!$A$2:$A$3000,0)),0)</f>
        <v>18</v>
      </c>
      <c r="F16" s="60" t="n">
        <f aca="false">C16*E16</f>
        <v>0</v>
      </c>
      <c r="G16" s="61"/>
      <c r="I16" s="63"/>
    </row>
    <row r="17" customFormat="false" ht="15.75" hidden="false" customHeight="false" outlineLevel="0" collapsed="false">
      <c r="A17" s="57" t="s">
        <v>1948</v>
      </c>
      <c r="B17" s="57"/>
      <c r="C17" s="58" t="n">
        <f aca="false">B17/B$22*B$24</f>
        <v>0</v>
      </c>
      <c r="D17" s="57" t="s">
        <v>434</v>
      </c>
      <c r="E17" s="59" t="n">
        <f aca="false">IFERROR(INDEX(Correspondance!$D$2:$D$3000,MATCH(A17,Correspondance!$A$2:$A$3000,0)),0)</f>
        <v>16</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122.614066994194</v>
      </c>
      <c r="G19" s="61"/>
      <c r="I19" s="63"/>
    </row>
    <row r="20" customFormat="false" ht="18.75" hidden="false" customHeight="true" outlineLevel="0" collapsed="false">
      <c r="A20" s="68" t="s">
        <v>2628</v>
      </c>
      <c r="B20" s="69" t="n">
        <f aca="false">F19/B24</f>
        <v>1.11467333631085</v>
      </c>
      <c r="C20" s="70"/>
      <c r="G20" s="61"/>
      <c r="I20" s="63"/>
    </row>
    <row r="21" customFormat="false" ht="15.75" hidden="false" customHeight="false" outlineLevel="0" collapsed="false">
      <c r="A21" s="71" t="s">
        <v>2629</v>
      </c>
      <c r="B21" s="71" t="n">
        <f aca="false">SUM(B3:B18)</f>
        <v>11.195</v>
      </c>
      <c r="C21" s="66"/>
      <c r="G21" s="61"/>
      <c r="I21" s="63"/>
    </row>
    <row r="22" customFormat="false" ht="15.75" hidden="false" customHeight="false" outlineLevel="0" collapsed="false">
      <c r="A22" s="0" t="s">
        <v>2630</v>
      </c>
      <c r="B22" s="72" t="n">
        <f aca="false">B21/B23</f>
        <v>69.96875</v>
      </c>
      <c r="C22" s="66"/>
      <c r="G22" s="61"/>
      <c r="I22" s="63"/>
    </row>
    <row r="23" customFormat="false" ht="15.75" hidden="false" customHeight="false" outlineLevel="0" collapsed="false">
      <c r="A23" s="0" t="s">
        <v>2631</v>
      </c>
      <c r="B23" s="0" t="n">
        <v>0.16</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168</v>
      </c>
      <c r="B1" s="50"/>
      <c r="C1" s="50"/>
      <c r="D1" s="50"/>
      <c r="E1" s="51" t="s">
        <v>2619</v>
      </c>
      <c r="F1" s="51"/>
      <c r="G1" s="52" t="s">
        <v>2834</v>
      </c>
    </row>
    <row r="2" customFormat="false" ht="24.75" hidden="false" customHeight="true" outlineLevel="0" collapsed="false">
      <c r="A2" s="50"/>
      <c r="B2" s="50"/>
      <c r="C2" s="50"/>
      <c r="D2" s="50"/>
      <c r="E2" s="53" t="s">
        <v>2717</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1584</v>
      </c>
      <c r="B4" s="57" t="n">
        <v>8.81</v>
      </c>
      <c r="C4" s="58" t="n">
        <f aca="false">B4/B$22*B$24</f>
        <v>13.8460839070009</v>
      </c>
      <c r="D4" s="57" t="s">
        <v>434</v>
      </c>
      <c r="E4" s="59" t="n">
        <f aca="false">IFERROR(INDEX(Correspondance!$D$2:$D$3000,MATCH(A4,Correspondance!$A$2:$A$3000,0)),0)</f>
        <v>9.5</v>
      </c>
      <c r="F4" s="60" t="n">
        <f aca="false">C4*E4</f>
        <v>131.537797116509</v>
      </c>
      <c r="G4" s="61" t="s">
        <v>2835</v>
      </c>
    </row>
    <row r="5" customFormat="false" ht="15.75" hidden="false" customHeight="false" outlineLevel="0" collapsed="false">
      <c r="A5" s="57" t="s">
        <v>1298</v>
      </c>
      <c r="B5" s="57" t="n">
        <v>0.528</v>
      </c>
      <c r="C5" s="58" t="n">
        <f aca="false">B5/B$22*B$24</f>
        <v>0.829822054812313</v>
      </c>
      <c r="D5" s="57" t="s">
        <v>434</v>
      </c>
      <c r="E5" s="59" t="n">
        <f aca="false">IFERROR(INDEX(Correspondance!$D$2:$D$3000,MATCH(A5,Correspondance!$A$2:$A$3000,0)),0)</f>
        <v>9</v>
      </c>
      <c r="F5" s="60" t="n">
        <f aca="false">C5*E5</f>
        <v>7.46839849331082</v>
      </c>
      <c r="G5" s="61"/>
      <c r="I5" s="62"/>
    </row>
    <row r="6" customFormat="false" ht="15.75" hidden="false" customHeight="false" outlineLevel="0" collapsed="false">
      <c r="A6" s="57" t="s">
        <v>1001</v>
      </c>
      <c r="B6" s="57" t="n">
        <v>0.705</v>
      </c>
      <c r="C6" s="58" t="n">
        <f aca="false">B6/B$22*B$24</f>
        <v>1.10800103909599</v>
      </c>
      <c r="D6" s="57" t="s">
        <v>434</v>
      </c>
      <c r="E6" s="59" t="n">
        <f aca="false">IFERROR(INDEX(Correspondance!$D$2:$D$3000,MATCH(A6,Correspondance!$A$2:$A$3000,0)),0)</f>
        <v>1.8</v>
      </c>
      <c r="F6" s="60" t="n">
        <f aca="false">C6*E6</f>
        <v>1.99440187037278</v>
      </c>
      <c r="G6" s="61"/>
      <c r="I6" s="63"/>
    </row>
    <row r="7" customFormat="false" ht="15.75" hidden="false" customHeight="false" outlineLevel="0" collapsed="false">
      <c r="A7" s="57" t="s">
        <v>1973</v>
      </c>
      <c r="B7" s="57" t="n">
        <v>1.32</v>
      </c>
      <c r="C7" s="58" t="n">
        <f aca="false">B7/B$22*B$24</f>
        <v>2.07455513703078</v>
      </c>
      <c r="D7" s="57" t="s">
        <v>682</v>
      </c>
      <c r="E7" s="59" t="n">
        <f aca="false">IFERROR(INDEX(Correspondance!$D$2:$D$3000,MATCH(A7,Correspondance!$A$2:$A$3000,0)),0)</f>
        <v>2</v>
      </c>
      <c r="F7" s="60" t="n">
        <f aca="false">C7*E7</f>
        <v>4.14911027406157</v>
      </c>
      <c r="G7" s="61"/>
      <c r="I7" s="63"/>
    </row>
    <row r="8" customFormat="false" ht="15.75" hidden="false" customHeight="false" outlineLevel="0" collapsed="false">
      <c r="A8" s="57" t="s">
        <v>1459</v>
      </c>
      <c r="B8" s="57" t="n">
        <v>1.76</v>
      </c>
      <c r="C8" s="58" t="n">
        <f aca="false">B8/B$22*B$24</f>
        <v>2.76607351604104</v>
      </c>
      <c r="D8" s="57" t="s">
        <v>682</v>
      </c>
      <c r="E8" s="59" t="n">
        <f aca="false">IFERROR(INDEX(Correspondance!$D$2:$D$3000,MATCH(A8,Correspondance!$A$2:$A$3000,0)),0)</f>
        <v>0</v>
      </c>
      <c r="F8" s="60" t="n">
        <f aca="false">C8*E8</f>
        <v>0</v>
      </c>
      <c r="G8" s="61"/>
      <c r="I8" s="63"/>
    </row>
    <row r="9" customFormat="false" ht="15.75" hidden="false" customHeight="false" outlineLevel="0" collapsed="false">
      <c r="A9" s="57" t="s">
        <v>1100</v>
      </c>
      <c r="B9" s="57" t="n">
        <v>0.088</v>
      </c>
      <c r="C9" s="58" t="n">
        <f aca="false">B9/B$22*B$24</f>
        <v>0.138303675802052</v>
      </c>
      <c r="D9" s="57" t="s">
        <v>434</v>
      </c>
      <c r="E9" s="59" t="n">
        <f aca="false">IFERROR(INDEX(Correspondance!$D$2:$D$3000,MATCH(A9,Correspondance!$A$2:$A$3000,0)),0)</f>
        <v>10</v>
      </c>
      <c r="F9" s="60" t="n">
        <f aca="false">C9*E9</f>
        <v>1.38303675802052</v>
      </c>
      <c r="G9" s="61"/>
      <c r="I9" s="63"/>
    </row>
    <row r="10" customFormat="false" ht="15.75" hidden="false" customHeight="false" outlineLevel="0" collapsed="false">
      <c r="A10" s="57" t="s">
        <v>1576</v>
      </c>
      <c r="B10" s="57" t="n">
        <v>1.76</v>
      </c>
      <c r="C10" s="58" t="n">
        <f aca="false">B10/B$22*B$24</f>
        <v>2.76607351604104</v>
      </c>
      <c r="D10" s="57" t="s">
        <v>434</v>
      </c>
      <c r="E10" s="59" t="n">
        <f aca="false">IFERROR(INDEX(Correspondance!$D$2:$D$3000,MATCH(A10,Correspondance!$A$2:$A$3000,0)),0)</f>
        <v>5.5</v>
      </c>
      <c r="F10" s="60" t="n">
        <f aca="false">C10*E10</f>
        <v>15.2134043382257</v>
      </c>
      <c r="G10" s="61"/>
      <c r="I10" s="63"/>
    </row>
    <row r="11" customFormat="false" ht="15.75" hidden="false" customHeight="false" outlineLevel="0" collapsed="false">
      <c r="A11" s="57" t="s">
        <v>1084</v>
      </c>
      <c r="B11" s="57" t="n">
        <v>0.176</v>
      </c>
      <c r="C11" s="58" t="n">
        <f aca="false">B11/B$22*B$24</f>
        <v>0.276607351604104</v>
      </c>
      <c r="D11" s="57" t="s">
        <v>434</v>
      </c>
      <c r="E11" s="59" t="n">
        <f aca="false">IFERROR(INDEX(Correspondance!$D$2:$D$3000,MATCH(A11,Correspondance!$A$2:$A$3000,0)),0)</f>
        <v>2.2</v>
      </c>
      <c r="F11" s="60" t="n">
        <f aca="false">C11*E11</f>
        <v>0.60853617352903</v>
      </c>
      <c r="G11" s="61"/>
      <c r="I11" s="63"/>
    </row>
    <row r="12" customFormat="false" ht="18.75" hidden="false" customHeight="true" outlineLevel="0" collapsed="false">
      <c r="A12" s="57" t="s">
        <v>1675</v>
      </c>
      <c r="B12" s="64" t="n">
        <v>0.176</v>
      </c>
      <c r="C12" s="58" t="n">
        <f aca="false">B12/B$22*B$24</f>
        <v>0.276607351604104</v>
      </c>
      <c r="D12" s="57" t="s">
        <v>682</v>
      </c>
      <c r="E12" s="59" t="n">
        <f aca="false">IFERROR(INDEX(Correspondance!$D$2:$D$3000,MATCH(A12,Correspondance!$A$2:$A$3000,0)),0)</f>
        <v>2.2</v>
      </c>
      <c r="F12" s="60" t="n">
        <f aca="false">C12*E12</f>
        <v>0.60853617352903</v>
      </c>
      <c r="G12" s="61"/>
      <c r="I12" s="63"/>
    </row>
    <row r="13" customFormat="false" ht="18.75" hidden="false" customHeight="true" outlineLevel="0" collapsed="false">
      <c r="A13" s="57" t="s">
        <v>1919</v>
      </c>
      <c r="B13" s="64" t="n">
        <v>0.07</v>
      </c>
      <c r="C13" s="58" t="n">
        <f aca="false">B13/B$22*B$24</f>
        <v>0.110014287569814</v>
      </c>
      <c r="D13" s="57" t="s">
        <v>434</v>
      </c>
      <c r="E13" s="59" t="n">
        <f aca="false">IFERROR(INDEX(Correspondance!$D$2:$D$3000,MATCH(A13,Correspondance!$A$2:$A$3000,0)),0)</f>
        <v>2</v>
      </c>
      <c r="F13" s="60" t="n">
        <f aca="false">C13*E13</f>
        <v>0.220028575139629</v>
      </c>
      <c r="G13" s="61"/>
      <c r="I13" s="63"/>
    </row>
    <row r="14" customFormat="false" ht="15.75" hidden="false" customHeight="false" outlineLevel="0" collapsed="false">
      <c r="A14" s="57" t="s">
        <v>1796</v>
      </c>
      <c r="B14" s="57" t="n">
        <v>0.005</v>
      </c>
      <c r="C14" s="58" t="n">
        <f aca="false">B14/B$22*B$24</f>
        <v>0.00785816339784388</v>
      </c>
      <c r="D14" s="57" t="s">
        <v>434</v>
      </c>
      <c r="E14" s="59" t="n">
        <f aca="false">IFERROR(INDEX(Correspondance!$D$2:$D$3000,MATCH(A14,Correspondance!$A$2:$A$3000,0)),0)</f>
        <v>18</v>
      </c>
      <c r="F14" s="60" t="n">
        <f aca="false">C14*E14</f>
        <v>0.14144694116119</v>
      </c>
      <c r="G14" s="61"/>
      <c r="I14" s="63"/>
    </row>
    <row r="15" customFormat="false" ht="15.75" hidden="false" customHeight="false" outlineLevel="0" collapsed="false">
      <c r="A15" s="57" t="s">
        <v>1948</v>
      </c>
      <c r="B15" s="57"/>
      <c r="C15" s="58" t="n">
        <f aca="false">B15/B$22*B$24</f>
        <v>0</v>
      </c>
      <c r="D15" s="57" t="s">
        <v>434</v>
      </c>
      <c r="E15" s="59" t="n">
        <f aca="false">IFERROR(INDEX(Correspondance!$D$2:$D$3000,MATCH(A15,Correspondance!$A$2:$A$3000,0)),0)</f>
        <v>16</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163.324696713859</v>
      </c>
      <c r="G19" s="61"/>
      <c r="I19" s="63"/>
    </row>
    <row r="20" customFormat="false" ht="18.75" hidden="false" customHeight="true" outlineLevel="0" collapsed="false">
      <c r="A20" s="68" t="s">
        <v>2628</v>
      </c>
      <c r="B20" s="69" t="n">
        <f aca="false">F19/B24</f>
        <v>1.48476997012599</v>
      </c>
      <c r="C20" s="70"/>
      <c r="G20" s="61"/>
      <c r="I20" s="63"/>
    </row>
    <row r="21" customFormat="false" ht="15.75" hidden="false" customHeight="false" outlineLevel="0" collapsed="false">
      <c r="A21" s="71" t="s">
        <v>2629</v>
      </c>
      <c r="B21" s="71" t="n">
        <f aca="false">SUM(B3:B18)</f>
        <v>15.398</v>
      </c>
      <c r="C21" s="66"/>
      <c r="G21" s="61"/>
      <c r="I21" s="63"/>
    </row>
    <row r="22" customFormat="false" ht="15.75" hidden="false" customHeight="false" outlineLevel="0" collapsed="false">
      <c r="A22" s="0" t="s">
        <v>2630</v>
      </c>
      <c r="B22" s="72" t="n">
        <f aca="false">B21/B23</f>
        <v>69.9909090909091</v>
      </c>
      <c r="C22" s="66"/>
      <c r="G22" s="61"/>
      <c r="I22" s="63"/>
    </row>
    <row r="23" customFormat="false" ht="15.75" hidden="false" customHeight="false" outlineLevel="0" collapsed="false">
      <c r="A23" s="0" t="s">
        <v>2631</v>
      </c>
      <c r="B23" s="0" t="n">
        <v>0.22</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170</v>
      </c>
      <c r="B1" s="50"/>
      <c r="C1" s="50"/>
      <c r="D1" s="50"/>
      <c r="E1" s="51" t="s">
        <v>2619</v>
      </c>
      <c r="F1" s="51"/>
      <c r="G1" s="52" t="s">
        <v>2836</v>
      </c>
    </row>
    <row r="2" customFormat="false" ht="24.75" hidden="false" customHeight="true" outlineLevel="0" collapsed="false">
      <c r="A2" s="50"/>
      <c r="B2" s="50"/>
      <c r="C2" s="50"/>
      <c r="D2" s="50"/>
      <c r="E2" s="53" t="s">
        <v>2636</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1966</v>
      </c>
      <c r="B4" s="57" t="n">
        <v>7.02</v>
      </c>
      <c r="C4" s="58" t="n">
        <f aca="false">B4/B$22*B$24</f>
        <v>11.0306406685237</v>
      </c>
      <c r="D4" s="57" t="s">
        <v>434</v>
      </c>
      <c r="E4" s="59" t="n">
        <f aca="false">IFERROR(INDEX(Correspondance!$D$2:$D$3000,MATCH(A4,Correspondance!$A$2:$A$3000,0)),0)</f>
        <v>8.5</v>
      </c>
      <c r="F4" s="60" t="n">
        <f aca="false">C4*E4</f>
        <v>93.7604456824513</v>
      </c>
      <c r="G4" s="61" t="s">
        <v>2837</v>
      </c>
    </row>
    <row r="5" customFormat="false" ht="15.75" hidden="false" customHeight="false" outlineLevel="0" collapsed="false">
      <c r="A5" s="57" t="s">
        <v>1459</v>
      </c>
      <c r="B5" s="57" t="n">
        <v>3.51</v>
      </c>
      <c r="C5" s="58" t="n">
        <f aca="false">B5/B$22*B$24</f>
        <v>5.51532033426184</v>
      </c>
      <c r="D5" s="57" t="s">
        <v>682</v>
      </c>
      <c r="E5" s="59" t="n">
        <f aca="false">IFERROR(INDEX(Correspondance!$D$2:$D$3000,MATCH(A5,Correspondance!$A$2:$A$3000,0)),0)</f>
        <v>0</v>
      </c>
      <c r="F5" s="60" t="n">
        <f aca="false">C5*E5</f>
        <v>0</v>
      </c>
      <c r="G5" s="61"/>
      <c r="I5" s="62"/>
    </row>
    <row r="6" customFormat="false" ht="15.75" hidden="false" customHeight="false" outlineLevel="0" collapsed="false">
      <c r="A6" s="57" t="s">
        <v>1979</v>
      </c>
      <c r="B6" s="57" t="n">
        <v>0.211</v>
      </c>
      <c r="C6" s="58" t="n">
        <f aca="false">B6/B$22*B$24</f>
        <v>0.331547746589529</v>
      </c>
      <c r="D6" s="57" t="s">
        <v>682</v>
      </c>
      <c r="E6" s="59" t="n">
        <f aca="false">IFERROR(INDEX(Correspondance!$D$2:$D$3000,MATCH(A6,Correspondance!$A$2:$A$3000,0)),0)</f>
        <v>1</v>
      </c>
      <c r="F6" s="60" t="n">
        <f aca="false">C6*E6</f>
        <v>0.331547746589529</v>
      </c>
      <c r="G6" s="61"/>
      <c r="I6" s="63"/>
    </row>
    <row r="7" customFormat="false" ht="15.75" hidden="false" customHeight="false" outlineLevel="0" collapsed="false">
      <c r="A7" s="57" t="s">
        <v>1618</v>
      </c>
      <c r="B7" s="57" t="n">
        <v>0.105</v>
      </c>
      <c r="C7" s="58" t="n">
        <f aca="false">B7/B$22*B$24</f>
        <v>0.164988215127491</v>
      </c>
      <c r="D7" s="57" t="s">
        <v>434</v>
      </c>
      <c r="E7" s="59" t="n">
        <f aca="false">IFERROR(INDEX(Correspondance!$D$2:$D$3000,MATCH(A7,Correspondance!$A$2:$A$3000,0)),0)</f>
        <v>0.85</v>
      </c>
      <c r="F7" s="60" t="n">
        <f aca="false">C7*E7</f>
        <v>0.140239982858367</v>
      </c>
      <c r="G7" s="61"/>
      <c r="I7" s="63"/>
    </row>
    <row r="8" customFormat="false" ht="15.75" hidden="false" customHeight="false" outlineLevel="0" collapsed="false">
      <c r="A8" s="57" t="s">
        <v>1001</v>
      </c>
      <c r="B8" s="57" t="n">
        <v>0.351</v>
      </c>
      <c r="C8" s="58" t="n">
        <f aca="false">B8/B$22*B$24</f>
        <v>0.551532033426184</v>
      </c>
      <c r="D8" s="57" t="s">
        <v>434</v>
      </c>
      <c r="E8" s="59" t="n">
        <f aca="false">IFERROR(INDEX(Correspondance!$D$2:$D$3000,MATCH(A8,Correspondance!$A$2:$A$3000,0)),0)</f>
        <v>1.8</v>
      </c>
      <c r="F8" s="60" t="n">
        <f aca="false">C8*E8</f>
        <v>0.992757660167131</v>
      </c>
      <c r="G8" s="61"/>
      <c r="I8" s="63"/>
    </row>
    <row r="9" customFormat="false" ht="15.75" hidden="false" customHeight="false" outlineLevel="0" collapsed="false">
      <c r="A9" s="57" t="s">
        <v>917</v>
      </c>
      <c r="B9" s="57" t="n">
        <v>0.351</v>
      </c>
      <c r="C9" s="58" t="n">
        <f aca="false">B9/B$22*B$24</f>
        <v>0.551532033426184</v>
      </c>
      <c r="D9" s="57" t="s">
        <v>434</v>
      </c>
      <c r="E9" s="59" t="n">
        <f aca="false">IFERROR(INDEX(Correspondance!$D$2:$D$3000,MATCH(A9,Correspondance!$A$2:$A$3000,0)),0)</f>
        <v>1.8</v>
      </c>
      <c r="F9" s="60" t="n">
        <f aca="false">C9*E9</f>
        <v>0.992757660167131</v>
      </c>
      <c r="G9" s="61"/>
      <c r="I9" s="63"/>
    </row>
    <row r="10" customFormat="false" ht="15.75" hidden="false" customHeight="false" outlineLevel="0" collapsed="false">
      <c r="A10" s="57" t="s">
        <v>1284</v>
      </c>
      <c r="B10" s="57" t="n">
        <v>0.07</v>
      </c>
      <c r="C10" s="58" t="n">
        <f aca="false">B10/B$22*B$24</f>
        <v>0.109992143418327</v>
      </c>
      <c r="D10" s="57" t="s">
        <v>434</v>
      </c>
      <c r="E10" s="59" t="n">
        <f aca="false">IFERROR(INDEX(Correspondance!$D$2:$D$3000,MATCH(A10,Correspondance!$A$2:$A$3000,0)),0)</f>
        <v>0.8</v>
      </c>
      <c r="F10" s="60" t="n">
        <f aca="false">C10*E10</f>
        <v>0.0879937147346619</v>
      </c>
      <c r="G10" s="61"/>
      <c r="I10" s="63"/>
    </row>
    <row r="11" customFormat="false" ht="15.75" hidden="false" customHeight="false" outlineLevel="0" collapsed="false">
      <c r="A11" s="57" t="s">
        <v>1553</v>
      </c>
      <c r="B11" s="57"/>
      <c r="C11" s="58" t="n">
        <f aca="false">B11/B$22*B$24</f>
        <v>0</v>
      </c>
      <c r="D11" s="57" t="s">
        <v>434</v>
      </c>
      <c r="E11" s="59" t="n">
        <f aca="false">IFERROR(INDEX(Correspondance!$D$2:$D$3000,MATCH(A11,Correspondance!$A$2:$A$3000,0)),0)</f>
        <v>25</v>
      </c>
      <c r="F11" s="60" t="n">
        <f aca="false">C11*E11</f>
        <v>0</v>
      </c>
      <c r="G11" s="61"/>
      <c r="I11" s="63"/>
    </row>
    <row r="12" customFormat="false" ht="18.75" hidden="false" customHeight="true" outlineLevel="0" collapsed="false">
      <c r="A12" s="57" t="s">
        <v>1709</v>
      </c>
      <c r="B12" s="64" t="n">
        <v>1.05</v>
      </c>
      <c r="C12" s="58" t="n">
        <f aca="false">B12/B$22*B$24</f>
        <v>1.64988215127491</v>
      </c>
      <c r="D12" s="57" t="s">
        <v>434</v>
      </c>
      <c r="E12" s="59" t="n">
        <f aca="false">IFERROR(INDEX(Correspondance!$D$2:$D$3000,MATCH(A12,Correspondance!$A$2:$A$3000,0)),0)</f>
        <v>4.5</v>
      </c>
      <c r="F12" s="60" t="n">
        <f aca="false">C12*E12</f>
        <v>7.42446968073709</v>
      </c>
      <c r="G12" s="61"/>
      <c r="I12" s="63"/>
    </row>
    <row r="13" customFormat="false" ht="18.75" hidden="false" customHeight="true" outlineLevel="0" collapsed="false">
      <c r="A13" s="57" t="s">
        <v>741</v>
      </c>
      <c r="B13" s="64" t="n">
        <v>0.702</v>
      </c>
      <c r="C13" s="58" t="n">
        <f aca="false">B13/B$22*B$24</f>
        <v>1.10306406685237</v>
      </c>
      <c r="D13" s="57" t="s">
        <v>434</v>
      </c>
      <c r="E13" s="59" t="n">
        <f aca="false">IFERROR(INDEX(Correspondance!$D$2:$D$3000,MATCH(A13,Correspondance!$A$2:$A$3000,0)),0)</f>
        <v>5.6</v>
      </c>
      <c r="F13" s="60" t="n">
        <f aca="false">C13*E13</f>
        <v>6.17715877437326</v>
      </c>
      <c r="G13" s="61"/>
      <c r="I13" s="63"/>
    </row>
    <row r="14" customFormat="false" ht="15.75" hidden="false" customHeight="false" outlineLevel="0" collapsed="false">
      <c r="A14" s="57" t="s">
        <v>1567</v>
      </c>
      <c r="B14" s="57" t="n">
        <v>0.351</v>
      </c>
      <c r="C14" s="58" t="n">
        <f aca="false">B14/B$22*B$24</f>
        <v>0.551532033426184</v>
      </c>
      <c r="D14" s="57" t="s">
        <v>434</v>
      </c>
      <c r="E14" s="59" t="n">
        <f aca="false">IFERROR(INDEX(Correspondance!$D$2:$D$3000,MATCH(A14,Correspondance!$A$2:$A$3000,0)),0)</f>
        <v>6.5</v>
      </c>
      <c r="F14" s="60" t="n">
        <f aca="false">C14*E14</f>
        <v>3.5849582172702</v>
      </c>
      <c r="G14" s="61"/>
      <c r="I14" s="63"/>
    </row>
    <row r="15" customFormat="false" ht="15.75" hidden="false" customHeight="false" outlineLevel="0" collapsed="false">
      <c r="A15" s="57" t="s">
        <v>1192</v>
      </c>
      <c r="B15" s="57" t="n">
        <v>0.14</v>
      </c>
      <c r="C15" s="58" t="n">
        <f aca="false">B15/B$22*B$24</f>
        <v>0.219984286836655</v>
      </c>
      <c r="D15" s="57" t="s">
        <v>434</v>
      </c>
      <c r="E15" s="59" t="n">
        <f aca="false">IFERROR(INDEX(Correspondance!$D$2:$D$3000,MATCH(A15,Correspondance!$A$2:$A$3000,0)),0)</f>
        <v>8</v>
      </c>
      <c r="F15" s="60" t="n">
        <f aca="false">C15*E15</f>
        <v>1.75987429469324</v>
      </c>
      <c r="G15" s="61"/>
      <c r="I15" s="63"/>
    </row>
    <row r="16" customFormat="false" ht="15.75" hidden="false" customHeight="false" outlineLevel="0" collapsed="false">
      <c r="A16" s="57" t="s">
        <v>1725</v>
      </c>
      <c r="B16" s="57" t="n">
        <v>0.105</v>
      </c>
      <c r="C16" s="58" t="n">
        <f aca="false">B16/B$22*B$24</f>
        <v>0.164988215127491</v>
      </c>
      <c r="D16" s="57" t="s">
        <v>434</v>
      </c>
      <c r="E16" s="59" t="n">
        <f aca="false">IFERROR(INDEX(Correspondance!$D$2:$D$3000,MATCH(A16,Correspondance!$A$2:$A$3000,0)),0)</f>
        <v>9</v>
      </c>
      <c r="F16" s="60" t="n">
        <f aca="false">C16*E16</f>
        <v>1.48489393614742</v>
      </c>
      <c r="G16" s="61"/>
      <c r="I16" s="63"/>
    </row>
    <row r="17" customFormat="false" ht="15.75" hidden="false" customHeight="false" outlineLevel="0" collapsed="false">
      <c r="A17" s="57" t="s">
        <v>1780</v>
      </c>
      <c r="B17" s="57" t="n">
        <v>0.035</v>
      </c>
      <c r="C17" s="58" t="n">
        <f aca="false">B17/B$22*B$24</f>
        <v>0.0549960717091637</v>
      </c>
      <c r="D17" s="57" t="s">
        <v>434</v>
      </c>
      <c r="E17" s="59" t="n">
        <f aca="false">IFERROR(INDEX(Correspondance!$D$2:$D$3000,MATCH(A17,Correspondance!$A$2:$A$3000,0)),0)</f>
        <v>8</v>
      </c>
      <c r="F17" s="60" t="n">
        <f aca="false">C17*E17</f>
        <v>0.439968573673309</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117.177065923863</v>
      </c>
      <c r="G19" s="61"/>
      <c r="I19" s="63"/>
    </row>
    <row r="20" customFormat="false" ht="18.75" hidden="false" customHeight="true" outlineLevel="0" collapsed="false">
      <c r="A20" s="68" t="s">
        <v>2628</v>
      </c>
      <c r="B20" s="69" t="n">
        <f aca="false">F19/B24</f>
        <v>1.0652460538533</v>
      </c>
      <c r="C20" s="70"/>
      <c r="G20" s="61"/>
      <c r="I20" s="63"/>
    </row>
    <row r="21" customFormat="false" ht="15.75" hidden="false" customHeight="false" outlineLevel="0" collapsed="false">
      <c r="A21" s="71" t="s">
        <v>2629</v>
      </c>
      <c r="B21" s="71" t="n">
        <f aca="false">SUM(B3:B18)</f>
        <v>14.001</v>
      </c>
      <c r="C21" s="66"/>
      <c r="G21" s="61"/>
      <c r="I21" s="63"/>
    </row>
    <row r="22" customFormat="false" ht="15.75" hidden="false" customHeight="false" outlineLevel="0" collapsed="false">
      <c r="A22" s="0" t="s">
        <v>2630</v>
      </c>
      <c r="B22" s="72" t="n">
        <f aca="false">B21/B23</f>
        <v>70.005</v>
      </c>
      <c r="C22" s="66"/>
      <c r="G22" s="61"/>
      <c r="I22" s="63"/>
    </row>
    <row r="23" customFormat="false" ht="15.75" hidden="false" customHeight="false" outlineLevel="0" collapsed="false">
      <c r="A23" s="0" t="s">
        <v>2631</v>
      </c>
      <c r="B23" s="0" t="n">
        <v>0.2</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171</v>
      </c>
      <c r="B1" s="50"/>
      <c r="C1" s="50"/>
      <c r="D1" s="50"/>
      <c r="E1" s="51" t="s">
        <v>2619</v>
      </c>
      <c r="F1" s="51"/>
      <c r="G1" s="52" t="s">
        <v>2838</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1391</v>
      </c>
      <c r="B4" s="57" t="n">
        <v>8.26</v>
      </c>
      <c r="C4" s="58" t="n">
        <f aca="false">B4/B$22*B$24</f>
        <v>12.98</v>
      </c>
      <c r="D4" s="57" t="s">
        <v>434</v>
      </c>
      <c r="E4" s="59" t="n">
        <f aca="false">IFERROR(INDEX(Correspondance!$D$2:$D$3000,MATCH(A4,Correspondance!$A$2:$A$3000,0)),0)</f>
        <v>5.5</v>
      </c>
      <c r="F4" s="60" t="n">
        <f aca="false">C4*E4</f>
        <v>71.39</v>
      </c>
      <c r="G4" s="61" t="s">
        <v>2839</v>
      </c>
    </row>
    <row r="5" customFormat="false" ht="15.75" hidden="false" customHeight="false" outlineLevel="0" collapsed="false">
      <c r="A5" s="57" t="s">
        <v>1856</v>
      </c>
      <c r="B5" s="57" t="n">
        <v>5.16</v>
      </c>
      <c r="C5" s="58" t="n">
        <f aca="false">B5/B$22*B$24</f>
        <v>8.10857142857143</v>
      </c>
      <c r="D5" s="57" t="s">
        <v>434</v>
      </c>
      <c r="E5" s="59" t="n">
        <f aca="false">IFERROR(INDEX(Correspondance!$D$2:$D$3000,MATCH(A5,Correspondance!$A$2:$A$3000,0)),0)</f>
        <v>1.5</v>
      </c>
      <c r="F5" s="60" t="n">
        <f aca="false">C5*E5</f>
        <v>12.1628571428571</v>
      </c>
      <c r="G5" s="61"/>
      <c r="I5" s="62"/>
    </row>
    <row r="6" customFormat="false" ht="15.75" hidden="false" customHeight="false" outlineLevel="0" collapsed="false">
      <c r="A6" s="57" t="s">
        <v>1001</v>
      </c>
      <c r="B6" s="57" t="n">
        <v>0.516</v>
      </c>
      <c r="C6" s="58" t="n">
        <f aca="false">B6/B$22*B$24</f>
        <v>0.810857142857143</v>
      </c>
      <c r="D6" s="57" t="s">
        <v>434</v>
      </c>
      <c r="E6" s="59" t="n">
        <f aca="false">IFERROR(INDEX(Correspondance!$D$2:$D$3000,MATCH(A6,Correspondance!$A$2:$A$3000,0)),0)</f>
        <v>1.8</v>
      </c>
      <c r="F6" s="60" t="n">
        <f aca="false">C6*E6</f>
        <v>1.45954285714286</v>
      </c>
      <c r="G6" s="61"/>
      <c r="I6" s="63"/>
    </row>
    <row r="7" customFormat="false" ht="15.75" hidden="false" customHeight="false" outlineLevel="0" collapsed="false">
      <c r="A7" s="57" t="s">
        <v>894</v>
      </c>
      <c r="B7" s="57" t="n">
        <v>0.052</v>
      </c>
      <c r="C7" s="58" t="n">
        <f aca="false">B7/B$22*B$24</f>
        <v>0.0817142857142857</v>
      </c>
      <c r="D7" s="57" t="s">
        <v>434</v>
      </c>
      <c r="E7" s="59" t="n">
        <f aca="false">IFERROR(INDEX(Correspondance!$D$2:$D$3000,MATCH(A7,Correspondance!$A$2:$A$3000,0)),0)</f>
        <v>5.5</v>
      </c>
      <c r="F7" s="60" t="n">
        <f aca="false">C7*E7</f>
        <v>0.449428571428571</v>
      </c>
      <c r="G7" s="61"/>
      <c r="I7" s="63"/>
    </row>
    <row r="8" customFormat="false" ht="15.75" hidden="false" customHeight="false" outlineLevel="0" collapsed="false">
      <c r="A8" s="57" t="s">
        <v>1120</v>
      </c>
      <c r="B8" s="57" t="n">
        <v>0.206</v>
      </c>
      <c r="C8" s="58" t="n">
        <f aca="false">B8/B$22*B$24</f>
        <v>0.323714285714286</v>
      </c>
      <c r="D8" s="57" t="s">
        <v>682</v>
      </c>
      <c r="E8" s="59" t="n">
        <f aca="false">IFERROR(INDEX(Correspondance!$D$2:$D$3000,MATCH(A8,Correspondance!$A$2:$A$3000,0)),0)</f>
        <v>7.5</v>
      </c>
      <c r="F8" s="60" t="n">
        <f aca="false">C8*E8</f>
        <v>2.42785714285714</v>
      </c>
      <c r="G8" s="61"/>
      <c r="I8" s="63"/>
    </row>
    <row r="9" customFormat="false" ht="15.75" hidden="false" customHeight="false" outlineLevel="0" collapsed="false">
      <c r="A9" s="57" t="s">
        <v>1054</v>
      </c>
      <c r="B9" s="57" t="n">
        <v>0.052</v>
      </c>
      <c r="C9" s="58" t="n">
        <f aca="false">B9/B$22*B$24</f>
        <v>0.0817142857142857</v>
      </c>
      <c r="D9" s="57" t="s">
        <v>434</v>
      </c>
      <c r="E9" s="59" t="n">
        <f aca="false">IFERROR(INDEX(Correspondance!$D$2:$D$3000,MATCH(A9,Correspondance!$A$2:$A$3000,0)),0)</f>
        <v>9</v>
      </c>
      <c r="F9" s="60" t="n">
        <f aca="false">C9*E9</f>
        <v>0.735428571428571</v>
      </c>
      <c r="G9" s="61"/>
      <c r="I9" s="63"/>
    </row>
    <row r="10" customFormat="false" ht="15.75" hidden="false" customHeight="false" outlineLevel="0" collapsed="false">
      <c r="A10" s="57" t="s">
        <v>1937</v>
      </c>
      <c r="B10" s="57" t="n">
        <v>0.052</v>
      </c>
      <c r="C10" s="58" t="n">
        <f aca="false">B10/B$22*B$24</f>
        <v>0.0817142857142857</v>
      </c>
      <c r="D10" s="57" t="s">
        <v>434</v>
      </c>
      <c r="E10" s="59" t="n">
        <f aca="false">IFERROR(INDEX(Correspondance!$D$2:$D$3000,MATCH(A10,Correspondance!$A$2:$A$3000,0)),0)</f>
        <v>1.3</v>
      </c>
      <c r="F10" s="60" t="n">
        <f aca="false">C10*E10</f>
        <v>0.106228571428571</v>
      </c>
      <c r="G10" s="61"/>
      <c r="I10" s="63"/>
    </row>
    <row r="11" customFormat="false" ht="15.75" hidden="false" customHeight="false" outlineLevel="0" collapsed="false">
      <c r="A11" s="57" t="s">
        <v>1919</v>
      </c>
      <c r="B11" s="57" t="n">
        <v>0.072</v>
      </c>
      <c r="C11" s="58" t="n">
        <f aca="false">B11/B$22*B$24</f>
        <v>0.113142857142857</v>
      </c>
      <c r="D11" s="57" t="s">
        <v>434</v>
      </c>
      <c r="E11" s="59" t="n">
        <f aca="false">IFERROR(INDEX(Correspondance!$D$2:$D$3000,MATCH(A11,Correspondance!$A$2:$A$3000,0)),0)</f>
        <v>2</v>
      </c>
      <c r="F11" s="60" t="n">
        <f aca="false">C11*E11</f>
        <v>0.226285714285714</v>
      </c>
      <c r="G11" s="61"/>
      <c r="I11" s="63"/>
    </row>
    <row r="12" customFormat="false" ht="18.75" hidden="false" customHeight="true" outlineLevel="0" collapsed="false">
      <c r="A12" s="57" t="s">
        <v>1667</v>
      </c>
      <c r="B12" s="64"/>
      <c r="C12" s="58" t="n">
        <f aca="false">B12/B$22*B$24</f>
        <v>0</v>
      </c>
      <c r="D12" s="57" t="s">
        <v>434</v>
      </c>
      <c r="E12" s="59" t="n">
        <f aca="false">IFERROR(INDEX(Correspondance!$D$2:$D$3000,MATCH(A12,Correspondance!$A$2:$A$3000,0)),0)</f>
        <v>11</v>
      </c>
      <c r="F12" s="60" t="n">
        <f aca="false">C12*E12</f>
        <v>0</v>
      </c>
      <c r="G12" s="61"/>
      <c r="I12" s="63"/>
    </row>
    <row r="13" customFormat="false" ht="18.75" hidden="false" customHeight="true" outlineLevel="0" collapsed="false">
      <c r="A13" s="57" t="s">
        <v>706</v>
      </c>
      <c r="B13" s="64" t="n">
        <v>1.03</v>
      </c>
      <c r="C13" s="58" t="n">
        <f aca="false">B13/B$22*B$24</f>
        <v>1.61857142857143</v>
      </c>
      <c r="D13" s="57" t="s">
        <v>434</v>
      </c>
      <c r="E13" s="59" t="n">
        <f aca="false">IFERROR(INDEX(Correspondance!$D$2:$D$3000,MATCH(A13,Correspondance!$A$2:$A$3000,0)),0)</f>
        <v>7.5</v>
      </c>
      <c r="F13" s="60" t="n">
        <f aca="false">C13*E13</f>
        <v>12.1392857142857</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101.096914285714</v>
      </c>
      <c r="G19" s="61"/>
      <c r="I19" s="63"/>
    </row>
    <row r="20" customFormat="false" ht="18.75" hidden="false" customHeight="true" outlineLevel="0" collapsed="false">
      <c r="A20" s="68" t="s">
        <v>2628</v>
      </c>
      <c r="B20" s="69" t="n">
        <f aca="false">F19/B24</f>
        <v>0.919062857142857</v>
      </c>
      <c r="C20" s="70"/>
      <c r="G20" s="61"/>
      <c r="I20" s="63"/>
    </row>
    <row r="21" customFormat="false" ht="15.75" hidden="false" customHeight="false" outlineLevel="0" collapsed="false">
      <c r="A21" s="71" t="s">
        <v>2629</v>
      </c>
      <c r="B21" s="71" t="n">
        <f aca="false">SUM(B3:B18)</f>
        <v>15.4</v>
      </c>
      <c r="C21" s="66"/>
      <c r="G21" s="61"/>
      <c r="I21" s="63"/>
    </row>
    <row r="22" customFormat="false" ht="15.75" hidden="false" customHeight="false" outlineLevel="0" collapsed="false">
      <c r="A22" s="0" t="s">
        <v>2630</v>
      </c>
      <c r="B22" s="72" t="n">
        <f aca="false">B21/B23</f>
        <v>70</v>
      </c>
      <c r="C22" s="66"/>
      <c r="G22" s="61"/>
      <c r="I22" s="63"/>
    </row>
    <row r="23" customFormat="false" ht="15.75" hidden="false" customHeight="false" outlineLevel="0" collapsed="false">
      <c r="A23" s="0" t="s">
        <v>2631</v>
      </c>
      <c r="B23" s="0" t="n">
        <v>0.22</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172</v>
      </c>
      <c r="B1" s="50"/>
      <c r="C1" s="50"/>
      <c r="D1" s="50"/>
      <c r="E1" s="51" t="s">
        <v>2619</v>
      </c>
      <c r="F1" s="51"/>
      <c r="G1" s="52" t="s">
        <v>2838</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1060</v>
      </c>
      <c r="B4" s="57" t="n">
        <v>2.43</v>
      </c>
      <c r="C4" s="58" t="n">
        <f aca="false">B4/B$22*B$24</f>
        <v>3.81993569131833</v>
      </c>
      <c r="D4" s="57" t="s">
        <v>434</v>
      </c>
      <c r="E4" s="59" t="n">
        <f aca="false">IFERROR(INDEX(Correspondance!$D$2:$D$3000,MATCH(A4,Correspondance!$A$2:$A$3000,0)),0)</f>
        <v>4.5</v>
      </c>
      <c r="F4" s="60" t="n">
        <f aca="false">C4*E4</f>
        <v>17.1897106109325</v>
      </c>
      <c r="G4" s="61" t="s">
        <v>2840</v>
      </c>
    </row>
    <row r="5" customFormat="false" ht="15.75" hidden="false" customHeight="false" outlineLevel="0" collapsed="false">
      <c r="A5" s="57" t="s">
        <v>1971</v>
      </c>
      <c r="B5" s="57" t="n">
        <v>5.83</v>
      </c>
      <c r="C5" s="58" t="n">
        <f aca="false">B5/B$22*B$24</f>
        <v>9.16470167917113</v>
      </c>
      <c r="D5" s="57" t="s">
        <v>434</v>
      </c>
      <c r="E5" s="59" t="n">
        <f aca="false">IFERROR(INDEX(Correspondance!$D$2:$D$3000,MATCH(A5,Correspondance!$A$2:$A$3000,0)),0)</f>
        <v>9.5</v>
      </c>
      <c r="F5" s="60" t="n">
        <f aca="false">C5*E5</f>
        <v>87.0646659521258</v>
      </c>
      <c r="G5" s="61"/>
      <c r="I5" s="62"/>
    </row>
    <row r="6" customFormat="false" ht="15.75" hidden="false" customHeight="false" outlineLevel="0" collapsed="false">
      <c r="A6" s="57" t="s">
        <v>1001</v>
      </c>
      <c r="B6" s="57" t="n">
        <v>0.778</v>
      </c>
      <c r="C6" s="58" t="n">
        <f aca="false">B6/B$22*B$24</f>
        <v>1.22300821722044</v>
      </c>
      <c r="D6" s="57" t="s">
        <v>434</v>
      </c>
      <c r="E6" s="59" t="n">
        <f aca="false">IFERROR(INDEX(Correspondance!$D$2:$D$3000,MATCH(A6,Correspondance!$A$2:$A$3000,0)),0)</f>
        <v>1.8</v>
      </c>
      <c r="F6" s="60" t="n">
        <f aca="false">C6*E6</f>
        <v>2.20141479099678</v>
      </c>
      <c r="G6" s="61"/>
      <c r="I6" s="63"/>
    </row>
    <row r="7" customFormat="false" ht="15.75" hidden="false" customHeight="false" outlineLevel="0" collapsed="false">
      <c r="A7" s="57" t="s">
        <v>894</v>
      </c>
      <c r="B7" s="57" t="n">
        <v>0.049</v>
      </c>
      <c r="C7" s="58" t="n">
        <f aca="false">B7/B$22*B$24</f>
        <v>0.0770275098249375</v>
      </c>
      <c r="D7" s="57" t="s">
        <v>434</v>
      </c>
      <c r="E7" s="59" t="n">
        <f aca="false">IFERROR(INDEX(Correspondance!$D$2:$D$3000,MATCH(A7,Correspondance!$A$2:$A$3000,0)),0)</f>
        <v>5.5</v>
      </c>
      <c r="F7" s="60" t="n">
        <f aca="false">C7*E7</f>
        <v>0.423651304037156</v>
      </c>
      <c r="G7" s="61"/>
      <c r="I7" s="63"/>
    </row>
    <row r="8" customFormat="false" ht="15.75" hidden="false" customHeight="false" outlineLevel="0" collapsed="false">
      <c r="A8" s="57" t="s">
        <v>1856</v>
      </c>
      <c r="B8" s="57" t="n">
        <v>4.86</v>
      </c>
      <c r="C8" s="58" t="n">
        <f aca="false">B8/B$22*B$24</f>
        <v>7.63987138263666</v>
      </c>
      <c r="D8" s="57" t="s">
        <v>434</v>
      </c>
      <c r="E8" s="59" t="n">
        <f aca="false">IFERROR(INDEX(Correspondance!$D$2:$D$3000,MATCH(A8,Correspondance!$A$2:$A$3000,0)),0)</f>
        <v>1.5</v>
      </c>
      <c r="F8" s="60" t="n">
        <f aca="false">C8*E8</f>
        <v>11.459807073955</v>
      </c>
      <c r="G8" s="61"/>
      <c r="I8" s="63"/>
    </row>
    <row r="9" customFormat="false" ht="15.75" hidden="false" customHeight="false" outlineLevel="0" collapsed="false">
      <c r="A9" s="57" t="s">
        <v>1692</v>
      </c>
      <c r="B9" s="57" t="n">
        <v>3.89</v>
      </c>
      <c r="C9" s="58" t="n">
        <f aca="false">B9/B$22*B$24</f>
        <v>6.11504108610218</v>
      </c>
      <c r="D9" s="57" t="s">
        <v>682</v>
      </c>
      <c r="E9" s="59" t="n">
        <f aca="false">IFERROR(INDEX(Correspondance!$D$2:$D$3000,MATCH(A9,Correspondance!$A$2:$A$3000,0)),0)</f>
        <v>2.4</v>
      </c>
      <c r="F9" s="60" t="n">
        <f aca="false">C9*E9</f>
        <v>14.6760986066452</v>
      </c>
      <c r="G9" s="61"/>
      <c r="I9" s="63"/>
    </row>
    <row r="10" customFormat="false" ht="15.75" hidden="false" customHeight="false" outlineLevel="0" collapsed="false">
      <c r="A10" s="57" t="s">
        <v>1491</v>
      </c>
      <c r="B10" s="57" t="n">
        <v>0.292</v>
      </c>
      <c r="C10" s="58" t="n">
        <f aca="false">B10/B$22*B$24</f>
        <v>0.45902107895677</v>
      </c>
      <c r="D10" s="57" t="s">
        <v>434</v>
      </c>
      <c r="E10" s="59" t="n">
        <f aca="false">IFERROR(INDEX(Correspondance!$D$2:$D$3000,MATCH(A10,Correspondance!$A$2:$A$3000,0)),0)</f>
        <v>9</v>
      </c>
      <c r="F10" s="60" t="n">
        <f aca="false">C10*E10</f>
        <v>4.13118971061093</v>
      </c>
      <c r="G10" s="61"/>
      <c r="I10" s="63"/>
    </row>
    <row r="11" customFormat="false" ht="15.75" hidden="false" customHeight="false" outlineLevel="0" collapsed="false">
      <c r="A11" s="57" t="s">
        <v>1616</v>
      </c>
      <c r="B11" s="57" t="n">
        <v>0.292</v>
      </c>
      <c r="C11" s="58" t="n">
        <f aca="false">B11/B$22*B$24</f>
        <v>0.45902107895677</v>
      </c>
      <c r="D11" s="57" t="s">
        <v>434</v>
      </c>
      <c r="E11" s="59" t="n">
        <f aca="false">IFERROR(INDEX(Correspondance!$D$2:$D$3000,MATCH(A11,Correspondance!$A$2:$A$3000,0)),0)</f>
        <v>0.85</v>
      </c>
      <c r="F11" s="60" t="n">
        <f aca="false">C11*E11</f>
        <v>0.390167917113255</v>
      </c>
      <c r="G11" s="61"/>
      <c r="I11" s="63"/>
    </row>
    <row r="12" customFormat="false" ht="18.75" hidden="false" customHeight="true" outlineLevel="0" collapsed="false">
      <c r="A12" s="57" t="s">
        <v>706</v>
      </c>
      <c r="B12" s="64" t="n">
        <v>0.972</v>
      </c>
      <c r="C12" s="58" t="n">
        <f aca="false">B12/B$22*B$24</f>
        <v>1.52797427652733</v>
      </c>
      <c r="D12" s="57" t="s">
        <v>434</v>
      </c>
      <c r="E12" s="59" t="n">
        <f aca="false">IFERROR(INDEX(Correspondance!$D$2:$D$3000,MATCH(A12,Correspondance!$A$2:$A$3000,0)),0)</f>
        <v>7.5</v>
      </c>
      <c r="F12" s="60" t="n">
        <f aca="false">C12*E12</f>
        <v>11.459807073955</v>
      </c>
      <c r="G12" s="61"/>
      <c r="I12" s="63"/>
    </row>
    <row r="13" customFormat="false" ht="18.75" hidden="false" customHeight="true" outlineLevel="0" collapsed="false">
      <c r="A13" s="57" t="s">
        <v>1675</v>
      </c>
      <c r="B13" s="64" t="n">
        <v>0.097</v>
      </c>
      <c r="C13" s="58" t="n">
        <f aca="false">B13/B$22*B$24</f>
        <v>0.152483029653448</v>
      </c>
      <c r="D13" s="57" t="s">
        <v>682</v>
      </c>
      <c r="E13" s="59" t="n">
        <f aca="false">IFERROR(INDEX(Correspondance!$D$2:$D$3000,MATCH(A13,Correspondance!$A$2:$A$3000,0)),0)</f>
        <v>2.2</v>
      </c>
      <c r="F13" s="60" t="n">
        <f aca="false">C13*E13</f>
        <v>0.335462665237585</v>
      </c>
      <c r="G13" s="61"/>
      <c r="I13" s="63"/>
    </row>
    <row r="14" customFormat="false" ht="15.75" hidden="false" customHeight="false" outlineLevel="0" collapsed="false">
      <c r="A14" s="57" t="s">
        <v>1919</v>
      </c>
      <c r="B14" s="57" t="n">
        <v>0.097</v>
      </c>
      <c r="C14" s="58" t="n">
        <f aca="false">B14/B$22*B$24</f>
        <v>0.152483029653448</v>
      </c>
      <c r="D14" s="57" t="s">
        <v>434</v>
      </c>
      <c r="E14" s="59" t="n">
        <f aca="false">IFERROR(INDEX(Correspondance!$D$2:$D$3000,MATCH(A14,Correspondance!$A$2:$A$3000,0)),0)</f>
        <v>2</v>
      </c>
      <c r="F14" s="60" t="n">
        <f aca="false">C14*E14</f>
        <v>0.304966059306895</v>
      </c>
      <c r="G14" s="61"/>
      <c r="I14" s="63"/>
    </row>
    <row r="15" customFormat="false" ht="15.75" hidden="false" customHeight="false" outlineLevel="0" collapsed="false">
      <c r="A15" s="57" t="s">
        <v>1796</v>
      </c>
      <c r="B15" s="57" t="n">
        <v>0.006</v>
      </c>
      <c r="C15" s="58" t="n">
        <f aca="false">B15/B$22*B$24</f>
        <v>0.00943193997856377</v>
      </c>
      <c r="D15" s="57" t="s">
        <v>434</v>
      </c>
      <c r="E15" s="59" t="n">
        <f aca="false">IFERROR(INDEX(Correspondance!$D$2:$D$3000,MATCH(A15,Correspondance!$A$2:$A$3000,0)),0)</f>
        <v>18</v>
      </c>
      <c r="F15" s="60" t="n">
        <f aca="false">C15*E15</f>
        <v>0.169774919614148</v>
      </c>
      <c r="G15" s="61"/>
      <c r="I15" s="63"/>
    </row>
    <row r="16" customFormat="false" ht="15.75" hidden="false" customHeight="false" outlineLevel="0" collapsed="false">
      <c r="A16" s="57" t="s">
        <v>1735</v>
      </c>
      <c r="B16" s="57"/>
      <c r="C16" s="58" t="n">
        <f aca="false">B16/B$22*B$24</f>
        <v>0</v>
      </c>
      <c r="D16" s="57" t="s">
        <v>434</v>
      </c>
      <c r="E16" s="59" t="n">
        <f aca="false">IFERROR(INDEX(Correspondance!$D$2:$D$3000,MATCH(A16,Correspondance!$A$2:$A$3000,0)),0)</f>
        <v>30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149.80671668453</v>
      </c>
      <c r="G19" s="61"/>
      <c r="I19" s="63"/>
    </row>
    <row r="20" customFormat="false" ht="18.75" hidden="false" customHeight="true" outlineLevel="0" collapsed="false">
      <c r="A20" s="68" t="s">
        <v>2628</v>
      </c>
      <c r="B20" s="69" t="n">
        <f aca="false">F19/B24</f>
        <v>1.36187924258664</v>
      </c>
      <c r="C20" s="70"/>
      <c r="G20" s="61"/>
      <c r="I20" s="63"/>
    </row>
    <row r="21" customFormat="false" ht="15.75" hidden="false" customHeight="false" outlineLevel="0" collapsed="false">
      <c r="A21" s="71" t="s">
        <v>2629</v>
      </c>
      <c r="B21" s="71" t="n">
        <f aca="false">SUM(B3:B18)</f>
        <v>19.593</v>
      </c>
      <c r="C21" s="66"/>
      <c r="G21" s="61"/>
      <c r="I21" s="63"/>
    </row>
    <row r="22" customFormat="false" ht="15.75" hidden="false" customHeight="false" outlineLevel="0" collapsed="false">
      <c r="A22" s="0" t="s">
        <v>2630</v>
      </c>
      <c r="B22" s="72" t="n">
        <f aca="false">B21/B23</f>
        <v>69.975</v>
      </c>
      <c r="C22" s="66"/>
      <c r="G22" s="61"/>
      <c r="I22" s="63"/>
    </row>
    <row r="23" customFormat="false" ht="15.75" hidden="false" customHeight="false" outlineLevel="0" collapsed="false">
      <c r="A23" s="0" t="s">
        <v>2631</v>
      </c>
      <c r="B23" s="0" t="n">
        <v>0.28</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174</v>
      </c>
      <c r="B1" s="50"/>
      <c r="C1" s="50"/>
      <c r="D1" s="50"/>
      <c r="E1" s="51" t="s">
        <v>2619</v>
      </c>
      <c r="F1" s="51"/>
      <c r="G1" s="52" t="s">
        <v>2841</v>
      </c>
    </row>
    <row r="2" customFormat="false" ht="24.75" hidden="false" customHeight="true" outlineLevel="0" collapsed="false">
      <c r="A2" s="50"/>
      <c r="B2" s="50"/>
      <c r="C2" s="50"/>
      <c r="D2" s="50"/>
      <c r="E2" s="53" t="s">
        <v>2824</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1934</v>
      </c>
      <c r="B4" s="57" t="n">
        <v>8.41</v>
      </c>
      <c r="C4" s="58" t="n">
        <f aca="false">B4/B$22*B$24</f>
        <v>13.2182320441989</v>
      </c>
      <c r="D4" s="57" t="s">
        <v>434</v>
      </c>
      <c r="E4" s="59" t="n">
        <f aca="false">IFERROR(INDEX(Correspondance!$D$2:$D$3000,MATCH(A4,Correspondance!$A$2:$A$3000,0)),0)</f>
        <v>16.5</v>
      </c>
      <c r="F4" s="60" t="n">
        <f aca="false">C4*E4</f>
        <v>218.100828729282</v>
      </c>
      <c r="G4" s="61" t="s">
        <v>2842</v>
      </c>
    </row>
    <row r="5" customFormat="false" ht="15.75" hidden="false" customHeight="false" outlineLevel="0" collapsed="false">
      <c r="A5" s="57" t="s">
        <v>1675</v>
      </c>
      <c r="B5" s="57" t="n">
        <v>0.168</v>
      </c>
      <c r="C5" s="58" t="n">
        <f aca="false">B5/B$22*B$24</f>
        <v>0.264050295294342</v>
      </c>
      <c r="D5" s="57" t="s">
        <v>682</v>
      </c>
      <c r="E5" s="59" t="n">
        <f aca="false">IFERROR(INDEX(Correspondance!$D$2:$D$3000,MATCH(A5,Correspondance!$A$2:$A$3000,0)),0)</f>
        <v>2.2</v>
      </c>
      <c r="F5" s="60" t="n">
        <f aca="false">C5*E5</f>
        <v>0.580910649647552</v>
      </c>
      <c r="G5" s="61"/>
      <c r="I5" s="62"/>
    </row>
    <row r="6" customFormat="false" ht="15.75" hidden="false" customHeight="false" outlineLevel="0" collapsed="false">
      <c r="A6" s="57" t="s">
        <v>1919</v>
      </c>
      <c r="B6" s="57" t="n">
        <v>0.084</v>
      </c>
      <c r="C6" s="58" t="n">
        <f aca="false">B6/B$22*B$24</f>
        <v>0.132025147647171</v>
      </c>
      <c r="D6" s="57" t="s">
        <v>434</v>
      </c>
      <c r="E6" s="59" t="n">
        <f aca="false">IFERROR(INDEX(Correspondance!$D$2:$D$3000,MATCH(A6,Correspondance!$A$2:$A$3000,0)),0)</f>
        <v>2</v>
      </c>
      <c r="F6" s="60" t="n">
        <f aca="false">C6*E6</f>
        <v>0.264050295294342</v>
      </c>
      <c r="G6" s="61"/>
      <c r="I6" s="63"/>
    </row>
    <row r="7" customFormat="false" ht="15.75" hidden="false" customHeight="false" outlineLevel="0" collapsed="false">
      <c r="A7" s="57" t="s">
        <v>1796</v>
      </c>
      <c r="B7" s="57" t="n">
        <v>0.005</v>
      </c>
      <c r="C7" s="58" t="n">
        <f aca="false">B7/B$22*B$24</f>
        <v>0.00785863974090303</v>
      </c>
      <c r="D7" s="57" t="s">
        <v>434</v>
      </c>
      <c r="E7" s="59" t="n">
        <f aca="false">IFERROR(INDEX(Correspondance!$D$2:$D$3000,MATCH(A7,Correspondance!$A$2:$A$3000,0)),0)</f>
        <v>18</v>
      </c>
      <c r="F7" s="60" t="n">
        <f aca="false">C7*E7</f>
        <v>0.141455515336255</v>
      </c>
      <c r="G7" s="61"/>
      <c r="I7" s="63"/>
    </row>
    <row r="8" customFormat="false" ht="15.75" hidden="false" customHeight="false" outlineLevel="0" collapsed="false">
      <c r="A8" s="57" t="s">
        <v>1491</v>
      </c>
      <c r="B8" s="57" t="n">
        <v>0.252</v>
      </c>
      <c r="C8" s="58" t="n">
        <f aca="false">B8/B$22*B$24</f>
        <v>0.396075442941513</v>
      </c>
      <c r="D8" s="57" t="s">
        <v>434</v>
      </c>
      <c r="E8" s="59" t="n">
        <f aca="false">IFERROR(INDEX(Correspondance!$D$2:$D$3000,MATCH(A8,Correspondance!$A$2:$A$3000,0)),0)</f>
        <v>9</v>
      </c>
      <c r="F8" s="60" t="n">
        <f aca="false">C8*E8</f>
        <v>3.56467898647361</v>
      </c>
      <c r="G8" s="61"/>
      <c r="I8" s="63"/>
    </row>
    <row r="9" customFormat="false" ht="15.75" hidden="false" customHeight="false" outlineLevel="0" collapsed="false">
      <c r="A9" s="57" t="s">
        <v>947</v>
      </c>
      <c r="B9" s="57" t="n">
        <v>0.252</v>
      </c>
      <c r="C9" s="58" t="n">
        <f aca="false">B9/B$22*B$24</f>
        <v>0.396075442941513</v>
      </c>
      <c r="D9" s="57" t="s">
        <v>434</v>
      </c>
      <c r="E9" s="59" t="n">
        <f aca="false">IFERROR(INDEX(Correspondance!$D$2:$D$3000,MATCH(A9,Correspondance!$A$2:$A$3000,0)),0)</f>
        <v>4.5</v>
      </c>
      <c r="F9" s="60" t="n">
        <f aca="false">C9*E9</f>
        <v>1.78233949323681</v>
      </c>
      <c r="G9" s="61"/>
      <c r="I9" s="63"/>
    </row>
    <row r="10" customFormat="false" ht="15.75" hidden="false" customHeight="false" outlineLevel="0" collapsed="false">
      <c r="A10" s="57" t="s">
        <v>1098</v>
      </c>
      <c r="B10" s="57" t="n">
        <v>0.067</v>
      </c>
      <c r="C10" s="58" t="n">
        <f aca="false">B10/B$22*B$24</f>
        <v>0.105305772528101</v>
      </c>
      <c r="D10" s="57" t="s">
        <v>434</v>
      </c>
      <c r="E10" s="59" t="n">
        <f aca="false">IFERROR(INDEX(Correspondance!$D$2:$D$3000,MATCH(A10,Correspondance!$A$2:$A$3000,0)),0)</f>
        <v>12</v>
      </c>
      <c r="F10" s="60" t="n">
        <f aca="false">C10*E10</f>
        <v>1.26366927033721</v>
      </c>
      <c r="G10" s="61"/>
      <c r="I10" s="63"/>
    </row>
    <row r="11" customFormat="false" ht="15.75" hidden="false" customHeight="false" outlineLevel="0" collapsed="false">
      <c r="A11" s="57" t="s">
        <v>1459</v>
      </c>
      <c r="B11" s="57" t="n">
        <v>1.26</v>
      </c>
      <c r="C11" s="58" t="n">
        <f aca="false">B11/B$22*B$24</f>
        <v>1.98037721470756</v>
      </c>
      <c r="D11" s="57" t="s">
        <v>682</v>
      </c>
      <c r="E11" s="59" t="n">
        <f aca="false">IFERROR(INDEX(Correspondance!$D$2:$D$3000,MATCH(A11,Correspondance!$A$2:$A$3000,0)),0)</f>
        <v>0</v>
      </c>
      <c r="F11" s="60" t="n">
        <f aca="false">C11*E11</f>
        <v>0</v>
      </c>
      <c r="G11" s="61"/>
      <c r="I11" s="63"/>
    </row>
    <row r="12" customFormat="false" ht="18.75" hidden="false" customHeight="true" outlineLevel="0" collapsed="false">
      <c r="A12" s="57" t="s">
        <v>1945</v>
      </c>
      <c r="B12" s="64"/>
      <c r="C12" s="58" t="n">
        <f aca="false">B12/B$22*B$24</f>
        <v>0</v>
      </c>
      <c r="D12" s="57" t="s">
        <v>434</v>
      </c>
      <c r="E12" s="59" t="n">
        <f aca="false">IFERROR(INDEX(Correspondance!$D$2:$D$3000,MATCH(A12,Correspondance!$A$2:$A$3000,0)),0)</f>
        <v>16</v>
      </c>
      <c r="F12" s="60" t="n">
        <f aca="false">C12*E12</f>
        <v>0</v>
      </c>
      <c r="G12" s="61"/>
      <c r="I12" s="63"/>
    </row>
    <row r="13" customFormat="false" ht="18.75" hidden="false" customHeight="true" outlineLevel="0" collapsed="false">
      <c r="A13" s="57"/>
      <c r="B13" s="64"/>
      <c r="C13" s="58" t="n">
        <f aca="false">B13/B$22*B$24</f>
        <v>0</v>
      </c>
      <c r="D13" s="57"/>
      <c r="E13" s="65" t="n">
        <f aca="false">IFERROR(INDEX(Correspondance!$D$2:$D$3000,MATCH(A13,Correspondance!$A$2:$A$3000,0)),0)</f>
        <v>0</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225.697932939608</v>
      </c>
      <c r="G19" s="61"/>
      <c r="I19" s="63"/>
    </row>
    <row r="20" customFormat="false" ht="18.75" hidden="false" customHeight="true" outlineLevel="0" collapsed="false">
      <c r="A20" s="68" t="s">
        <v>2628</v>
      </c>
      <c r="B20" s="69" t="n">
        <f aca="false">F19/B24</f>
        <v>2.05179939036007</v>
      </c>
      <c r="C20" s="70"/>
      <c r="G20" s="61"/>
      <c r="I20" s="63"/>
    </row>
    <row r="21" customFormat="false" ht="15.75" hidden="false" customHeight="false" outlineLevel="0" collapsed="false">
      <c r="A21" s="71" t="s">
        <v>2629</v>
      </c>
      <c r="B21" s="71" t="n">
        <f aca="false">SUM(B3:B18)</f>
        <v>10.498</v>
      </c>
      <c r="C21" s="66"/>
      <c r="G21" s="61"/>
      <c r="I21" s="63"/>
    </row>
    <row r="22" customFormat="false" ht="15.75" hidden="false" customHeight="false" outlineLevel="0" collapsed="false">
      <c r="A22" s="0" t="s">
        <v>2630</v>
      </c>
      <c r="B22" s="72" t="n">
        <f aca="false">B21/B23</f>
        <v>69.9866666666667</v>
      </c>
      <c r="C22" s="66"/>
      <c r="G22" s="61"/>
      <c r="I22" s="63"/>
    </row>
    <row r="23" customFormat="false" ht="15.75" hidden="false" customHeight="false" outlineLevel="0" collapsed="false">
      <c r="A23" s="0" t="s">
        <v>2631</v>
      </c>
      <c r="B23" s="0" t="n">
        <v>0.15</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175</v>
      </c>
      <c r="B1" s="50"/>
      <c r="C1" s="50"/>
      <c r="D1" s="50"/>
      <c r="E1" s="51" t="s">
        <v>2619</v>
      </c>
      <c r="F1" s="51"/>
      <c r="G1" s="52" t="s">
        <v>2843</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1936</v>
      </c>
      <c r="B4" s="57" t="n">
        <v>7.08</v>
      </c>
      <c r="C4" s="58" t="n">
        <f aca="false">B4/B$22*B$24</f>
        <v>11.1269370260468</v>
      </c>
      <c r="D4" s="57" t="s">
        <v>434</v>
      </c>
      <c r="E4" s="59" t="n">
        <f aca="false">IFERROR(INDEX(Correspondance!$D$2:$D$3000,MATCH(A4,Correspondance!$A$2:$A$3000,0)),0)</f>
        <v>9</v>
      </c>
      <c r="F4" s="60" t="n">
        <f aca="false">C4*E4</f>
        <v>100.142433234421</v>
      </c>
      <c r="G4" s="61" t="s">
        <v>2844</v>
      </c>
    </row>
    <row r="5" customFormat="false" ht="15.75" hidden="false" customHeight="false" outlineLevel="0" collapsed="false">
      <c r="A5" s="57" t="s">
        <v>1675</v>
      </c>
      <c r="B5" s="57" t="n">
        <v>0.142</v>
      </c>
      <c r="C5" s="58" t="n">
        <f aca="false">B5/B$22*B$24</f>
        <v>0.223167381030883</v>
      </c>
      <c r="D5" s="57" t="s">
        <v>682</v>
      </c>
      <c r="E5" s="59" t="n">
        <f aca="false">IFERROR(INDEX(Correspondance!$D$2:$D$3000,MATCH(A5,Correspondance!$A$2:$A$3000,0)),0)</f>
        <v>2.2</v>
      </c>
      <c r="F5" s="60" t="n">
        <f aca="false">C5*E5</f>
        <v>0.490968238267942</v>
      </c>
      <c r="G5" s="61"/>
      <c r="I5" s="62"/>
    </row>
    <row r="6" customFormat="false" ht="15.75" hidden="false" customHeight="false" outlineLevel="0" collapsed="false">
      <c r="A6" s="57" t="s">
        <v>1919</v>
      </c>
      <c r="B6" s="57" t="n">
        <v>0.042</v>
      </c>
      <c r="C6" s="58" t="n">
        <f aca="false">B6/B$22*B$24</f>
        <v>0.0660072535443455</v>
      </c>
      <c r="D6" s="57" t="s">
        <v>434</v>
      </c>
      <c r="E6" s="59" t="n">
        <f aca="false">IFERROR(INDEX(Correspondance!$D$2:$D$3000,MATCH(A6,Correspondance!$A$2:$A$3000,0)),0)</f>
        <v>2</v>
      </c>
      <c r="F6" s="60" t="n">
        <f aca="false">C6*E6</f>
        <v>0.132014507088691</v>
      </c>
      <c r="G6" s="61"/>
      <c r="I6" s="63"/>
    </row>
    <row r="7" customFormat="false" ht="15.75" hidden="false" customHeight="false" outlineLevel="0" collapsed="false">
      <c r="A7" s="57" t="s">
        <v>1796</v>
      </c>
      <c r="B7" s="57" t="n">
        <v>0.004</v>
      </c>
      <c r="C7" s="58" t="n">
        <f aca="false">B7/B$22*B$24</f>
        <v>0.00628640509946148</v>
      </c>
      <c r="D7" s="57" t="s">
        <v>434</v>
      </c>
      <c r="E7" s="59" t="n">
        <f aca="false">IFERROR(INDEX(Correspondance!$D$2:$D$3000,MATCH(A7,Correspondance!$A$2:$A$3000,0)),0)</f>
        <v>18</v>
      </c>
      <c r="F7" s="60" t="n">
        <f aca="false">C7*E7</f>
        <v>0.113155291790307</v>
      </c>
      <c r="G7" s="61"/>
      <c r="I7" s="63"/>
    </row>
    <row r="8" customFormat="false" ht="15.75" hidden="false" customHeight="false" outlineLevel="0" collapsed="false">
      <c r="A8" s="57" t="s">
        <v>947</v>
      </c>
      <c r="B8" s="57" t="n">
        <v>0.212</v>
      </c>
      <c r="C8" s="58" t="n">
        <f aca="false">B8/B$22*B$24</f>
        <v>0.333179470271458</v>
      </c>
      <c r="D8" s="57" t="s">
        <v>434</v>
      </c>
      <c r="E8" s="59" t="n">
        <f aca="false">IFERROR(INDEX(Correspondance!$D$2:$D$3000,MATCH(A8,Correspondance!$A$2:$A$3000,0)),0)</f>
        <v>4.5</v>
      </c>
      <c r="F8" s="60" t="n">
        <f aca="false">C8*E8</f>
        <v>1.49930761622156</v>
      </c>
      <c r="G8" s="61"/>
      <c r="I8" s="63"/>
    </row>
    <row r="9" customFormat="false" ht="15.75" hidden="false" customHeight="false" outlineLevel="0" collapsed="false">
      <c r="A9" s="57" t="s">
        <v>1977</v>
      </c>
      <c r="B9" s="57" t="n">
        <v>0.354</v>
      </c>
      <c r="C9" s="58" t="n">
        <f aca="false">B9/B$22*B$24</f>
        <v>0.556346851302341</v>
      </c>
      <c r="D9" s="57" t="s">
        <v>682</v>
      </c>
      <c r="E9" s="59" t="n">
        <f aca="false">IFERROR(INDEX(Correspondance!$D$2:$D$3000,MATCH(A9,Correspondance!$A$2:$A$3000,0)),0)</f>
        <v>2</v>
      </c>
      <c r="F9" s="60" t="n">
        <f aca="false">C9*E9</f>
        <v>1.11269370260468</v>
      </c>
      <c r="G9" s="61"/>
      <c r="I9" s="63"/>
    </row>
    <row r="10" customFormat="false" ht="15.75" hidden="false" customHeight="false" outlineLevel="0" collapsed="false">
      <c r="A10" s="57" t="s">
        <v>1459</v>
      </c>
      <c r="B10" s="57" t="n">
        <v>1.06</v>
      </c>
      <c r="C10" s="58" t="n">
        <f aca="false">B10/B$22*B$24</f>
        <v>1.66589735135729</v>
      </c>
      <c r="D10" s="57" t="s">
        <v>682</v>
      </c>
      <c r="E10" s="59" t="n">
        <f aca="false">IFERROR(INDEX(Correspondance!$D$2:$D$3000,MATCH(A10,Correspondance!$A$2:$A$3000,0)),0)</f>
        <v>0</v>
      </c>
      <c r="F10" s="60" t="n">
        <f aca="false">C10*E10</f>
        <v>0</v>
      </c>
      <c r="G10" s="61"/>
      <c r="I10" s="63"/>
    </row>
    <row r="11" customFormat="false" ht="15.75" hidden="false" customHeight="false" outlineLevel="0" collapsed="false">
      <c r="A11" s="57" t="s">
        <v>1098</v>
      </c>
      <c r="B11" s="57" t="n">
        <v>0.057</v>
      </c>
      <c r="C11" s="58" t="n">
        <f aca="false">B11/B$22*B$24</f>
        <v>0.0895812726673261</v>
      </c>
      <c r="D11" s="57" t="s">
        <v>434</v>
      </c>
      <c r="E11" s="59" t="n">
        <f aca="false">IFERROR(INDEX(Correspondance!$D$2:$D$3000,MATCH(A11,Correspondance!$A$2:$A$3000,0)),0)</f>
        <v>12</v>
      </c>
      <c r="F11" s="60" t="n">
        <f aca="false">C11*E11</f>
        <v>1.07497527200791</v>
      </c>
      <c r="G11" s="61"/>
      <c r="I11" s="63"/>
    </row>
    <row r="12" customFormat="false" ht="18.75" hidden="false" customHeight="true" outlineLevel="0" collapsed="false">
      <c r="A12" s="57" t="s">
        <v>1084</v>
      </c>
      <c r="B12" s="64" t="n">
        <v>0.042</v>
      </c>
      <c r="C12" s="58" t="n">
        <f aca="false">B12/B$22*B$24</f>
        <v>0.0660072535443455</v>
      </c>
      <c r="D12" s="57" t="s">
        <v>434</v>
      </c>
      <c r="E12" s="59" t="n">
        <f aca="false">IFERROR(INDEX(Correspondance!$D$2:$D$3000,MATCH(A12,Correspondance!$A$2:$A$3000,0)),0)</f>
        <v>2.2</v>
      </c>
      <c r="F12" s="60" t="n">
        <f aca="false">C12*E12</f>
        <v>0.14521595779756</v>
      </c>
      <c r="G12" s="61"/>
      <c r="I12" s="63"/>
    </row>
    <row r="13" customFormat="false" ht="18.75" hidden="false" customHeight="true" outlineLevel="0" collapsed="false">
      <c r="A13" s="57" t="s">
        <v>1491</v>
      </c>
      <c r="B13" s="64" t="n">
        <v>0.106</v>
      </c>
      <c r="C13" s="58" t="n">
        <f aca="false">B13/B$22*B$24</f>
        <v>0.166589735135729</v>
      </c>
      <c r="D13" s="57" t="s">
        <v>434</v>
      </c>
      <c r="E13" s="59" t="n">
        <f aca="false">IFERROR(INDEX(Correspondance!$D$2:$D$3000,MATCH(A13,Correspondance!$A$2:$A$3000,0)),0)</f>
        <v>9</v>
      </c>
      <c r="F13" s="60" t="n">
        <f aca="false">C13*E13</f>
        <v>1.49930761622156</v>
      </c>
      <c r="G13" s="61"/>
      <c r="I13" s="63"/>
    </row>
    <row r="14" customFormat="false" ht="15.75" hidden="false" customHeight="false" outlineLevel="0" collapsed="false">
      <c r="A14" s="57" t="s">
        <v>1777</v>
      </c>
      <c r="B14" s="57"/>
      <c r="C14" s="58" t="n">
        <f aca="false">B14/B$22*B$24</f>
        <v>0</v>
      </c>
      <c r="D14" s="57" t="s">
        <v>434</v>
      </c>
      <c r="E14" s="59" t="n">
        <f aca="false">IFERROR(INDEX(Correspondance!$D$2:$D$3000,MATCH(A14,Correspondance!$A$2:$A$3000,0)),0)</f>
        <v>8</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106.210071436422</v>
      </c>
      <c r="G19" s="61"/>
      <c r="I19" s="63"/>
    </row>
    <row r="20" customFormat="false" ht="18.75" hidden="false" customHeight="true" outlineLevel="0" collapsed="false">
      <c r="A20" s="68" t="s">
        <v>2628</v>
      </c>
      <c r="B20" s="69" t="n">
        <f aca="false">F19/B24</f>
        <v>0.965546103967469</v>
      </c>
      <c r="C20" s="70"/>
      <c r="G20" s="61"/>
      <c r="I20" s="63"/>
    </row>
    <row r="21" customFormat="false" ht="15.75" hidden="false" customHeight="false" outlineLevel="0" collapsed="false">
      <c r="A21" s="71" t="s">
        <v>2629</v>
      </c>
      <c r="B21" s="71" t="n">
        <f aca="false">SUM(B3:B18)</f>
        <v>9.099</v>
      </c>
      <c r="C21" s="66"/>
      <c r="G21" s="61"/>
      <c r="I21" s="63"/>
    </row>
    <row r="22" customFormat="false" ht="15.75" hidden="false" customHeight="false" outlineLevel="0" collapsed="false">
      <c r="A22" s="0" t="s">
        <v>2630</v>
      </c>
      <c r="B22" s="72" t="n">
        <f aca="false">B21/B23</f>
        <v>69.9923076923077</v>
      </c>
      <c r="C22" s="66"/>
      <c r="G22" s="61"/>
      <c r="I22" s="63"/>
    </row>
    <row r="23" customFormat="false" ht="15.75" hidden="false" customHeight="false" outlineLevel="0" collapsed="false">
      <c r="A23" s="0" t="s">
        <v>2631</v>
      </c>
      <c r="B23" s="0" t="n">
        <v>0.13</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176</v>
      </c>
      <c r="B1" s="50"/>
      <c r="C1" s="50"/>
      <c r="D1" s="50"/>
      <c r="E1" s="51" t="s">
        <v>2619</v>
      </c>
      <c r="F1" s="51"/>
      <c r="G1" s="52" t="s">
        <v>2838</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1970</v>
      </c>
      <c r="B4" s="57" t="n">
        <v>5.68</v>
      </c>
      <c r="C4" s="58" t="n">
        <f aca="false">B4/B$22*B$24</f>
        <v>8.92525891536146</v>
      </c>
      <c r="D4" s="57" t="s">
        <v>434</v>
      </c>
      <c r="E4" s="59" t="n">
        <f aca="false">IFERROR(INDEX(Correspondance!$D$2:$D$3000,MATCH(A4,Correspondance!$A$2:$A$3000,0)),0)</f>
        <v>12.5</v>
      </c>
      <c r="F4" s="60" t="n">
        <f aca="false">C4*E4</f>
        <v>111.565736442018</v>
      </c>
      <c r="G4" s="61" t="s">
        <v>2845</v>
      </c>
    </row>
    <row r="5" customFormat="false" ht="15.75" hidden="false" customHeight="false" outlineLevel="0" collapsed="false">
      <c r="A5" s="57" t="s">
        <v>903</v>
      </c>
      <c r="B5" s="57" t="n">
        <v>4.73</v>
      </c>
      <c r="C5" s="58" t="n">
        <f aca="false">B5/B$22*B$24</f>
        <v>7.43247793479925</v>
      </c>
      <c r="D5" s="57" t="s">
        <v>434</v>
      </c>
      <c r="E5" s="59" t="n">
        <f aca="false">IFERROR(INDEX(Correspondance!$D$2:$D$3000,MATCH(A5,Correspondance!$A$2:$A$3000,0)),0)</f>
        <v>5.5</v>
      </c>
      <c r="F5" s="60" t="n">
        <f aca="false">C5*E5</f>
        <v>40.8786286413959</v>
      </c>
      <c r="G5" s="61"/>
      <c r="I5" s="62"/>
    </row>
    <row r="6" customFormat="false" ht="15.75" hidden="false" customHeight="false" outlineLevel="0" collapsed="false">
      <c r="A6" s="57" t="s">
        <v>1001</v>
      </c>
      <c r="B6" s="57" t="n">
        <v>0.757</v>
      </c>
      <c r="C6" s="58" t="n">
        <f aca="false">B6/B$22*B$24</f>
        <v>1.189510739248</v>
      </c>
      <c r="D6" s="57" t="s">
        <v>434</v>
      </c>
      <c r="E6" s="59" t="n">
        <f aca="false">IFERROR(INDEX(Correspondance!$D$2:$D$3000,MATCH(A6,Correspondance!$A$2:$A$3000,0)),0)</f>
        <v>1.8</v>
      </c>
      <c r="F6" s="60" t="n">
        <f aca="false">C6*E6</f>
        <v>2.1411193306464</v>
      </c>
      <c r="G6" s="61"/>
      <c r="I6" s="63"/>
    </row>
    <row r="7" customFormat="false" ht="15.75" hidden="false" customHeight="false" outlineLevel="0" collapsed="false">
      <c r="A7" s="57" t="s">
        <v>894</v>
      </c>
      <c r="B7" s="57" t="n">
        <v>0.047</v>
      </c>
      <c r="C7" s="58" t="n">
        <f aca="false">B7/B$22*B$24</f>
        <v>0.0738533748278149</v>
      </c>
      <c r="D7" s="57" t="s">
        <v>434</v>
      </c>
      <c r="E7" s="59" t="n">
        <f aca="false">IFERROR(INDEX(Correspondance!$D$2:$D$3000,MATCH(A7,Correspondance!$A$2:$A$3000,0)),0)</f>
        <v>5.5</v>
      </c>
      <c r="F7" s="60" t="n">
        <f aca="false">C7*E7</f>
        <v>0.406193561552982</v>
      </c>
      <c r="G7" s="61"/>
      <c r="I7" s="63"/>
    </row>
    <row r="8" customFormat="false" ht="15.75" hidden="false" customHeight="false" outlineLevel="0" collapsed="false">
      <c r="A8" s="57" t="s">
        <v>1856</v>
      </c>
      <c r="B8" s="57" t="n">
        <v>2.84</v>
      </c>
      <c r="C8" s="58" t="n">
        <f aca="false">B8/B$22*B$24</f>
        <v>4.46262945768073</v>
      </c>
      <c r="D8" s="57" t="s">
        <v>434</v>
      </c>
      <c r="E8" s="59" t="n">
        <f aca="false">IFERROR(INDEX(Correspondance!$D$2:$D$3000,MATCH(A8,Correspondance!$A$2:$A$3000,0)),0)</f>
        <v>1.5</v>
      </c>
      <c r="F8" s="60" t="n">
        <f aca="false">C8*E8</f>
        <v>6.6939441865211</v>
      </c>
      <c r="G8" s="61"/>
      <c r="I8" s="63"/>
    </row>
    <row r="9" customFormat="false" ht="15.75" hidden="false" customHeight="false" outlineLevel="0" collapsed="false">
      <c r="A9" s="57" t="s">
        <v>1197</v>
      </c>
      <c r="B9" s="57" t="n">
        <v>0.142</v>
      </c>
      <c r="C9" s="58" t="n">
        <f aca="false">B9/B$22*B$24</f>
        <v>0.223131472884037</v>
      </c>
      <c r="D9" s="57" t="s">
        <v>434</v>
      </c>
      <c r="E9" s="59" t="n">
        <f aca="false">IFERROR(INDEX(Correspondance!$D$2:$D$3000,MATCH(A9,Correspondance!$A$2:$A$3000,0)),0)</f>
        <v>2.6</v>
      </c>
      <c r="F9" s="60" t="n">
        <f aca="false">C9*E9</f>
        <v>0.580141829498495</v>
      </c>
      <c r="G9" s="61"/>
      <c r="I9" s="63"/>
    </row>
    <row r="10" customFormat="false" ht="15.75" hidden="false" customHeight="false" outlineLevel="0" collapsed="false">
      <c r="A10" s="57" t="s">
        <v>1692</v>
      </c>
      <c r="B10" s="57" t="n">
        <v>3.79</v>
      </c>
      <c r="C10" s="58" t="n">
        <f aca="false">B10/B$22*B$24</f>
        <v>5.95541043824295</v>
      </c>
      <c r="D10" s="57" t="s">
        <v>682</v>
      </c>
      <c r="E10" s="59" t="n">
        <f aca="false">IFERROR(INDEX(Correspondance!$D$2:$D$3000,MATCH(A10,Correspondance!$A$2:$A$3000,0)),0)</f>
        <v>2.4</v>
      </c>
      <c r="F10" s="60" t="n">
        <f aca="false">C10*E10</f>
        <v>14.2929850517831</v>
      </c>
      <c r="G10" s="61"/>
      <c r="I10" s="63"/>
    </row>
    <row r="11" customFormat="false" ht="15.75" hidden="false" customHeight="false" outlineLevel="0" collapsed="false">
      <c r="A11" s="57" t="s">
        <v>1491</v>
      </c>
      <c r="B11" s="57" t="n">
        <v>0.284</v>
      </c>
      <c r="C11" s="58" t="n">
        <f aca="false">B11/B$22*B$24</f>
        <v>0.446262945768073</v>
      </c>
      <c r="D11" s="57" t="s">
        <v>434</v>
      </c>
      <c r="E11" s="59" t="n">
        <f aca="false">IFERROR(INDEX(Correspondance!$D$2:$D$3000,MATCH(A11,Correspondance!$A$2:$A$3000,0)),0)</f>
        <v>9</v>
      </c>
      <c r="F11" s="60" t="n">
        <f aca="false">C11*E11</f>
        <v>4.01636651191266</v>
      </c>
      <c r="G11" s="61"/>
      <c r="I11" s="63"/>
    </row>
    <row r="12" customFormat="false" ht="18.75" hidden="false" customHeight="true" outlineLevel="0" collapsed="false">
      <c r="A12" s="57" t="s">
        <v>1616</v>
      </c>
      <c r="B12" s="64" t="n">
        <v>0.284</v>
      </c>
      <c r="C12" s="58" t="n">
        <f aca="false">B12/B$22*B$24</f>
        <v>0.446262945768073</v>
      </c>
      <c r="D12" s="57" t="s">
        <v>434</v>
      </c>
      <c r="E12" s="59" t="n">
        <f aca="false">IFERROR(INDEX(Correspondance!$D$2:$D$3000,MATCH(A12,Correspondance!$A$2:$A$3000,0)),0)</f>
        <v>0.85</v>
      </c>
      <c r="F12" s="60" t="n">
        <f aca="false">C12*E12</f>
        <v>0.379323503902862</v>
      </c>
      <c r="G12" s="61"/>
      <c r="I12" s="63"/>
    </row>
    <row r="13" customFormat="false" ht="18.75" hidden="false" customHeight="true" outlineLevel="0" collapsed="false">
      <c r="A13" s="57" t="s">
        <v>706</v>
      </c>
      <c r="B13" s="64" t="n">
        <v>0.757</v>
      </c>
      <c r="C13" s="58" t="n">
        <f aca="false">B13/B$22*B$24</f>
        <v>1.189510739248</v>
      </c>
      <c r="D13" s="57" t="s">
        <v>434</v>
      </c>
      <c r="E13" s="59" t="n">
        <f aca="false">IFERROR(INDEX(Correspondance!$D$2:$D$3000,MATCH(A13,Correspondance!$A$2:$A$3000,0)),0)</f>
        <v>7.5</v>
      </c>
      <c r="F13" s="60" t="n">
        <f aca="false">C13*E13</f>
        <v>8.92133054435998</v>
      </c>
      <c r="G13" s="61"/>
      <c r="I13" s="63"/>
    </row>
    <row r="14" customFormat="false" ht="15.75" hidden="false" customHeight="false" outlineLevel="0" collapsed="false">
      <c r="A14" s="57" t="s">
        <v>1120</v>
      </c>
      <c r="B14" s="57" t="n">
        <v>0.189</v>
      </c>
      <c r="C14" s="58" t="n">
        <f aca="false">B14/B$22*B$24</f>
        <v>0.296984847711851</v>
      </c>
      <c r="D14" s="57" t="s">
        <v>682</v>
      </c>
      <c r="E14" s="59" t="n">
        <f aca="false">IFERROR(INDEX(Correspondance!$D$2:$D$3000,MATCH(A14,Correspondance!$A$2:$A$3000,0)),0)</f>
        <v>7.5</v>
      </c>
      <c r="F14" s="60" t="n">
        <f aca="false">C14*E14</f>
        <v>2.22738635783889</v>
      </c>
      <c r="G14" s="61"/>
      <c r="I14" s="63"/>
    </row>
    <row r="15" customFormat="false" ht="15.75" hidden="false" customHeight="false" outlineLevel="0" collapsed="false">
      <c r="A15" s="57" t="s">
        <v>1919</v>
      </c>
      <c r="B15" s="57" t="n">
        <v>0.095</v>
      </c>
      <c r="C15" s="58" t="n">
        <f aca="false">B15/B$22*B$24</f>
        <v>0.149278098056222</v>
      </c>
      <c r="D15" s="57" t="s">
        <v>434</v>
      </c>
      <c r="E15" s="59" t="n">
        <f aca="false">IFERROR(INDEX(Correspondance!$D$2:$D$3000,MATCH(A15,Correspondance!$A$2:$A$3000,0)),0)</f>
        <v>2</v>
      </c>
      <c r="F15" s="60" t="n">
        <f aca="false">C15*E15</f>
        <v>0.298556196112443</v>
      </c>
      <c r="G15" s="61"/>
      <c r="I15" s="63"/>
    </row>
    <row r="16" customFormat="false" ht="15.75" hidden="false" customHeight="false" outlineLevel="0" collapsed="false">
      <c r="A16" s="57" t="s">
        <v>1796</v>
      </c>
      <c r="B16" s="57" t="n">
        <v>0.006</v>
      </c>
      <c r="C16" s="58" t="n">
        <f aca="false">B16/B$22*B$24</f>
        <v>0.00942809040355084</v>
      </c>
      <c r="D16" s="57" t="s">
        <v>434</v>
      </c>
      <c r="E16" s="59" t="n">
        <f aca="false">IFERROR(INDEX(Correspondance!$D$2:$D$3000,MATCH(A16,Correspondance!$A$2:$A$3000,0)),0)</f>
        <v>18</v>
      </c>
      <c r="F16" s="60" t="n">
        <f aca="false">C16*E16</f>
        <v>0.169705627263915</v>
      </c>
      <c r="G16" s="61"/>
      <c r="I16" s="63"/>
    </row>
    <row r="17" customFormat="false" ht="15.75" hidden="false" customHeight="false" outlineLevel="0" collapsed="false">
      <c r="A17" s="57" t="s">
        <v>1523</v>
      </c>
      <c r="B17" s="57"/>
      <c r="C17" s="58" t="n">
        <f aca="false">B17/B$22*B$24</f>
        <v>0</v>
      </c>
      <c r="D17" s="57" t="s">
        <v>434</v>
      </c>
      <c r="E17" s="59" t="n">
        <f aca="false">IFERROR(INDEX(Correspondance!$D$2:$D$3000,MATCH(A17,Correspondance!$A$2:$A$3000,0)),0)</f>
        <v>12</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192.571417784807</v>
      </c>
      <c r="G19" s="61"/>
      <c r="I19" s="63"/>
    </row>
    <row r="20" customFormat="false" ht="18.75" hidden="false" customHeight="true" outlineLevel="0" collapsed="false">
      <c r="A20" s="68" t="s">
        <v>2628</v>
      </c>
      <c r="B20" s="69" t="n">
        <f aca="false">F19/B24</f>
        <v>1.75064925258915</v>
      </c>
      <c r="C20" s="70"/>
      <c r="G20" s="61"/>
      <c r="I20" s="63"/>
    </row>
    <row r="21" customFormat="false" ht="15.75" hidden="false" customHeight="false" outlineLevel="0" collapsed="false">
      <c r="A21" s="71" t="s">
        <v>2629</v>
      </c>
      <c r="B21" s="71" t="n">
        <f aca="false">SUM(B3:B18)</f>
        <v>19.601</v>
      </c>
      <c r="C21" s="66"/>
      <c r="G21" s="61"/>
      <c r="I21" s="63"/>
    </row>
    <row r="22" customFormat="false" ht="15.75" hidden="false" customHeight="false" outlineLevel="0" collapsed="false">
      <c r="A22" s="0" t="s">
        <v>2630</v>
      </c>
      <c r="B22" s="72" t="n">
        <f aca="false">B21/B23</f>
        <v>70.0035714285714</v>
      </c>
      <c r="C22" s="66"/>
      <c r="G22" s="61"/>
      <c r="I22" s="63"/>
    </row>
    <row r="23" customFormat="false" ht="15.75" hidden="false" customHeight="false" outlineLevel="0" collapsed="false">
      <c r="A23" s="0" t="s">
        <v>2631</v>
      </c>
      <c r="B23" s="0" t="n">
        <v>0.28</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178</v>
      </c>
      <c r="B1" s="50"/>
      <c r="C1" s="50"/>
      <c r="D1" s="50"/>
      <c r="E1" s="51" t="s">
        <v>2619</v>
      </c>
      <c r="F1" s="51"/>
      <c r="G1" s="52" t="s">
        <v>2834</v>
      </c>
    </row>
    <row r="2" customFormat="false" ht="24.75" hidden="false" customHeight="true" outlineLevel="0" collapsed="false">
      <c r="A2" s="50"/>
      <c r="B2" s="50"/>
      <c r="C2" s="50"/>
      <c r="D2" s="50"/>
      <c r="E2" s="53" t="s">
        <v>2717</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1662</v>
      </c>
      <c r="B4" s="57" t="n">
        <v>8.24</v>
      </c>
      <c r="C4" s="58" t="n">
        <f aca="false">B4/B$22*B$24</f>
        <v>12.9410085015251</v>
      </c>
      <c r="D4" s="57" t="s">
        <v>434</v>
      </c>
      <c r="E4" s="59" t="n">
        <f aca="false">IFERROR(INDEX(Correspondance!$D$2:$D$3000,MATCH(A4,Correspondance!$A$2:$A$3000,0)),0)</f>
        <v>5</v>
      </c>
      <c r="F4" s="60" t="n">
        <f aca="false">C4*E4</f>
        <v>64.7050425076254</v>
      </c>
      <c r="G4" s="61" t="s">
        <v>2846</v>
      </c>
    </row>
    <row r="5" customFormat="false" ht="15.75" hidden="false" customHeight="false" outlineLevel="0" collapsed="false">
      <c r="A5" s="57" t="s">
        <v>1024</v>
      </c>
      <c r="B5" s="57" t="n">
        <v>1.65</v>
      </c>
      <c r="C5" s="58" t="n">
        <f aca="false">B5/B$22*B$24</f>
        <v>2.59134272178597</v>
      </c>
      <c r="D5" s="57" t="s">
        <v>434</v>
      </c>
      <c r="E5" s="59" t="n">
        <f aca="false">IFERROR(INDEX(Correspondance!$D$2:$D$3000,MATCH(A5,Correspondance!$A$2:$A$3000,0)),0)</f>
        <v>3</v>
      </c>
      <c r="F5" s="60" t="n">
        <f aca="false">C5*E5</f>
        <v>7.77402816535791</v>
      </c>
      <c r="G5" s="61"/>
      <c r="I5" s="62"/>
    </row>
    <row r="6" customFormat="false" ht="15.75" hidden="false" customHeight="false" outlineLevel="0" collapsed="false">
      <c r="A6" s="57" t="s">
        <v>1856</v>
      </c>
      <c r="B6" s="57" t="n">
        <v>2.47</v>
      </c>
      <c r="C6" s="58" t="n">
        <f aca="false">B6/B$22*B$24</f>
        <v>3.87916152897657</v>
      </c>
      <c r="D6" s="57" t="s">
        <v>434</v>
      </c>
      <c r="E6" s="59" t="n">
        <f aca="false">IFERROR(INDEX(Correspondance!$D$2:$D$3000,MATCH(A6,Correspondance!$A$2:$A$3000,0)),0)</f>
        <v>1.5</v>
      </c>
      <c r="F6" s="60" t="n">
        <f aca="false">C6*E6</f>
        <v>5.81874229346486</v>
      </c>
      <c r="G6" s="61"/>
      <c r="I6" s="63"/>
    </row>
    <row r="7" customFormat="false" ht="15.75" hidden="false" customHeight="false" outlineLevel="0" collapsed="false">
      <c r="A7" s="57" t="s">
        <v>1001</v>
      </c>
      <c r="B7" s="57" t="n">
        <v>0.824</v>
      </c>
      <c r="C7" s="58" t="n">
        <f aca="false">B7/B$22*B$24</f>
        <v>1.29410085015251</v>
      </c>
      <c r="D7" s="57" t="s">
        <v>434</v>
      </c>
      <c r="E7" s="59" t="n">
        <f aca="false">IFERROR(INDEX(Correspondance!$D$2:$D$3000,MATCH(A7,Correspondance!$A$2:$A$3000,0)),0)</f>
        <v>1.8</v>
      </c>
      <c r="F7" s="60" t="n">
        <f aca="false">C7*E7</f>
        <v>2.32938153027451</v>
      </c>
      <c r="G7" s="61"/>
      <c r="I7" s="63"/>
    </row>
    <row r="8" customFormat="false" ht="15.75" hidden="false" customHeight="false" outlineLevel="0" collapsed="false">
      <c r="A8" s="57" t="s">
        <v>894</v>
      </c>
      <c r="B8" s="57" t="n">
        <v>0.082</v>
      </c>
      <c r="C8" s="58" t="n">
        <f aca="false">B8/B$22*B$24</f>
        <v>0.12878188071906</v>
      </c>
      <c r="D8" s="57" t="s">
        <v>434</v>
      </c>
      <c r="E8" s="59" t="n">
        <f aca="false">IFERROR(INDEX(Correspondance!$D$2:$D$3000,MATCH(A8,Correspondance!$A$2:$A$3000,0)),0)</f>
        <v>5.5</v>
      </c>
      <c r="F8" s="60" t="n">
        <f aca="false">C8*E8</f>
        <v>0.708300343954831</v>
      </c>
      <c r="G8" s="61"/>
      <c r="I8" s="63"/>
    </row>
    <row r="9" customFormat="false" ht="15.75" hidden="false" customHeight="false" outlineLevel="0" collapsed="false">
      <c r="A9" s="57" t="s">
        <v>1973</v>
      </c>
      <c r="B9" s="57" t="n">
        <v>0.824</v>
      </c>
      <c r="C9" s="58" t="n">
        <f aca="false">B9/B$22*B$24</f>
        <v>1.29410085015251</v>
      </c>
      <c r="D9" s="57" t="s">
        <v>682</v>
      </c>
      <c r="E9" s="59" t="n">
        <f aca="false">IFERROR(INDEX(Correspondance!$D$2:$D$3000,MATCH(A9,Correspondance!$A$2:$A$3000,0)),0)</f>
        <v>2</v>
      </c>
      <c r="F9" s="60" t="n">
        <f aca="false">C9*E9</f>
        <v>2.58820170030502</v>
      </c>
      <c r="G9" s="61"/>
      <c r="I9" s="63"/>
    </row>
    <row r="10" customFormat="false" ht="15.75" hidden="false" customHeight="false" outlineLevel="0" collapsed="false">
      <c r="A10" s="57" t="s">
        <v>1459</v>
      </c>
      <c r="B10" s="57" t="n">
        <v>0.824</v>
      </c>
      <c r="C10" s="58" t="n">
        <f aca="false">B10/B$22*B$24</f>
        <v>1.29410085015251</v>
      </c>
      <c r="D10" s="57" t="s">
        <v>682</v>
      </c>
      <c r="E10" s="59" t="n">
        <f aca="false">IFERROR(INDEX(Correspondance!$D$2:$D$3000,MATCH(A10,Correspondance!$A$2:$A$3000,0)),0)</f>
        <v>0</v>
      </c>
      <c r="F10" s="60" t="n">
        <f aca="false">C10*E10</f>
        <v>0</v>
      </c>
      <c r="G10" s="61"/>
      <c r="I10" s="63"/>
    </row>
    <row r="11" customFormat="false" ht="15.75" hidden="false" customHeight="false" outlineLevel="0" collapsed="false">
      <c r="A11" s="57" t="s">
        <v>1100</v>
      </c>
      <c r="B11" s="57" t="n">
        <v>0.066</v>
      </c>
      <c r="C11" s="58" t="n">
        <f aca="false">B11/B$22*B$24</f>
        <v>0.103653708871439</v>
      </c>
      <c r="D11" s="57" t="s">
        <v>434</v>
      </c>
      <c r="E11" s="59" t="n">
        <f aca="false">IFERROR(INDEX(Correspondance!$D$2:$D$3000,MATCH(A11,Correspondance!$A$2:$A$3000,0)),0)</f>
        <v>10</v>
      </c>
      <c r="F11" s="60" t="n">
        <f aca="false">C11*E11</f>
        <v>1.03653708871439</v>
      </c>
      <c r="G11" s="61"/>
      <c r="I11" s="63"/>
    </row>
    <row r="12" customFormat="false" ht="18.75" hidden="false" customHeight="true" outlineLevel="0" collapsed="false">
      <c r="A12" s="57" t="s">
        <v>1120</v>
      </c>
      <c r="B12" s="64" t="n">
        <v>0.165</v>
      </c>
      <c r="C12" s="58" t="n">
        <f aca="false">B12/B$22*B$24</f>
        <v>0.259134272178597</v>
      </c>
      <c r="D12" s="57" t="s">
        <v>682</v>
      </c>
      <c r="E12" s="59" t="n">
        <f aca="false">IFERROR(INDEX(Correspondance!$D$2:$D$3000,MATCH(A12,Correspondance!$A$2:$A$3000,0)),0)</f>
        <v>7.5</v>
      </c>
      <c r="F12" s="60" t="n">
        <f aca="false">C12*E12</f>
        <v>1.94350704133948</v>
      </c>
      <c r="G12" s="61"/>
      <c r="I12" s="63"/>
    </row>
    <row r="13" customFormat="false" ht="18.75" hidden="false" customHeight="true" outlineLevel="0" collapsed="false">
      <c r="A13" s="57" t="s">
        <v>1084</v>
      </c>
      <c r="B13" s="64" t="n">
        <v>0.165</v>
      </c>
      <c r="C13" s="58" t="n">
        <f aca="false">B13/B$22*B$24</f>
        <v>0.259134272178597</v>
      </c>
      <c r="D13" s="57" t="s">
        <v>434</v>
      </c>
      <c r="E13" s="59" t="n">
        <f aca="false">IFERROR(INDEX(Correspondance!$D$2:$D$3000,MATCH(A13,Correspondance!$A$2:$A$3000,0)),0)</f>
        <v>2.2</v>
      </c>
      <c r="F13" s="60" t="n">
        <f aca="false">C13*E13</f>
        <v>0.570095398792913</v>
      </c>
      <c r="G13" s="61"/>
      <c r="I13" s="63"/>
    </row>
    <row r="14" customFormat="false" ht="15.75" hidden="false" customHeight="false" outlineLevel="0" collapsed="false">
      <c r="A14" s="57" t="s">
        <v>1919</v>
      </c>
      <c r="B14" s="57" t="n">
        <v>0.074</v>
      </c>
      <c r="C14" s="58" t="n">
        <f aca="false">B14/B$22*B$24</f>
        <v>0.11621779479525</v>
      </c>
      <c r="D14" s="57" t="s">
        <v>434</v>
      </c>
      <c r="E14" s="59" t="n">
        <f aca="false">IFERROR(INDEX(Correspondance!$D$2:$D$3000,MATCH(A14,Correspondance!$A$2:$A$3000,0)),0)</f>
        <v>2</v>
      </c>
      <c r="F14" s="60" t="n">
        <f aca="false">C14*E14</f>
        <v>0.232435589590499</v>
      </c>
      <c r="G14" s="61"/>
      <c r="I14" s="63"/>
    </row>
    <row r="15" customFormat="false" ht="15.75" hidden="false" customHeight="false" outlineLevel="0" collapsed="false">
      <c r="A15" s="57" t="s">
        <v>1312</v>
      </c>
      <c r="B15" s="57" t="n">
        <v>0.025</v>
      </c>
      <c r="C15" s="58" t="n">
        <f aca="false">B15/B$22*B$24</f>
        <v>0.0392627685119086</v>
      </c>
      <c r="D15" s="57" t="s">
        <v>434</v>
      </c>
      <c r="E15" s="59" t="n">
        <f aca="false">IFERROR(INDEX(Correspondance!$D$2:$D$3000,MATCH(A15,Correspondance!$A$2:$A$3000,0)),0)</f>
        <v>60</v>
      </c>
      <c r="F15" s="60" t="n">
        <f aca="false">C15*E15</f>
        <v>2.35576611071452</v>
      </c>
      <c r="G15" s="61"/>
      <c r="I15" s="63"/>
    </row>
    <row r="16" customFormat="false" ht="15.75" hidden="false" customHeight="false" outlineLevel="0" collapsed="false">
      <c r="A16" s="57" t="s">
        <v>1948</v>
      </c>
      <c r="B16" s="57"/>
      <c r="C16" s="58" t="n">
        <f aca="false">B16/B$22*B$24</f>
        <v>0</v>
      </c>
      <c r="D16" s="57" t="s">
        <v>434</v>
      </c>
      <c r="E16" s="59" t="n">
        <f aca="false">IFERROR(INDEX(Correspondance!$D$2:$D$3000,MATCH(A16,Correspondance!$A$2:$A$3000,0)),0)</f>
        <v>16</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90.0620377701343</v>
      </c>
      <c r="G19" s="61"/>
      <c r="I19" s="63"/>
    </row>
    <row r="20" customFormat="false" ht="18.75" hidden="false" customHeight="true" outlineLevel="0" collapsed="false">
      <c r="A20" s="68" t="s">
        <v>2628</v>
      </c>
      <c r="B20" s="69" t="n">
        <f aca="false">F19/B24</f>
        <v>0.818745797910312</v>
      </c>
      <c r="C20" s="70"/>
      <c r="G20" s="61"/>
      <c r="I20" s="63"/>
    </row>
    <row r="21" customFormat="false" ht="15.75" hidden="false" customHeight="false" outlineLevel="0" collapsed="false">
      <c r="A21" s="71" t="s">
        <v>2629</v>
      </c>
      <c r="B21" s="71" t="n">
        <f aca="false">SUM(B3:B18)</f>
        <v>15.409</v>
      </c>
      <c r="C21" s="66"/>
      <c r="G21" s="61"/>
      <c r="I21" s="63"/>
    </row>
    <row r="22" customFormat="false" ht="15.75" hidden="false" customHeight="false" outlineLevel="0" collapsed="false">
      <c r="A22" s="0" t="s">
        <v>2630</v>
      </c>
      <c r="B22" s="72" t="n">
        <f aca="false">B21/B23</f>
        <v>70.0409090909091</v>
      </c>
      <c r="C22" s="66"/>
      <c r="G22" s="61"/>
      <c r="I22" s="63"/>
    </row>
    <row r="23" customFormat="false" ht="15.75" hidden="false" customHeight="false" outlineLevel="0" collapsed="false">
      <c r="A23" s="0" t="s">
        <v>2631</v>
      </c>
      <c r="B23" s="0" t="n">
        <v>0.22</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179</v>
      </c>
      <c r="B1" s="50"/>
      <c r="C1" s="50"/>
      <c r="D1" s="50"/>
      <c r="E1" s="51" t="s">
        <v>2619</v>
      </c>
      <c r="F1" s="51"/>
      <c r="G1" s="52" t="s">
        <v>2838</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1971</v>
      </c>
      <c r="B4" s="57" t="n">
        <v>6.07</v>
      </c>
      <c r="C4" s="58" t="n">
        <f aca="false">B4/B$22*B$24</f>
        <v>9.53947995047147</v>
      </c>
      <c r="D4" s="57" t="s">
        <v>434</v>
      </c>
      <c r="E4" s="59" t="n">
        <f aca="false">IFERROR(INDEX(Correspondance!$D$2:$D$3000,MATCH(A4,Correspondance!$A$2:$A$3000,0)),0)</f>
        <v>9.5</v>
      </c>
      <c r="F4" s="60" t="n">
        <f aca="false">C4*E4</f>
        <v>90.625059529479</v>
      </c>
      <c r="G4" s="61" t="s">
        <v>2847</v>
      </c>
    </row>
    <row r="5" customFormat="false" ht="15.75" hidden="false" customHeight="false" outlineLevel="0" collapsed="false">
      <c r="A5" s="57" t="s">
        <v>1155</v>
      </c>
      <c r="B5" s="57" t="n">
        <v>2.17</v>
      </c>
      <c r="C5" s="58" t="n">
        <f aca="false">B5/B$22*B$24</f>
        <v>3.41032479283741</v>
      </c>
      <c r="D5" s="57" t="s">
        <v>434</v>
      </c>
      <c r="E5" s="59" t="n">
        <f aca="false">IFERROR(INDEX(Correspondance!$D$2:$D$3000,MATCH(A5,Correspondance!$A$2:$A$3000,0)),0)</f>
        <v>3</v>
      </c>
      <c r="F5" s="60" t="n">
        <f aca="false">C5*E5</f>
        <v>10.2309743785122</v>
      </c>
      <c r="G5" s="61"/>
      <c r="I5" s="62"/>
    </row>
    <row r="6" customFormat="false" ht="15.75" hidden="false" customHeight="false" outlineLevel="0" collapsed="false">
      <c r="A6" s="57" t="s">
        <v>1856</v>
      </c>
      <c r="B6" s="57" t="n">
        <v>5.2</v>
      </c>
      <c r="C6" s="58" t="n">
        <f aca="false">B6/B$22*B$24</f>
        <v>8.17220687684541</v>
      </c>
      <c r="D6" s="57" t="s">
        <v>434</v>
      </c>
      <c r="E6" s="59" t="n">
        <f aca="false">IFERROR(INDEX(Correspondance!$D$2:$D$3000,MATCH(A6,Correspondance!$A$2:$A$3000,0)),0)</f>
        <v>1.5</v>
      </c>
      <c r="F6" s="60" t="n">
        <f aca="false">C6*E6</f>
        <v>12.2583103152681</v>
      </c>
      <c r="G6" s="61"/>
      <c r="I6" s="63"/>
    </row>
    <row r="7" customFormat="false" ht="15.75" hidden="false" customHeight="false" outlineLevel="0" collapsed="false">
      <c r="A7" s="57" t="s">
        <v>1001</v>
      </c>
      <c r="B7" s="57" t="n">
        <v>0.867</v>
      </c>
      <c r="C7" s="58" t="n">
        <f aca="false">B7/B$22*B$24</f>
        <v>1.36255833888942</v>
      </c>
      <c r="D7" s="57" t="s">
        <v>434</v>
      </c>
      <c r="E7" s="59" t="n">
        <f aca="false">IFERROR(INDEX(Correspondance!$D$2:$D$3000,MATCH(A7,Correspondance!$A$2:$A$3000,0)),0)</f>
        <v>1.8</v>
      </c>
      <c r="F7" s="60" t="n">
        <f aca="false">C7*E7</f>
        <v>2.45260501000095</v>
      </c>
      <c r="G7" s="61"/>
      <c r="I7" s="63"/>
    </row>
    <row r="8" customFormat="false" ht="15.75" hidden="false" customHeight="false" outlineLevel="0" collapsed="false">
      <c r="A8" s="57" t="s">
        <v>1513</v>
      </c>
      <c r="B8" s="57" t="n">
        <v>0.433</v>
      </c>
      <c r="C8" s="58" t="n">
        <f aca="false">B8/B$22*B$24</f>
        <v>0.680493380321935</v>
      </c>
      <c r="D8" s="57" t="s">
        <v>434</v>
      </c>
      <c r="E8" s="59" t="n">
        <f aca="false">IFERROR(INDEX(Correspondance!$D$2:$D$3000,MATCH(A8,Correspondance!$A$2:$A$3000,0)),0)</f>
        <v>2.6</v>
      </c>
      <c r="F8" s="60" t="n">
        <f aca="false">C8*E8</f>
        <v>1.76928278883703</v>
      </c>
      <c r="G8" s="61"/>
      <c r="I8" s="63"/>
    </row>
    <row r="9" customFormat="false" ht="15.75" hidden="false" customHeight="false" outlineLevel="0" collapsed="false">
      <c r="A9" s="57" t="s">
        <v>894</v>
      </c>
      <c r="B9" s="57" t="n">
        <v>0.043</v>
      </c>
      <c r="C9" s="58" t="n">
        <f aca="false">B9/B$22*B$24</f>
        <v>0.0675778645585294</v>
      </c>
      <c r="D9" s="57" t="s">
        <v>434</v>
      </c>
      <c r="E9" s="59" t="n">
        <f aca="false">IFERROR(INDEX(Correspondance!$D$2:$D$3000,MATCH(A9,Correspondance!$A$2:$A$3000,0)),0)</f>
        <v>5.5</v>
      </c>
      <c r="F9" s="60" t="n">
        <f aca="false">C9*E9</f>
        <v>0.371678255071912</v>
      </c>
      <c r="G9" s="61"/>
      <c r="I9" s="63"/>
    </row>
    <row r="10" customFormat="false" ht="15.75" hidden="false" customHeight="false" outlineLevel="0" collapsed="false">
      <c r="A10" s="57" t="s">
        <v>1692</v>
      </c>
      <c r="B10" s="57" t="n">
        <v>4.33</v>
      </c>
      <c r="C10" s="58" t="n">
        <f aca="false">B10/B$22*B$24</f>
        <v>6.80493380321935</v>
      </c>
      <c r="D10" s="57" t="s">
        <v>682</v>
      </c>
      <c r="E10" s="59" t="n">
        <f aca="false">IFERROR(INDEX(Correspondance!$D$2:$D$3000,MATCH(A10,Correspondance!$A$2:$A$3000,0)),0)</f>
        <v>2.4</v>
      </c>
      <c r="F10" s="60" t="n">
        <f aca="false">C10*E10</f>
        <v>16.3318411277265</v>
      </c>
      <c r="G10" s="61"/>
      <c r="I10" s="63"/>
    </row>
    <row r="11" customFormat="false" ht="15.75" hidden="false" customHeight="false" outlineLevel="0" collapsed="false">
      <c r="A11" s="57" t="s">
        <v>1491</v>
      </c>
      <c r="B11" s="57" t="n">
        <v>0.303</v>
      </c>
      <c r="C11" s="58" t="n">
        <f aca="false">B11/B$22*B$24</f>
        <v>0.4761882084008</v>
      </c>
      <c r="D11" s="57" t="s">
        <v>434</v>
      </c>
      <c r="E11" s="59" t="n">
        <f aca="false">IFERROR(INDEX(Correspondance!$D$2:$D$3000,MATCH(A11,Correspondance!$A$2:$A$3000,0)),0)</f>
        <v>9</v>
      </c>
      <c r="F11" s="60" t="n">
        <f aca="false">C11*E11</f>
        <v>4.2856938756072</v>
      </c>
      <c r="G11" s="61"/>
      <c r="I11" s="63"/>
    </row>
    <row r="12" customFormat="false" ht="18.75" hidden="false" customHeight="true" outlineLevel="0" collapsed="false">
      <c r="A12" s="57" t="s">
        <v>1616</v>
      </c>
      <c r="B12" s="64" t="n">
        <v>0.303</v>
      </c>
      <c r="C12" s="58" t="n">
        <f aca="false">B12/B$22*B$24</f>
        <v>0.4761882084008</v>
      </c>
      <c r="D12" s="57" t="s">
        <v>434</v>
      </c>
      <c r="E12" s="59" t="n">
        <f aca="false">IFERROR(INDEX(Correspondance!$D$2:$D$3000,MATCH(A12,Correspondance!$A$2:$A$3000,0)),0)</f>
        <v>0.85</v>
      </c>
      <c r="F12" s="60" t="n">
        <f aca="false">C12*E12</f>
        <v>0.40475997714068</v>
      </c>
      <c r="G12" s="61"/>
      <c r="I12" s="63"/>
    </row>
    <row r="13" customFormat="false" ht="18.75" hidden="false" customHeight="true" outlineLevel="0" collapsed="false">
      <c r="A13" s="57" t="s">
        <v>706</v>
      </c>
      <c r="B13" s="64" t="n">
        <v>1.04</v>
      </c>
      <c r="C13" s="58" t="n">
        <f aca="false">B13/B$22*B$24</f>
        <v>1.63444137536908</v>
      </c>
      <c r="D13" s="57" t="s">
        <v>434</v>
      </c>
      <c r="E13" s="59" t="n">
        <f aca="false">IFERROR(INDEX(Correspondance!$D$2:$D$3000,MATCH(A13,Correspondance!$A$2:$A$3000,0)),0)</f>
        <v>7.5</v>
      </c>
      <c r="F13" s="60" t="n">
        <f aca="false">C13*E13</f>
        <v>12.2583103152681</v>
      </c>
      <c r="G13" s="61"/>
      <c r="I13" s="63"/>
    </row>
    <row r="14" customFormat="false" ht="15.75" hidden="false" customHeight="false" outlineLevel="0" collapsed="false">
      <c r="A14" s="57" t="s">
        <v>1675</v>
      </c>
      <c r="B14" s="57" t="n">
        <v>0.13</v>
      </c>
      <c r="C14" s="58" t="n">
        <f aca="false">B14/B$22*B$24</f>
        <v>0.204305171921135</v>
      </c>
      <c r="D14" s="57" t="s">
        <v>682</v>
      </c>
      <c r="E14" s="59" t="n">
        <f aca="false">IFERROR(INDEX(Correspondance!$D$2:$D$3000,MATCH(A14,Correspondance!$A$2:$A$3000,0)),0)</f>
        <v>2.2</v>
      </c>
      <c r="F14" s="60" t="n">
        <f aca="false">C14*E14</f>
        <v>0.449471378226498</v>
      </c>
      <c r="G14" s="61"/>
      <c r="I14" s="63"/>
    </row>
    <row r="15" customFormat="false" ht="15.75" hidden="false" customHeight="false" outlineLevel="0" collapsed="false">
      <c r="A15" s="57" t="s">
        <v>1919</v>
      </c>
      <c r="B15" s="57" t="n">
        <v>0.104</v>
      </c>
      <c r="C15" s="58" t="n">
        <f aca="false">B15/B$22*B$24</f>
        <v>0.163444137536908</v>
      </c>
      <c r="D15" s="57" t="s">
        <v>434</v>
      </c>
      <c r="E15" s="59" t="n">
        <f aca="false">IFERROR(INDEX(Correspondance!$D$2:$D$3000,MATCH(A15,Correspondance!$A$2:$A$3000,0)),0)</f>
        <v>2</v>
      </c>
      <c r="F15" s="60" t="n">
        <f aca="false">C15*E15</f>
        <v>0.326888275073817</v>
      </c>
      <c r="G15" s="61"/>
      <c r="I15" s="63"/>
    </row>
    <row r="16" customFormat="false" ht="15.75" hidden="false" customHeight="false" outlineLevel="0" collapsed="false">
      <c r="A16" s="57" t="s">
        <v>1796</v>
      </c>
      <c r="B16" s="57" t="n">
        <v>0.005</v>
      </c>
      <c r="C16" s="58" t="n">
        <f aca="false">B16/B$22*B$24</f>
        <v>0.00785789122773598</v>
      </c>
      <c r="D16" s="57" t="s">
        <v>434</v>
      </c>
      <c r="E16" s="59" t="n">
        <f aca="false">IFERROR(INDEX(Correspondance!$D$2:$D$3000,MATCH(A16,Correspondance!$A$2:$A$3000,0)),0)</f>
        <v>18</v>
      </c>
      <c r="F16" s="60" t="n">
        <f aca="false">C16*E16</f>
        <v>0.141442042099248</v>
      </c>
      <c r="G16" s="61"/>
      <c r="I16" s="63"/>
    </row>
    <row r="17" customFormat="false" ht="15.75" hidden="false" customHeight="false" outlineLevel="0" collapsed="false">
      <c r="A17" s="57" t="s">
        <v>1750</v>
      </c>
      <c r="B17" s="57"/>
      <c r="C17" s="58" t="n">
        <f aca="false">B17/B$22*B$24</f>
        <v>0</v>
      </c>
      <c r="D17" s="57" t="s">
        <v>434</v>
      </c>
      <c r="E17" s="59" t="n">
        <f aca="false">IFERROR(INDEX(Correspondance!$D$2:$D$3000,MATCH(A17,Correspondance!$A$2:$A$3000,0)),0)</f>
        <v>14</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151.906317268311</v>
      </c>
      <c r="G19" s="61"/>
      <c r="I19" s="63"/>
    </row>
    <row r="20" customFormat="false" ht="18.75" hidden="false" customHeight="true" outlineLevel="0" collapsed="false">
      <c r="A20" s="68" t="s">
        <v>2628</v>
      </c>
      <c r="B20" s="69" t="n">
        <f aca="false">F19/B24</f>
        <v>1.38096652062101</v>
      </c>
      <c r="C20" s="70"/>
      <c r="G20" s="61"/>
      <c r="I20" s="63"/>
    </row>
    <row r="21" customFormat="false" ht="15.75" hidden="false" customHeight="false" outlineLevel="0" collapsed="false">
      <c r="A21" s="71" t="s">
        <v>2629</v>
      </c>
      <c r="B21" s="71" t="n">
        <f aca="false">SUM(B3:B18)</f>
        <v>20.998</v>
      </c>
      <c r="C21" s="66"/>
      <c r="G21" s="61"/>
      <c r="I21" s="63"/>
    </row>
    <row r="22" customFormat="false" ht="15.75" hidden="false" customHeight="false" outlineLevel="0" collapsed="false">
      <c r="A22" s="0" t="s">
        <v>2630</v>
      </c>
      <c r="B22" s="72" t="n">
        <f aca="false">B21/B23</f>
        <v>69.9933333333333</v>
      </c>
      <c r="C22" s="66"/>
      <c r="G22" s="61"/>
      <c r="I22" s="63"/>
    </row>
    <row r="23" customFormat="false" ht="15.75" hidden="false" customHeight="false" outlineLevel="0" collapsed="false">
      <c r="A23" s="0" t="s">
        <v>2631</v>
      </c>
      <c r="B23" s="0" t="n">
        <v>0.3</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180</v>
      </c>
      <c r="B1" s="50"/>
      <c r="C1" s="50"/>
      <c r="D1" s="50"/>
      <c r="E1" s="51" t="s">
        <v>2619</v>
      </c>
      <c r="F1" s="51"/>
      <c r="G1" s="52" t="s">
        <v>2838</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1603</v>
      </c>
      <c r="B4" s="57" t="n">
        <v>5.43</v>
      </c>
      <c r="C4" s="58" t="n">
        <f aca="false">B4/B$22*B$24</f>
        <v>8.53448275862069</v>
      </c>
      <c r="D4" s="57" t="s">
        <v>434</v>
      </c>
      <c r="E4" s="59" t="n">
        <f aca="false">IFERROR(INDEX(Correspondance!$D$2:$D$3000,MATCH(A4,Correspondance!$A$2:$A$3000,0)),0)</f>
        <v>13</v>
      </c>
      <c r="F4" s="60" t="n">
        <f aca="false">C4*E4</f>
        <v>110.948275862069</v>
      </c>
      <c r="G4" s="61" t="s">
        <v>2848</v>
      </c>
    </row>
    <row r="5" customFormat="false" ht="15.75" hidden="false" customHeight="false" outlineLevel="0" collapsed="false">
      <c r="A5" s="57" t="s">
        <v>951</v>
      </c>
      <c r="B5" s="57" t="n">
        <v>4.52</v>
      </c>
      <c r="C5" s="58" t="n">
        <f aca="false">B5/B$22*B$24</f>
        <v>7.10421032577634</v>
      </c>
      <c r="D5" s="57" t="s">
        <v>434</v>
      </c>
      <c r="E5" s="59" t="n">
        <f aca="false">IFERROR(INDEX(Correspondance!$D$2:$D$3000,MATCH(A5,Correspondance!$A$2:$A$3000,0)),0)</f>
        <v>2.2</v>
      </c>
      <c r="F5" s="60" t="n">
        <f aca="false">C5*E5</f>
        <v>15.6292627167079</v>
      </c>
      <c r="G5" s="61"/>
      <c r="I5" s="62"/>
    </row>
    <row r="6" customFormat="false" ht="15.75" hidden="false" customHeight="false" outlineLevel="0" collapsed="false">
      <c r="A6" s="57" t="s">
        <v>1155</v>
      </c>
      <c r="B6" s="57" t="n">
        <v>2.26</v>
      </c>
      <c r="C6" s="58" t="n">
        <f aca="false">B6/B$22*B$24</f>
        <v>3.55210516288817</v>
      </c>
      <c r="D6" s="57" t="s">
        <v>434</v>
      </c>
      <c r="E6" s="59" t="n">
        <f aca="false">IFERROR(INDEX(Correspondance!$D$2:$D$3000,MATCH(A6,Correspondance!$A$2:$A$3000,0)),0)</f>
        <v>3</v>
      </c>
      <c r="F6" s="60" t="n">
        <f aca="false">C6*E6</f>
        <v>10.6563154886645</v>
      </c>
      <c r="G6" s="61"/>
      <c r="I6" s="63"/>
    </row>
    <row r="7" customFormat="false" ht="15.75" hidden="false" customHeight="false" outlineLevel="0" collapsed="false">
      <c r="A7" s="57" t="s">
        <v>1692</v>
      </c>
      <c r="B7" s="57" t="n">
        <v>5.43</v>
      </c>
      <c r="C7" s="58" t="n">
        <f aca="false">B7/B$22*B$24</f>
        <v>8.53448275862069</v>
      </c>
      <c r="D7" s="57" t="s">
        <v>682</v>
      </c>
      <c r="E7" s="59" t="n">
        <f aca="false">IFERROR(INDEX(Correspondance!$D$2:$D$3000,MATCH(A7,Correspondance!$A$2:$A$3000,0)),0)</f>
        <v>2.4</v>
      </c>
      <c r="F7" s="60" t="n">
        <f aca="false">C7*E7</f>
        <v>20.4827586206897</v>
      </c>
      <c r="G7" s="61"/>
      <c r="I7" s="63"/>
    </row>
    <row r="8" customFormat="false" ht="15.75" hidden="false" customHeight="false" outlineLevel="0" collapsed="false">
      <c r="A8" s="57" t="s">
        <v>1491</v>
      </c>
      <c r="B8" s="57" t="n">
        <v>0.362</v>
      </c>
      <c r="C8" s="58" t="n">
        <f aca="false">B8/B$22*B$24</f>
        <v>0.568965517241379</v>
      </c>
      <c r="D8" s="57" t="s">
        <v>434</v>
      </c>
      <c r="E8" s="59" t="n">
        <f aca="false">IFERROR(INDEX(Correspondance!$D$2:$D$3000,MATCH(A8,Correspondance!$A$2:$A$3000,0)),0)</f>
        <v>9</v>
      </c>
      <c r="F8" s="60" t="n">
        <f aca="false">C8*E8</f>
        <v>5.12068965517241</v>
      </c>
      <c r="G8" s="61"/>
      <c r="I8" s="63"/>
    </row>
    <row r="9" customFormat="false" ht="15.75" hidden="false" customHeight="false" outlineLevel="0" collapsed="false">
      <c r="A9" s="57" t="s">
        <v>1616</v>
      </c>
      <c r="B9" s="57" t="n">
        <v>0.362</v>
      </c>
      <c r="C9" s="58" t="n">
        <f aca="false">B9/B$22*B$24</f>
        <v>0.568965517241379</v>
      </c>
      <c r="D9" s="57" t="s">
        <v>434</v>
      </c>
      <c r="E9" s="59" t="n">
        <f aca="false">IFERROR(INDEX(Correspondance!$D$2:$D$3000,MATCH(A9,Correspondance!$A$2:$A$3000,0)),0)</f>
        <v>0.85</v>
      </c>
      <c r="F9" s="60" t="n">
        <f aca="false">C9*E9</f>
        <v>0.483620689655172</v>
      </c>
      <c r="G9" s="61"/>
      <c r="I9" s="63"/>
    </row>
    <row r="10" customFormat="false" ht="15.75" hidden="false" customHeight="false" outlineLevel="0" collapsed="false">
      <c r="A10" s="57" t="s">
        <v>1576</v>
      </c>
      <c r="B10" s="57" t="n">
        <v>0.905</v>
      </c>
      <c r="C10" s="58" t="n">
        <f aca="false">B10/B$22*B$24</f>
        <v>1.42241379310345</v>
      </c>
      <c r="D10" s="57" t="s">
        <v>434</v>
      </c>
      <c r="E10" s="59" t="n">
        <f aca="false">IFERROR(INDEX(Correspondance!$D$2:$D$3000,MATCH(A10,Correspondance!$A$2:$A$3000,0)),0)</f>
        <v>5.5</v>
      </c>
      <c r="F10" s="60" t="n">
        <f aca="false">C10*E10</f>
        <v>7.82327586206897</v>
      </c>
      <c r="G10" s="61"/>
      <c r="I10" s="63"/>
    </row>
    <row r="11" customFormat="false" ht="15.75" hidden="false" customHeight="false" outlineLevel="0" collapsed="false">
      <c r="A11" s="57" t="s">
        <v>999</v>
      </c>
      <c r="B11" s="57" t="n">
        <v>0.452</v>
      </c>
      <c r="C11" s="58" t="n">
        <f aca="false">B11/B$22*B$24</f>
        <v>0.710421032577634</v>
      </c>
      <c r="D11" s="57" t="s">
        <v>434</v>
      </c>
      <c r="E11" s="59" t="n">
        <f aca="false">IFERROR(INDEX(Correspondance!$D$2:$D$3000,MATCH(A11,Correspondance!$A$2:$A$3000,0)),0)</f>
        <v>1.9</v>
      </c>
      <c r="F11" s="60" t="n">
        <f aca="false">C11*E11</f>
        <v>1.3497999618975</v>
      </c>
      <c r="G11" s="61"/>
      <c r="I11" s="63"/>
    </row>
    <row r="12" customFormat="false" ht="18.75" hidden="false" customHeight="true" outlineLevel="0" collapsed="false">
      <c r="A12" s="57" t="s">
        <v>706</v>
      </c>
      <c r="B12" s="64" t="n">
        <v>1.09</v>
      </c>
      <c r="C12" s="58" t="n">
        <f aca="false">B12/B$22*B$24</f>
        <v>1.71318346351686</v>
      </c>
      <c r="D12" s="57" t="s">
        <v>434</v>
      </c>
      <c r="E12" s="59" t="n">
        <f aca="false">IFERROR(INDEX(Correspondance!$D$2:$D$3000,MATCH(A12,Correspondance!$A$2:$A$3000,0)),0)</f>
        <v>7.5</v>
      </c>
      <c r="F12" s="60" t="n">
        <f aca="false">C12*E12</f>
        <v>12.8488759763765</v>
      </c>
      <c r="G12" s="61"/>
      <c r="I12" s="63"/>
    </row>
    <row r="13" customFormat="false" ht="18.75" hidden="false" customHeight="true" outlineLevel="0" collapsed="false">
      <c r="A13" s="57" t="s">
        <v>1291</v>
      </c>
      <c r="B13" s="64" t="n">
        <v>0.09</v>
      </c>
      <c r="C13" s="58" t="n">
        <f aca="false">B13/B$22*B$24</f>
        <v>0.141455515336255</v>
      </c>
      <c r="D13" s="57" t="s">
        <v>682</v>
      </c>
      <c r="E13" s="59" t="n">
        <f aca="false">IFERROR(INDEX(Correspondance!$D$2:$D$3000,MATCH(A13,Correspondance!$A$2:$A$3000,0)),0)</f>
        <v>2.5</v>
      </c>
      <c r="F13" s="60" t="n">
        <f aca="false">C13*E13</f>
        <v>0.353638788340636</v>
      </c>
      <c r="G13" s="61"/>
      <c r="I13" s="63"/>
    </row>
    <row r="14" customFormat="false" ht="15.75" hidden="false" customHeight="false" outlineLevel="0" collapsed="false">
      <c r="A14" s="57" t="s">
        <v>1919</v>
      </c>
      <c r="B14" s="57" t="n">
        <v>0.09</v>
      </c>
      <c r="C14" s="58" t="n">
        <f aca="false">B14/B$22*B$24</f>
        <v>0.141455515336255</v>
      </c>
      <c r="D14" s="57" t="s">
        <v>434</v>
      </c>
      <c r="E14" s="59" t="n">
        <f aca="false">IFERROR(INDEX(Correspondance!$D$2:$D$3000,MATCH(A14,Correspondance!$A$2:$A$3000,0)),0)</f>
        <v>2</v>
      </c>
      <c r="F14" s="60" t="n">
        <f aca="false">C14*E14</f>
        <v>0.282911030672509</v>
      </c>
      <c r="G14" s="61"/>
      <c r="I14" s="63"/>
    </row>
    <row r="15" customFormat="false" ht="15.75" hidden="false" customHeight="false" outlineLevel="0" collapsed="false">
      <c r="A15" s="57" t="s">
        <v>1796</v>
      </c>
      <c r="B15" s="57" t="n">
        <v>0.005</v>
      </c>
      <c r="C15" s="58" t="n">
        <f aca="false">B15/B$22*B$24</f>
        <v>0.00785863974090303</v>
      </c>
      <c r="D15" s="57" t="s">
        <v>434</v>
      </c>
      <c r="E15" s="59" t="n">
        <f aca="false">IFERROR(INDEX(Correspondance!$D$2:$D$3000,MATCH(A15,Correspondance!$A$2:$A$3000,0)),0)</f>
        <v>18</v>
      </c>
      <c r="F15" s="60" t="n">
        <f aca="false">C15*E15</f>
        <v>0.141455515336255</v>
      </c>
      <c r="G15" s="61"/>
      <c r="I15" s="63"/>
    </row>
    <row r="16" customFormat="false" ht="15.75" hidden="false" customHeight="false" outlineLevel="0" collapsed="false">
      <c r="A16" s="57" t="s">
        <v>1734</v>
      </c>
      <c r="B16" s="57"/>
      <c r="C16" s="58" t="n">
        <f aca="false">B16/B$22*B$24</f>
        <v>0</v>
      </c>
      <c r="D16" s="57" t="s">
        <v>434</v>
      </c>
      <c r="E16" s="59" t="n">
        <f aca="false">IFERROR(INDEX(Correspondance!$D$2:$D$3000,MATCH(A16,Correspondance!$A$2:$A$3000,0)),0)</f>
        <v>30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186.120880167651</v>
      </c>
      <c r="G19" s="61"/>
      <c r="I19" s="63"/>
    </row>
    <row r="20" customFormat="false" ht="18.75" hidden="false" customHeight="true" outlineLevel="0" collapsed="false">
      <c r="A20" s="68" t="s">
        <v>2628</v>
      </c>
      <c r="B20" s="69" t="n">
        <f aca="false">F19/B24</f>
        <v>1.6920080015241</v>
      </c>
      <c r="C20" s="70"/>
      <c r="G20" s="61"/>
      <c r="I20" s="63"/>
    </row>
    <row r="21" customFormat="false" ht="15.75" hidden="false" customHeight="false" outlineLevel="0" collapsed="false">
      <c r="A21" s="71" t="s">
        <v>2629</v>
      </c>
      <c r="B21" s="71" t="n">
        <f aca="false">SUM(B3:B18)</f>
        <v>20.996</v>
      </c>
      <c r="C21" s="66"/>
      <c r="G21" s="61"/>
      <c r="I21" s="63"/>
    </row>
    <row r="22" customFormat="false" ht="15.75" hidden="false" customHeight="false" outlineLevel="0" collapsed="false">
      <c r="A22" s="0" t="s">
        <v>2630</v>
      </c>
      <c r="B22" s="72" t="n">
        <f aca="false">B21/B23</f>
        <v>69.9866666666667</v>
      </c>
      <c r="C22" s="66"/>
      <c r="G22" s="61"/>
      <c r="I22" s="63"/>
    </row>
    <row r="23" customFormat="false" ht="15.75" hidden="false" customHeight="false" outlineLevel="0" collapsed="false">
      <c r="A23" s="0" t="s">
        <v>2631</v>
      </c>
      <c r="B23" s="0" t="n">
        <v>0.3</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2849</v>
      </c>
      <c r="B1" s="50"/>
      <c r="C1" s="50"/>
      <c r="D1" s="50"/>
      <c r="E1" s="51" t="s">
        <v>2619</v>
      </c>
      <c r="F1" s="51"/>
      <c r="G1" s="75" t="s">
        <v>2850</v>
      </c>
    </row>
    <row r="2" customFormat="false" ht="24.75" hidden="false" customHeight="true" outlineLevel="0" collapsed="false">
      <c r="A2" s="50"/>
      <c r="B2" s="50"/>
      <c r="C2" s="50"/>
      <c r="D2" s="50"/>
      <c r="E2" s="53" t="s">
        <v>2636</v>
      </c>
      <c r="F2" s="53"/>
      <c r="G2" s="75"/>
    </row>
    <row r="3" customFormat="false" ht="51.75" hidden="false" customHeight="true" outlineLevel="0" collapsed="false">
      <c r="A3" s="54" t="s">
        <v>2588</v>
      </c>
      <c r="B3" s="55" t="s">
        <v>2622</v>
      </c>
      <c r="C3" s="55" t="s">
        <v>2623</v>
      </c>
      <c r="D3" s="56" t="s">
        <v>2624</v>
      </c>
      <c r="E3" s="56" t="s">
        <v>2625</v>
      </c>
      <c r="F3" s="56" t="s">
        <v>2626</v>
      </c>
      <c r="G3" s="75"/>
    </row>
    <row r="4" customFormat="false" ht="19.5" hidden="false" customHeight="true" outlineLevel="0" collapsed="false">
      <c r="A4" s="57" t="s">
        <v>1789</v>
      </c>
      <c r="B4" s="64" t="n">
        <v>11</v>
      </c>
      <c r="C4" s="58" t="n">
        <f aca="false">B4/B$23*B$25</f>
        <v>17.2857142857143</v>
      </c>
      <c r="D4" s="57" t="s">
        <v>434</v>
      </c>
      <c r="E4" s="59" t="n">
        <f aca="false">IFERROR(INDEX(Correspondance!$D$2:$D$3000,MATCH(A4,Correspondance!$A$2:$A$3000,0)),0)</f>
        <v>11</v>
      </c>
      <c r="F4" s="77" t="n">
        <f aca="false">C4*E4</f>
        <v>190.142857142857</v>
      </c>
      <c r="G4" s="78" t="s">
        <v>2851</v>
      </c>
    </row>
    <row r="5" customFormat="false" ht="18.75" hidden="false" customHeight="true" outlineLevel="0" collapsed="false">
      <c r="A5" s="57" t="s">
        <v>1746</v>
      </c>
      <c r="B5" s="64" t="n">
        <v>0.77</v>
      </c>
      <c r="C5" s="58" t="n">
        <f aca="false">B5/B$23*B$25</f>
        <v>1.21</v>
      </c>
      <c r="D5" s="57" t="s">
        <v>682</v>
      </c>
      <c r="E5" s="59" t="n">
        <f aca="false">IFERROR(INDEX(Correspondance!$D$2:$D$3000,MATCH(A5,Correspondance!$A$2:$A$3000,0)),0)</f>
        <v>1.8</v>
      </c>
      <c r="F5" s="77" t="n">
        <f aca="false">C5*E5</f>
        <v>2.178</v>
      </c>
      <c r="G5" s="78"/>
      <c r="I5" s="62"/>
    </row>
    <row r="6" customFormat="false" ht="18.75" hidden="false" customHeight="true" outlineLevel="0" collapsed="false">
      <c r="A6" s="57" t="s">
        <v>1973</v>
      </c>
      <c r="B6" s="64" t="n">
        <v>0.55</v>
      </c>
      <c r="C6" s="58" t="n">
        <f aca="false">B6/B$23*B$25</f>
        <v>0.864285714285714</v>
      </c>
      <c r="D6" s="57" t="s">
        <v>434</v>
      </c>
      <c r="E6" s="59" t="n">
        <f aca="false">IFERROR(INDEX(Correspondance!$D$2:$D$3000,MATCH(A6,Correspondance!$A$2:$A$3000,0)),0)</f>
        <v>2</v>
      </c>
      <c r="F6" s="77" t="n">
        <f aca="false">C6*E6</f>
        <v>1.72857142857143</v>
      </c>
      <c r="G6" s="78"/>
      <c r="I6" s="63"/>
    </row>
    <row r="7" customFormat="false" ht="18.75" hidden="false" customHeight="true" outlineLevel="0" collapsed="false">
      <c r="A7" s="57" t="s">
        <v>1761</v>
      </c>
      <c r="B7" s="64" t="n">
        <v>2.31</v>
      </c>
      <c r="C7" s="58" t="n">
        <f aca="false">B7/B$23*B$25</f>
        <v>3.63</v>
      </c>
      <c r="D7" s="57" t="s">
        <v>434</v>
      </c>
      <c r="E7" s="59" t="n">
        <f aca="false">IFERROR(INDEX(Correspondance!$D$2:$D$3000,MATCH(A7,Correspondance!$A$2:$A$3000,0)),0)</f>
        <v>2.5</v>
      </c>
      <c r="F7" s="77" t="n">
        <f aca="false">C7*E7</f>
        <v>9.075</v>
      </c>
      <c r="G7" s="78"/>
      <c r="I7" s="63"/>
    </row>
    <row r="8" customFormat="false" ht="18.75" hidden="false" customHeight="true" outlineLevel="0" collapsed="false">
      <c r="A8" s="57" t="s">
        <v>1773</v>
      </c>
      <c r="B8" s="64" t="n">
        <v>2.42</v>
      </c>
      <c r="C8" s="58" t="n">
        <f aca="false">B8/B$23*B$25</f>
        <v>3.80285714285714</v>
      </c>
      <c r="D8" s="57" t="s">
        <v>682</v>
      </c>
      <c r="E8" s="59" t="n">
        <f aca="false">IFERROR(INDEX(Correspondance!$D$2:$D$3000,MATCH(A8,Correspondance!$A$2:$A$3000,0)),0)</f>
        <v>2</v>
      </c>
      <c r="F8" s="77" t="n">
        <f aca="false">C8*E8</f>
        <v>7.60571428571429</v>
      </c>
      <c r="G8" s="78"/>
      <c r="I8" s="63"/>
    </row>
    <row r="9" customFormat="false" ht="18.75" hidden="false" customHeight="true" outlineLevel="0" collapsed="false">
      <c r="A9" s="57" t="s">
        <v>867</v>
      </c>
      <c r="B9" s="64" t="n">
        <v>2.75</v>
      </c>
      <c r="C9" s="58" t="n">
        <f aca="false">B9/B$23*B$25</f>
        <v>4.32142857142857</v>
      </c>
      <c r="D9" s="57" t="s">
        <v>434</v>
      </c>
      <c r="E9" s="59" t="n">
        <f aca="false">IFERROR(INDEX(Correspondance!$D$2:$D$3000,MATCH(A9,Correspondance!$A$2:$A$3000,0)),0)</f>
        <v>2</v>
      </c>
      <c r="F9" s="77" t="n">
        <f aca="false">C9*E9</f>
        <v>8.64285714285714</v>
      </c>
      <c r="G9" s="78"/>
      <c r="I9" s="63"/>
    </row>
    <row r="10" customFormat="false" ht="18.75" hidden="false" customHeight="true" outlineLevel="0" collapsed="false">
      <c r="A10" s="57" t="s">
        <v>1791</v>
      </c>
      <c r="B10" s="80" t="n">
        <v>2.75</v>
      </c>
      <c r="C10" s="58" t="n">
        <f aca="false">B10/B$23*B$25</f>
        <v>4.32142857142857</v>
      </c>
      <c r="D10" s="57" t="s">
        <v>434</v>
      </c>
      <c r="E10" s="59" t="n">
        <f aca="false">IFERROR(INDEX(Correspondance!$D$2:$D$3000,MATCH(A10,Correspondance!$A$2:$A$3000,0)),0)</f>
        <v>2</v>
      </c>
      <c r="F10" s="77" t="n">
        <f aca="false">C10*E10</f>
        <v>8.64285714285714</v>
      </c>
      <c r="G10" s="78"/>
      <c r="I10" s="63"/>
    </row>
    <row r="11" customFormat="false" ht="18.75" hidden="false" customHeight="true" outlineLevel="0" collapsed="false">
      <c r="B11" s="64"/>
      <c r="C11" s="58" t="n">
        <f aca="false">B11/B$23*B$25</f>
        <v>0</v>
      </c>
      <c r="D11" s="57" t="s">
        <v>434</v>
      </c>
      <c r="E11" s="65"/>
      <c r="F11" s="77" t="n">
        <f aca="false">C11*E11</f>
        <v>0</v>
      </c>
      <c r="G11" s="78"/>
      <c r="I11" s="63"/>
    </row>
    <row r="12" customFormat="false" ht="18.75" hidden="false" customHeight="true" outlineLevel="0" collapsed="false">
      <c r="A12" s="57"/>
      <c r="B12" s="64"/>
      <c r="C12" s="58" t="n">
        <f aca="false">B12/B$23*B$25</f>
        <v>0</v>
      </c>
      <c r="D12" s="57" t="s">
        <v>434</v>
      </c>
      <c r="E12" s="65"/>
      <c r="F12" s="77" t="n">
        <f aca="false">C12*E12</f>
        <v>0</v>
      </c>
      <c r="G12" s="78"/>
      <c r="I12" s="63"/>
    </row>
    <row r="13" customFormat="false" ht="18.75" hidden="false" customHeight="true" outlineLevel="0" collapsed="false">
      <c r="A13" s="57"/>
      <c r="B13" s="64"/>
      <c r="C13" s="58" t="n">
        <f aca="false">B13/B$23*B$25</f>
        <v>0</v>
      </c>
      <c r="D13" s="57" t="s">
        <v>434</v>
      </c>
      <c r="E13" s="65"/>
      <c r="F13" s="77" t="n">
        <f aca="false">C13*E13</f>
        <v>0</v>
      </c>
      <c r="G13" s="78"/>
      <c r="I13" s="63"/>
    </row>
    <row r="14" customFormat="false" ht="18.75" hidden="false" customHeight="true" outlineLevel="0" collapsed="false">
      <c r="A14" s="57"/>
      <c r="B14" s="64"/>
      <c r="C14" s="58" t="n">
        <f aca="false">B14/B$23*B$25</f>
        <v>0</v>
      </c>
      <c r="D14" s="57" t="s">
        <v>682</v>
      </c>
      <c r="E14" s="65"/>
      <c r="F14" s="77" t="n">
        <f aca="false">C14*E14</f>
        <v>0</v>
      </c>
      <c r="G14" s="78"/>
      <c r="I14" s="63"/>
    </row>
    <row r="15" customFormat="false" ht="15.75" hidden="false" customHeight="false" outlineLevel="0" collapsed="false">
      <c r="A15" s="57"/>
      <c r="B15" s="57"/>
      <c r="C15" s="58" t="n">
        <f aca="false">B15/B$23*B$25</f>
        <v>0</v>
      </c>
      <c r="D15" s="57" t="s">
        <v>682</v>
      </c>
      <c r="E15" s="65"/>
      <c r="F15" s="77" t="n">
        <f aca="false">C15*E15</f>
        <v>0</v>
      </c>
      <c r="G15" s="78"/>
      <c r="I15" s="63"/>
    </row>
    <row r="16" customFormat="false" ht="15.75" hidden="false" customHeight="false" outlineLevel="0" collapsed="false">
      <c r="A16" s="57"/>
      <c r="B16" s="57"/>
      <c r="C16" s="58" t="n">
        <f aca="false">B16/B$23*B$25</f>
        <v>0</v>
      </c>
      <c r="D16" s="57" t="s">
        <v>434</v>
      </c>
      <c r="E16" s="65"/>
      <c r="F16" s="77" t="n">
        <f aca="false">C16*E16</f>
        <v>0</v>
      </c>
      <c r="G16" s="78"/>
      <c r="I16" s="63"/>
    </row>
    <row r="17" customFormat="false" ht="15.75" hidden="false" customHeight="false" outlineLevel="0" collapsed="false">
      <c r="A17" s="57"/>
      <c r="B17" s="57"/>
      <c r="C17" s="58" t="n">
        <f aca="false">B17/B$23*B$25</f>
        <v>0</v>
      </c>
      <c r="D17" s="57" t="s">
        <v>434</v>
      </c>
      <c r="E17" s="65"/>
      <c r="F17" s="77" t="n">
        <f aca="false">C17*E17</f>
        <v>0</v>
      </c>
      <c r="G17" s="78"/>
      <c r="I17" s="63"/>
    </row>
    <row r="18" customFormat="false" ht="15.75" hidden="false" customHeight="false" outlineLevel="0" collapsed="false">
      <c r="A18" s="57"/>
      <c r="B18" s="57"/>
      <c r="C18" s="58" t="n">
        <f aca="false">B18/B$23*B$25</f>
        <v>0</v>
      </c>
      <c r="D18" s="57"/>
      <c r="E18" s="65"/>
      <c r="F18" s="77" t="n">
        <f aca="false">C18*E18</f>
        <v>0</v>
      </c>
      <c r="G18" s="78"/>
      <c r="I18" s="63"/>
    </row>
    <row r="19" customFormat="false" ht="15.75" hidden="false" customHeight="false" outlineLevel="0" collapsed="false">
      <c r="A19" s="57"/>
      <c r="B19" s="57"/>
      <c r="C19" s="58" t="n">
        <f aca="false">B19/B$23*B$25</f>
        <v>0</v>
      </c>
      <c r="D19" s="57"/>
      <c r="E19" s="65"/>
      <c r="F19" s="77" t="n">
        <f aca="false">C19*E19</f>
        <v>0</v>
      </c>
      <c r="G19" s="78"/>
      <c r="I19" s="63"/>
    </row>
    <row r="20" customFormat="false" ht="15.75" hidden="false" customHeight="false" outlineLevel="0" collapsed="false">
      <c r="C20" s="66"/>
      <c r="F20" s="67" t="n">
        <f aca="false">SUM(F4:F19)</f>
        <v>228.015857142857</v>
      </c>
      <c r="G20" s="78"/>
      <c r="I20" s="63"/>
    </row>
    <row r="21" customFormat="false" ht="18.75" hidden="false" customHeight="true" outlineLevel="0" collapsed="false">
      <c r="A21" s="68" t="s">
        <v>2628</v>
      </c>
      <c r="B21" s="69" t="n">
        <f aca="false">F20/B25</f>
        <v>2.07287142857143</v>
      </c>
      <c r="C21" s="70"/>
      <c r="G21" s="78"/>
      <c r="I21" s="63"/>
    </row>
    <row r="22" customFormat="false" ht="15.75" hidden="false" customHeight="false" outlineLevel="0" collapsed="false">
      <c r="A22" s="71" t="s">
        <v>2629</v>
      </c>
      <c r="B22" s="71" t="n">
        <v>7.7</v>
      </c>
      <c r="C22" s="66"/>
      <c r="G22" s="78"/>
      <c r="I22" s="63"/>
    </row>
    <row r="23" customFormat="false" ht="15.75" hidden="false" customHeight="false" outlineLevel="0" collapsed="false">
      <c r="A23" s="0" t="s">
        <v>2630</v>
      </c>
      <c r="B23" s="72" t="n">
        <f aca="false">B22/B24</f>
        <v>70</v>
      </c>
      <c r="C23" s="66"/>
      <c r="G23" s="78"/>
      <c r="I23" s="63"/>
    </row>
    <row r="24" customFormat="false" ht="15.75" hidden="false" customHeight="false" outlineLevel="0" collapsed="false">
      <c r="A24" s="0" t="s">
        <v>2631</v>
      </c>
      <c r="B24" s="0" t="n">
        <v>0.11</v>
      </c>
      <c r="C24" s="79" t="s">
        <v>2632</v>
      </c>
      <c r="G24" s="78"/>
      <c r="I24" s="63"/>
    </row>
    <row r="25" customFormat="false" ht="18.75" hidden="false" customHeight="true" outlineLevel="0" collapsed="false">
      <c r="A25" s="74" t="s">
        <v>2633</v>
      </c>
      <c r="B25" s="74" t="n">
        <f aca="false">Paramètres!$B$5</f>
        <v>110</v>
      </c>
      <c r="C25" s="79" t="s">
        <v>2634</v>
      </c>
      <c r="G25" s="78"/>
      <c r="I25" s="63"/>
    </row>
    <row r="26" customFormat="false" ht="15.75" hidden="false" customHeight="false" outlineLevel="0" collapsed="false">
      <c r="I26" s="63"/>
    </row>
  </sheetData>
  <mergeCells count="5">
    <mergeCell ref="A1:D2"/>
    <mergeCell ref="E1:F1"/>
    <mergeCell ref="G1:G3"/>
    <mergeCell ref="E2:F2"/>
    <mergeCell ref="G4:G2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183</v>
      </c>
      <c r="B1" s="50"/>
      <c r="C1" s="50"/>
      <c r="D1" s="50"/>
      <c r="E1" s="51" t="s">
        <v>2619</v>
      </c>
      <c r="F1" s="51"/>
      <c r="G1" s="52" t="s">
        <v>2852</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1869</v>
      </c>
      <c r="B4" s="57" t="n">
        <v>4.86</v>
      </c>
      <c r="C4" s="58" t="n">
        <f aca="false">B4/B$22*B$24</f>
        <v>7.63241802693571</v>
      </c>
      <c r="D4" s="57" t="s">
        <v>434</v>
      </c>
      <c r="E4" s="59" t="n">
        <f aca="false">IFERROR(INDEX(Correspondance!$D$2:$D$3000,MATCH(A4,Correspondance!$A$2:$A$3000,0)),0)</f>
        <v>1.6</v>
      </c>
      <c r="F4" s="60" t="n">
        <f aca="false">C4*E4</f>
        <v>12.2118688430971</v>
      </c>
      <c r="G4" s="61" t="s">
        <v>2853</v>
      </c>
    </row>
    <row r="5" customFormat="false" ht="15.75" hidden="false" customHeight="false" outlineLevel="0" collapsed="false">
      <c r="A5" s="57" t="s">
        <v>1971</v>
      </c>
      <c r="B5" s="57" t="n">
        <v>6.8</v>
      </c>
      <c r="C5" s="58" t="n">
        <f aca="false">B5/B$22*B$24</f>
        <v>10.6791034121734</v>
      </c>
      <c r="D5" s="57" t="s">
        <v>434</v>
      </c>
      <c r="E5" s="59" t="n">
        <f aca="false">IFERROR(INDEX(Correspondance!$D$2:$D$3000,MATCH(A5,Correspondance!$A$2:$A$3000,0)),0)</f>
        <v>9.5</v>
      </c>
      <c r="F5" s="60" t="n">
        <f aca="false">C5*E5</f>
        <v>101.451482415647</v>
      </c>
      <c r="G5" s="61"/>
      <c r="I5" s="62"/>
    </row>
    <row r="6" customFormat="false" ht="15.75" hidden="false" customHeight="false" outlineLevel="0" collapsed="false">
      <c r="A6" s="57" t="s">
        <v>1856</v>
      </c>
      <c r="B6" s="57" t="n">
        <v>5.83</v>
      </c>
      <c r="C6" s="58" t="n">
        <f aca="false">B6/B$22*B$24</f>
        <v>9.15576071955456</v>
      </c>
      <c r="D6" s="57" t="s">
        <v>434</v>
      </c>
      <c r="E6" s="59" t="n">
        <f aca="false">IFERROR(INDEX(Correspondance!$D$2:$D$3000,MATCH(A6,Correspondance!$A$2:$A$3000,0)),0)</f>
        <v>1.5</v>
      </c>
      <c r="F6" s="60" t="n">
        <f aca="false">C6*E6</f>
        <v>13.7336410793318</v>
      </c>
      <c r="G6" s="61"/>
      <c r="I6" s="63"/>
    </row>
    <row r="7" customFormat="false" ht="15.75" hidden="false" customHeight="false" outlineLevel="0" collapsed="false">
      <c r="A7" s="57" t="s">
        <v>1001</v>
      </c>
      <c r="B7" s="57" t="n">
        <v>0.971</v>
      </c>
      <c r="C7" s="58" t="n">
        <f aca="false">B7/B$22*B$24</f>
        <v>1.524913149003</v>
      </c>
      <c r="D7" s="57" t="s">
        <v>434</v>
      </c>
      <c r="E7" s="59" t="n">
        <f aca="false">IFERROR(INDEX(Correspondance!$D$2:$D$3000,MATCH(A7,Correspondance!$A$2:$A$3000,0)),0)</f>
        <v>1.8</v>
      </c>
      <c r="F7" s="60" t="n">
        <f aca="false">C7*E7</f>
        <v>2.7448436682054</v>
      </c>
      <c r="G7" s="61"/>
      <c r="I7" s="63"/>
    </row>
    <row r="8" customFormat="false" ht="15.75" hidden="false" customHeight="false" outlineLevel="0" collapsed="false">
      <c r="A8" s="57" t="s">
        <v>1513</v>
      </c>
      <c r="B8" s="57" t="n">
        <v>0.486</v>
      </c>
      <c r="C8" s="58" t="n">
        <f aca="false">B8/B$22*B$24</f>
        <v>0.763241802693571</v>
      </c>
      <c r="D8" s="57" t="s">
        <v>434</v>
      </c>
      <c r="E8" s="59" t="n">
        <f aca="false">IFERROR(INDEX(Correspondance!$D$2:$D$3000,MATCH(A8,Correspondance!$A$2:$A$3000,0)),0)</f>
        <v>2.6</v>
      </c>
      <c r="F8" s="60" t="n">
        <f aca="false">C8*E8</f>
        <v>1.98442868700328</v>
      </c>
      <c r="G8" s="61"/>
      <c r="I8" s="63"/>
    </row>
    <row r="9" customFormat="false" ht="15.75" hidden="false" customHeight="false" outlineLevel="0" collapsed="false">
      <c r="A9" s="57" t="s">
        <v>894</v>
      </c>
      <c r="B9" s="57" t="n">
        <v>0.049</v>
      </c>
      <c r="C9" s="58" t="n">
        <f aca="false">B9/B$22*B$24</f>
        <v>0.0769523628230143</v>
      </c>
      <c r="D9" s="57" t="s">
        <v>434</v>
      </c>
      <c r="E9" s="59" t="n">
        <f aca="false">IFERROR(INDEX(Correspondance!$D$2:$D$3000,MATCH(A9,Correspondance!$A$2:$A$3000,0)),0)</f>
        <v>5.5</v>
      </c>
      <c r="F9" s="60" t="n">
        <f aca="false">C9*E9</f>
        <v>0.423237995526579</v>
      </c>
      <c r="G9" s="61"/>
      <c r="I9" s="63"/>
    </row>
    <row r="10" customFormat="false" ht="15.75" hidden="false" customHeight="false" outlineLevel="0" collapsed="false">
      <c r="A10" s="57" t="s">
        <v>1197</v>
      </c>
      <c r="B10" s="57" t="n">
        <v>0.194</v>
      </c>
      <c r="C10" s="58" t="n">
        <f aca="false">B10/B$22*B$24</f>
        <v>0.304668538523771</v>
      </c>
      <c r="D10" s="57" t="s">
        <v>434</v>
      </c>
      <c r="E10" s="59" t="n">
        <f aca="false">IFERROR(INDEX(Correspondance!$D$2:$D$3000,MATCH(A10,Correspondance!$A$2:$A$3000,0)),0)</f>
        <v>2.6</v>
      </c>
      <c r="F10" s="60" t="n">
        <f aca="false">C10*E10</f>
        <v>0.792138200161805</v>
      </c>
      <c r="G10" s="61"/>
      <c r="I10" s="63"/>
    </row>
    <row r="11" customFormat="false" ht="15.75" hidden="false" customHeight="false" outlineLevel="0" collapsed="false">
      <c r="A11" s="57" t="s">
        <v>1977</v>
      </c>
      <c r="B11" s="57" t="n">
        <v>0.486</v>
      </c>
      <c r="C11" s="58" t="n">
        <f aca="false">B11/B$22*B$24</f>
        <v>0.763241802693571</v>
      </c>
      <c r="D11" s="57" t="s">
        <v>682</v>
      </c>
      <c r="E11" s="59" t="n">
        <f aca="false">IFERROR(INDEX(Correspondance!$D$2:$D$3000,MATCH(A11,Correspondance!$A$2:$A$3000,0)),0)</f>
        <v>2</v>
      </c>
      <c r="F11" s="60" t="n">
        <f aca="false">C11*E11</f>
        <v>1.52648360538714</v>
      </c>
      <c r="G11" s="61"/>
      <c r="I11" s="63"/>
    </row>
    <row r="12" customFormat="false" ht="18.75" hidden="false" customHeight="true" outlineLevel="0" collapsed="false">
      <c r="A12" s="57" t="s">
        <v>1120</v>
      </c>
      <c r="B12" s="64" t="n">
        <v>0.194</v>
      </c>
      <c r="C12" s="58" t="n">
        <f aca="false">B12/B$22*B$24</f>
        <v>0.304668538523771</v>
      </c>
      <c r="D12" s="57" t="s">
        <v>682</v>
      </c>
      <c r="E12" s="59" t="n">
        <f aca="false">IFERROR(INDEX(Correspondance!$D$2:$D$3000,MATCH(A12,Correspondance!$A$2:$A$3000,0)),0)</f>
        <v>7.5</v>
      </c>
      <c r="F12" s="60" t="n">
        <f aca="false">C12*E12</f>
        <v>2.28501403892828</v>
      </c>
      <c r="G12" s="61"/>
      <c r="I12" s="63"/>
    </row>
    <row r="13" customFormat="false" ht="18.75" hidden="false" customHeight="true" outlineLevel="0" collapsed="false">
      <c r="A13" s="57" t="s">
        <v>1937</v>
      </c>
      <c r="B13" s="64" t="n">
        <v>0.049</v>
      </c>
      <c r="C13" s="58" t="n">
        <f aca="false">B13/B$22*B$24</f>
        <v>0.0769523628230143</v>
      </c>
      <c r="D13" s="57" t="s">
        <v>434</v>
      </c>
      <c r="E13" s="59" t="n">
        <f aca="false">IFERROR(INDEX(Correspondance!$D$2:$D$3000,MATCH(A13,Correspondance!$A$2:$A$3000,0)),0)</f>
        <v>1.3</v>
      </c>
      <c r="F13" s="60" t="n">
        <f aca="false">C13*E13</f>
        <v>0.100038071669919</v>
      </c>
      <c r="G13" s="61"/>
      <c r="I13" s="63"/>
    </row>
    <row r="14" customFormat="false" ht="15.75" hidden="false" customHeight="false" outlineLevel="0" collapsed="false">
      <c r="A14" s="57" t="s">
        <v>1919</v>
      </c>
      <c r="B14" s="57" t="n">
        <v>0.117</v>
      </c>
      <c r="C14" s="58" t="n">
        <f aca="false">B14/B$22*B$24</f>
        <v>0.183743396944749</v>
      </c>
      <c r="D14" s="57" t="s">
        <v>434</v>
      </c>
      <c r="E14" s="59" t="n">
        <f aca="false">IFERROR(INDEX(Correspondance!$D$2:$D$3000,MATCH(A14,Correspondance!$A$2:$A$3000,0)),0)</f>
        <v>2</v>
      </c>
      <c r="F14" s="60" t="n">
        <f aca="false">C14*E14</f>
        <v>0.367486793889497</v>
      </c>
      <c r="G14" s="61"/>
      <c r="I14" s="63"/>
    </row>
    <row r="15" customFormat="false" ht="15.75" hidden="false" customHeight="false" outlineLevel="0" collapsed="false">
      <c r="A15" s="57" t="s">
        <v>1796</v>
      </c>
      <c r="B15" s="57" t="n">
        <v>0.006</v>
      </c>
      <c r="C15" s="58" t="n">
        <f aca="false">B15/B$22*B$24</f>
        <v>0.0094227383048589</v>
      </c>
      <c r="D15" s="57" t="s">
        <v>434</v>
      </c>
      <c r="E15" s="59" t="n">
        <f aca="false">IFERROR(INDEX(Correspondance!$D$2:$D$3000,MATCH(A15,Correspondance!$A$2:$A$3000,0)),0)</f>
        <v>18</v>
      </c>
      <c r="F15" s="60" t="n">
        <f aca="false">C15*E15</f>
        <v>0.16960928948746</v>
      </c>
      <c r="G15" s="61"/>
      <c r="I15" s="63"/>
    </row>
    <row r="16" customFormat="false" ht="15.75" hidden="false" customHeight="false" outlineLevel="0" collapsed="false">
      <c r="A16" s="57" t="s">
        <v>1749</v>
      </c>
      <c r="B16" s="57"/>
      <c r="C16" s="58" t="n">
        <f aca="false">B16/B$22*B$24</f>
        <v>0</v>
      </c>
      <c r="D16" s="57" t="s">
        <v>434</v>
      </c>
      <c r="E16" s="59" t="n">
        <f aca="false">IFERROR(INDEX(Correspondance!$D$2:$D$3000,MATCH(A16,Correspondance!$A$2:$A$3000,0)),0)</f>
        <v>14</v>
      </c>
      <c r="F16" s="60" t="n">
        <f aca="false">C16*E16</f>
        <v>0</v>
      </c>
      <c r="G16" s="61"/>
      <c r="I16" s="63"/>
    </row>
    <row r="17" customFormat="false" ht="15.75" hidden="false" customHeight="false" outlineLevel="0" collapsed="false">
      <c r="A17" s="57" t="s">
        <v>706</v>
      </c>
      <c r="B17" s="57" t="n">
        <v>0.971</v>
      </c>
      <c r="C17" s="58" t="n">
        <f aca="false">B17/B$22*B$24</f>
        <v>1.524913149003</v>
      </c>
      <c r="D17" s="57" t="s">
        <v>434</v>
      </c>
      <c r="E17" s="59" t="n">
        <f aca="false">IFERROR(INDEX(Correspondance!$D$2:$D$3000,MATCH(A17,Correspondance!$A$2:$A$3000,0)),0)</f>
        <v>7.5</v>
      </c>
      <c r="F17" s="60" t="n">
        <f aca="false">C17*E17</f>
        <v>11.4368486175225</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149.227121305858</v>
      </c>
      <c r="G19" s="61"/>
      <c r="I19" s="63"/>
    </row>
    <row r="20" customFormat="false" ht="18.75" hidden="false" customHeight="true" outlineLevel="0" collapsed="false">
      <c r="A20" s="68" t="s">
        <v>2628</v>
      </c>
      <c r="B20" s="69" t="n">
        <f aca="false">F19/B24</f>
        <v>1.35661019368962</v>
      </c>
      <c r="C20" s="70"/>
      <c r="G20" s="61"/>
      <c r="I20" s="63"/>
    </row>
    <row r="21" customFormat="false" ht="15.75" hidden="false" customHeight="false" outlineLevel="0" collapsed="false">
      <c r="A21" s="71" t="s">
        <v>2629</v>
      </c>
      <c r="B21" s="71" t="n">
        <f aca="false">SUM(B3:B18)</f>
        <v>21.013</v>
      </c>
      <c r="C21" s="66"/>
      <c r="G21" s="61"/>
      <c r="I21" s="63"/>
    </row>
    <row r="22" customFormat="false" ht="15.75" hidden="false" customHeight="false" outlineLevel="0" collapsed="false">
      <c r="A22" s="0" t="s">
        <v>2630</v>
      </c>
      <c r="B22" s="72" t="n">
        <f aca="false">B21/B23</f>
        <v>70.0433333333333</v>
      </c>
      <c r="C22" s="66"/>
      <c r="G22" s="61"/>
      <c r="I22" s="63"/>
    </row>
    <row r="23" customFormat="false" ht="15.75" hidden="false" customHeight="false" outlineLevel="0" collapsed="false">
      <c r="A23" s="0" t="s">
        <v>2631</v>
      </c>
      <c r="B23" s="0" t="n">
        <v>0.3</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184</v>
      </c>
      <c r="B1" s="50"/>
      <c r="C1" s="50"/>
      <c r="D1" s="50"/>
      <c r="E1" s="51" t="s">
        <v>2619</v>
      </c>
      <c r="F1" s="51"/>
      <c r="G1" s="52" t="s">
        <v>2852</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1870</v>
      </c>
      <c r="B4" s="57" t="n">
        <v>7</v>
      </c>
      <c r="C4" s="58" t="n">
        <f aca="false">B4/B$22*B$24</f>
        <v>11.0062893081761</v>
      </c>
      <c r="D4" s="57" t="s">
        <v>434</v>
      </c>
      <c r="E4" s="59" t="n">
        <f aca="false">IFERROR(INDEX(Correspondance!$D$2:$D$3000,MATCH(A4,Correspondance!$A$2:$A$3000,0)),0)</f>
        <v>2.2</v>
      </c>
      <c r="F4" s="60" t="n">
        <f aca="false">C4*E4</f>
        <v>24.2138364779874</v>
      </c>
      <c r="G4" s="61" t="s">
        <v>2854</v>
      </c>
    </row>
    <row r="5" customFormat="false" ht="15.75" hidden="false" customHeight="false" outlineLevel="0" collapsed="false">
      <c r="A5" s="57" t="s">
        <v>587</v>
      </c>
      <c r="B5" s="57" t="n">
        <v>3</v>
      </c>
      <c r="C5" s="58" t="n">
        <f aca="false">B5/B$22*B$24</f>
        <v>4.71698113207547</v>
      </c>
      <c r="D5" s="57" t="s">
        <v>434</v>
      </c>
      <c r="E5" s="59" t="n">
        <f aca="false">IFERROR(INDEX(Correspondance!$D$2:$D$3000,MATCH(A5,Correspondance!$A$2:$A$3000,0)),0)</f>
        <v>8</v>
      </c>
      <c r="F5" s="60" t="n">
        <f aca="false">C5*E5</f>
        <v>37.7358490566038</v>
      </c>
      <c r="G5" s="61"/>
      <c r="I5" s="62"/>
    </row>
    <row r="6" customFormat="false" ht="15.75" hidden="false" customHeight="false" outlineLevel="0" collapsed="false">
      <c r="A6" s="57" t="s">
        <v>1576</v>
      </c>
      <c r="B6" s="57" t="n">
        <v>5</v>
      </c>
      <c r="C6" s="58" t="n">
        <f aca="false">B6/B$22*B$24</f>
        <v>7.86163522012579</v>
      </c>
      <c r="D6" s="57" t="s">
        <v>434</v>
      </c>
      <c r="E6" s="59" t="n">
        <f aca="false">IFERROR(INDEX(Correspondance!$D$2:$D$3000,MATCH(A6,Correspondance!$A$2:$A$3000,0)),0)</f>
        <v>5.5</v>
      </c>
      <c r="F6" s="60" t="n">
        <f aca="false">C6*E6</f>
        <v>43.2389937106918</v>
      </c>
      <c r="G6" s="61"/>
      <c r="I6" s="63"/>
    </row>
    <row r="7" customFormat="false" ht="15.75" hidden="false" customHeight="false" outlineLevel="0" collapsed="false">
      <c r="A7" s="57" t="s">
        <v>999</v>
      </c>
      <c r="B7" s="57" t="n">
        <v>0.5</v>
      </c>
      <c r="C7" s="58" t="n">
        <f aca="false">B7/B$22*B$24</f>
        <v>0.786163522012579</v>
      </c>
      <c r="D7" s="57" t="s">
        <v>434</v>
      </c>
      <c r="E7" s="59" t="n">
        <f aca="false">IFERROR(INDEX(Correspondance!$D$2:$D$3000,MATCH(A7,Correspondance!$A$2:$A$3000,0)),0)</f>
        <v>1.9</v>
      </c>
      <c r="F7" s="60" t="n">
        <f aca="false">C7*E7</f>
        <v>1.4937106918239</v>
      </c>
      <c r="G7" s="61"/>
      <c r="I7" s="63"/>
    </row>
    <row r="8" customFormat="false" ht="15.75" hidden="false" customHeight="false" outlineLevel="0" collapsed="false">
      <c r="A8" s="57" t="s">
        <v>1689</v>
      </c>
      <c r="B8" s="57" t="n">
        <v>0.5</v>
      </c>
      <c r="C8" s="58" t="n">
        <f aca="false">B8/B$22*B$24</f>
        <v>0.786163522012579</v>
      </c>
      <c r="D8" s="57" t="s">
        <v>434</v>
      </c>
      <c r="E8" s="59" t="n">
        <f aca="false">IFERROR(INDEX(Correspondance!$D$2:$D$3000,MATCH(A8,Correspondance!$A$2:$A$3000,0)),0)</f>
        <v>6.5</v>
      </c>
      <c r="F8" s="60" t="n">
        <f aca="false">C8*E8</f>
        <v>5.11006289308176</v>
      </c>
      <c r="G8" s="61"/>
      <c r="I8" s="63"/>
    </row>
    <row r="9" customFormat="false" ht="15.75" hidden="false" customHeight="false" outlineLevel="0" collapsed="false">
      <c r="A9" s="57" t="s">
        <v>706</v>
      </c>
      <c r="B9" s="57" t="n">
        <v>1</v>
      </c>
      <c r="C9" s="58" t="n">
        <f aca="false">B9/B$22*B$24</f>
        <v>1.57232704402516</v>
      </c>
      <c r="D9" s="57" t="s">
        <v>434</v>
      </c>
      <c r="E9" s="59" t="n">
        <f aca="false">IFERROR(INDEX(Correspondance!$D$2:$D$3000,MATCH(A9,Correspondance!$A$2:$A$3000,0)),0)</f>
        <v>7.5</v>
      </c>
      <c r="F9" s="60" t="n">
        <f aca="false">C9*E9</f>
        <v>11.7924528301887</v>
      </c>
      <c r="G9" s="61"/>
      <c r="I9" s="63"/>
    </row>
    <row r="10" customFormat="false" ht="15.75" hidden="false" customHeight="false" outlineLevel="0" collapsed="false">
      <c r="A10" s="57" t="s">
        <v>728</v>
      </c>
      <c r="B10" s="57" t="n">
        <v>0.3</v>
      </c>
      <c r="C10" s="58" t="n">
        <f aca="false">B10/B$22*B$24</f>
        <v>0.471698113207547</v>
      </c>
      <c r="D10" s="57" t="s">
        <v>434</v>
      </c>
      <c r="E10" s="59" t="n">
        <f aca="false">IFERROR(INDEX(Correspondance!$D$2:$D$3000,MATCH(A10,Correspondance!$A$2:$A$3000,0)),0)</f>
        <v>16</v>
      </c>
      <c r="F10" s="60" t="n">
        <f aca="false">C10*E10</f>
        <v>7.54716981132076</v>
      </c>
      <c r="G10" s="61"/>
      <c r="I10" s="63"/>
    </row>
    <row r="11" customFormat="false" ht="15.75" hidden="false" customHeight="false" outlineLevel="0" collapsed="false">
      <c r="A11" s="57" t="s">
        <v>1675</v>
      </c>
      <c r="B11" s="57" t="n">
        <v>0.1</v>
      </c>
      <c r="C11" s="58" t="n">
        <f aca="false">B11/B$22*B$24</f>
        <v>0.157232704402516</v>
      </c>
      <c r="D11" s="57" t="s">
        <v>682</v>
      </c>
      <c r="E11" s="59" t="n">
        <f aca="false">IFERROR(INDEX(Correspondance!$D$2:$D$3000,MATCH(A11,Correspondance!$A$2:$A$3000,0)),0)</f>
        <v>2.2</v>
      </c>
      <c r="F11" s="60" t="n">
        <f aca="false">C11*E11</f>
        <v>0.345911949685535</v>
      </c>
      <c r="G11" s="61"/>
      <c r="I11" s="63"/>
    </row>
    <row r="12" customFormat="false" ht="18.75" hidden="false" customHeight="true" outlineLevel="0" collapsed="false">
      <c r="A12" s="57" t="s">
        <v>1919</v>
      </c>
      <c r="B12" s="64" t="n">
        <v>0.08</v>
      </c>
      <c r="C12" s="58" t="n">
        <f aca="false">B12/B$22*B$24</f>
        <v>0.125786163522013</v>
      </c>
      <c r="D12" s="57" t="s">
        <v>434</v>
      </c>
      <c r="E12" s="59" t="n">
        <f aca="false">IFERROR(INDEX(Correspondance!$D$2:$D$3000,MATCH(A12,Correspondance!$A$2:$A$3000,0)),0)</f>
        <v>2</v>
      </c>
      <c r="F12" s="60" t="n">
        <f aca="false">C12*E12</f>
        <v>0.251572327044025</v>
      </c>
      <c r="G12" s="61"/>
      <c r="I12" s="63"/>
    </row>
    <row r="13" customFormat="false" ht="18.75" hidden="false" customHeight="true" outlineLevel="0" collapsed="false">
      <c r="A13" s="57" t="s">
        <v>1796</v>
      </c>
      <c r="B13" s="64" t="n">
        <v>0.01</v>
      </c>
      <c r="C13" s="58" t="n">
        <f aca="false">B13/B$22*B$24</f>
        <v>0.0157232704402516</v>
      </c>
      <c r="D13" s="57" t="s">
        <v>434</v>
      </c>
      <c r="E13" s="59" t="n">
        <f aca="false">IFERROR(INDEX(Correspondance!$D$2:$D$3000,MATCH(A13,Correspondance!$A$2:$A$3000,0)),0)</f>
        <v>18</v>
      </c>
      <c r="F13" s="60" t="n">
        <f aca="false">C13*E13</f>
        <v>0.283018867924528</v>
      </c>
      <c r="G13" s="61"/>
      <c r="I13" s="63"/>
    </row>
    <row r="14" customFormat="false" ht="15.75" hidden="false" customHeight="false" outlineLevel="0" collapsed="false">
      <c r="A14" s="57" t="s">
        <v>1732</v>
      </c>
      <c r="B14" s="57"/>
      <c r="C14" s="58" t="n">
        <f aca="false">B14/B$22*B$24</f>
        <v>0</v>
      </c>
      <c r="D14" s="57" t="s">
        <v>434</v>
      </c>
      <c r="E14" s="59" t="n">
        <f aca="false">IFERROR(INDEX(Correspondance!$D$2:$D$3000,MATCH(A14,Correspondance!$A$2:$A$3000,0)),0)</f>
        <v>30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132.012578616352</v>
      </c>
      <c r="G19" s="61"/>
      <c r="I19" s="63"/>
    </row>
    <row r="20" customFormat="false" ht="18.75" hidden="false" customHeight="true" outlineLevel="0" collapsed="false">
      <c r="A20" s="68" t="s">
        <v>2628</v>
      </c>
      <c r="B20" s="69" t="n">
        <f aca="false">F19/B24</f>
        <v>1.20011435105775</v>
      </c>
      <c r="C20" s="70"/>
      <c r="G20" s="61"/>
      <c r="I20" s="63"/>
    </row>
    <row r="21" customFormat="false" ht="15.75" hidden="false" customHeight="false" outlineLevel="0" collapsed="false">
      <c r="A21" s="71" t="s">
        <v>2629</v>
      </c>
      <c r="B21" s="71" t="n">
        <f aca="false">SUM(B3:B18)</f>
        <v>17.49</v>
      </c>
      <c r="C21" s="66"/>
      <c r="G21" s="61"/>
      <c r="I21" s="63"/>
    </row>
    <row r="22" customFormat="false" ht="15.75" hidden="false" customHeight="false" outlineLevel="0" collapsed="false">
      <c r="A22" s="0" t="s">
        <v>2630</v>
      </c>
      <c r="B22" s="72" t="n">
        <f aca="false">B21/B23</f>
        <v>69.96</v>
      </c>
      <c r="C22" s="66"/>
      <c r="G22" s="61"/>
      <c r="I22" s="63"/>
    </row>
    <row r="23" customFormat="false" ht="15.75" hidden="false" customHeight="false" outlineLevel="0" collapsed="false">
      <c r="A23" s="0" t="s">
        <v>2631</v>
      </c>
      <c r="B23" s="0" t="n">
        <v>0.25</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185</v>
      </c>
      <c r="B1" s="50"/>
      <c r="C1" s="50"/>
      <c r="D1" s="50"/>
      <c r="E1" s="51" t="s">
        <v>2619</v>
      </c>
      <c r="F1" s="51"/>
      <c r="G1" s="52" t="s">
        <v>2852</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1868</v>
      </c>
      <c r="B4" s="57" t="n">
        <v>6.78</v>
      </c>
      <c r="C4" s="58" t="n">
        <f aca="false">B4/B$22*B$24</f>
        <v>10.6555034861127</v>
      </c>
      <c r="D4" s="57" t="s">
        <v>434</v>
      </c>
      <c r="E4" s="59" t="n">
        <f aca="false">IFERROR(INDEX(Correspondance!$D$2:$D$3000,MATCH(A4,Correspondance!$A$2:$A$3000,0)),0)</f>
        <v>1.6</v>
      </c>
      <c r="F4" s="60" t="n">
        <f aca="false">C4*E4</f>
        <v>17.0488055777803</v>
      </c>
      <c r="G4" s="61" t="s">
        <v>2855</v>
      </c>
    </row>
    <row r="5" customFormat="false" ht="15.75" hidden="false" customHeight="false" outlineLevel="0" collapsed="false">
      <c r="A5" s="57" t="s">
        <v>573</v>
      </c>
      <c r="B5" s="57" t="n">
        <v>2.42</v>
      </c>
      <c r="C5" s="58" t="n">
        <f aca="false">B5/B$22*B$24</f>
        <v>3.80329180477769</v>
      </c>
      <c r="D5" s="57" t="s">
        <v>434</v>
      </c>
      <c r="E5" s="59" t="n">
        <f aca="false">IFERROR(INDEX(Correspondance!$D$2:$D$3000,MATCH(A5,Correspondance!$A$2:$A$3000,0)),0)</f>
        <v>10.5</v>
      </c>
      <c r="F5" s="60" t="n">
        <f aca="false">C5*E5</f>
        <v>39.9345639501657</v>
      </c>
      <c r="G5" s="61"/>
      <c r="I5" s="62"/>
    </row>
    <row r="6" customFormat="false" ht="15.75" hidden="false" customHeight="false" outlineLevel="0" collapsed="false">
      <c r="A6" s="57" t="s">
        <v>1856</v>
      </c>
      <c r="B6" s="57" t="n">
        <v>3.87</v>
      </c>
      <c r="C6" s="58" t="n">
        <f aca="false">B6/B$22*B$24</f>
        <v>6.08212367127672</v>
      </c>
      <c r="D6" s="57" t="s">
        <v>434</v>
      </c>
      <c r="E6" s="59" t="n">
        <f aca="false">IFERROR(INDEX(Correspondance!$D$2:$D$3000,MATCH(A6,Correspondance!$A$2:$A$3000,0)),0)</f>
        <v>1.5</v>
      </c>
      <c r="F6" s="60" t="n">
        <f aca="false">C6*E6</f>
        <v>9.12318550691508</v>
      </c>
      <c r="G6" s="61"/>
      <c r="I6" s="63"/>
    </row>
    <row r="7" customFormat="false" ht="15.75" hidden="false" customHeight="false" outlineLevel="0" collapsed="false">
      <c r="A7" s="57" t="s">
        <v>1024</v>
      </c>
      <c r="B7" s="57" t="n">
        <v>1.45</v>
      </c>
      <c r="C7" s="58" t="n">
        <f aca="false">B7/B$22*B$24</f>
        <v>2.27883186649903</v>
      </c>
      <c r="D7" s="57" t="s">
        <v>434</v>
      </c>
      <c r="E7" s="59" t="n">
        <f aca="false">IFERROR(INDEX(Correspondance!$D$2:$D$3000,MATCH(A7,Correspondance!$A$2:$A$3000,0)),0)</f>
        <v>3</v>
      </c>
      <c r="F7" s="60" t="n">
        <f aca="false">C7*E7</f>
        <v>6.83649559949709</v>
      </c>
      <c r="G7" s="61"/>
      <c r="I7" s="63"/>
    </row>
    <row r="8" customFormat="false" ht="15.75" hidden="false" customHeight="false" outlineLevel="0" collapsed="false">
      <c r="A8" s="57" t="s">
        <v>1001</v>
      </c>
      <c r="B8" s="57" t="n">
        <v>0.775</v>
      </c>
      <c r="C8" s="58" t="n">
        <f aca="false">B8/B$22*B$24</f>
        <v>1.21799634243914</v>
      </c>
      <c r="D8" s="57" t="s">
        <v>434</v>
      </c>
      <c r="E8" s="59" t="n">
        <f aca="false">IFERROR(INDEX(Correspondance!$D$2:$D$3000,MATCH(A8,Correspondance!$A$2:$A$3000,0)),0)</f>
        <v>1.8</v>
      </c>
      <c r="F8" s="60" t="n">
        <f aca="false">C8*E8</f>
        <v>2.19239341639044</v>
      </c>
      <c r="G8" s="61"/>
      <c r="I8" s="63"/>
    </row>
    <row r="9" customFormat="false" ht="15.75" hidden="false" customHeight="false" outlineLevel="0" collapsed="false">
      <c r="A9" s="57" t="s">
        <v>894</v>
      </c>
      <c r="B9" s="57" t="n">
        <v>0.048</v>
      </c>
      <c r="C9" s="58" t="n">
        <f aca="false">B9/B$22*B$24</f>
        <v>0.0754371928220368</v>
      </c>
      <c r="D9" s="57" t="s">
        <v>434</v>
      </c>
      <c r="E9" s="59" t="n">
        <f aca="false">IFERROR(INDEX(Correspondance!$D$2:$D$3000,MATCH(A9,Correspondance!$A$2:$A$3000,0)),0)</f>
        <v>5.5</v>
      </c>
      <c r="F9" s="60" t="n">
        <f aca="false">C9*E9</f>
        <v>0.414904560521202</v>
      </c>
      <c r="G9" s="61"/>
      <c r="I9" s="63"/>
    </row>
    <row r="10" customFormat="false" ht="15.75" hidden="false" customHeight="false" outlineLevel="0" collapsed="false">
      <c r="A10" s="57" t="s">
        <v>1576</v>
      </c>
      <c r="B10" s="57" t="n">
        <v>0.968</v>
      </c>
      <c r="C10" s="58" t="n">
        <f aca="false">B10/B$22*B$24</f>
        <v>1.52131672191108</v>
      </c>
      <c r="D10" s="57" t="s">
        <v>434</v>
      </c>
      <c r="E10" s="59" t="n">
        <f aca="false">IFERROR(INDEX(Correspondance!$D$2:$D$3000,MATCH(A10,Correspondance!$A$2:$A$3000,0)),0)</f>
        <v>5.5</v>
      </c>
      <c r="F10" s="60" t="n">
        <f aca="false">C10*E10</f>
        <v>8.36724197051091</v>
      </c>
      <c r="G10" s="61"/>
      <c r="I10" s="63"/>
    </row>
    <row r="11" customFormat="false" ht="15.75" hidden="false" customHeight="false" outlineLevel="0" collapsed="false">
      <c r="A11" s="57" t="s">
        <v>1120</v>
      </c>
      <c r="B11" s="57" t="n">
        <v>0.145</v>
      </c>
      <c r="C11" s="58" t="n">
        <f aca="false">B11/B$22*B$24</f>
        <v>0.227883186649903</v>
      </c>
      <c r="D11" s="57" t="s">
        <v>682</v>
      </c>
      <c r="E11" s="59" t="n">
        <f aca="false">IFERROR(INDEX(Correspondance!$D$2:$D$3000,MATCH(A11,Correspondance!$A$2:$A$3000,0)),0)</f>
        <v>7.5</v>
      </c>
      <c r="F11" s="60" t="n">
        <f aca="false">C11*E11</f>
        <v>1.70912389987427</v>
      </c>
      <c r="G11" s="61"/>
      <c r="I11" s="63"/>
    </row>
    <row r="12" customFormat="false" ht="18.75" hidden="false" customHeight="true" outlineLevel="0" collapsed="false">
      <c r="A12" s="57" t="s">
        <v>1919</v>
      </c>
      <c r="B12" s="64" t="n">
        <v>0.068</v>
      </c>
      <c r="C12" s="58" t="n">
        <f aca="false">B12/B$22*B$24</f>
        <v>0.106869356497885</v>
      </c>
      <c r="D12" s="57" t="s">
        <v>434</v>
      </c>
      <c r="E12" s="59" t="n">
        <f aca="false">IFERROR(INDEX(Correspondance!$D$2:$D$3000,MATCH(A12,Correspondance!$A$2:$A$3000,0)),0)</f>
        <v>2</v>
      </c>
      <c r="F12" s="60" t="n">
        <f aca="false">C12*E12</f>
        <v>0.213738712995771</v>
      </c>
      <c r="G12" s="61"/>
      <c r="I12" s="63"/>
    </row>
    <row r="13" customFormat="false" ht="18.75" hidden="false" customHeight="true" outlineLevel="0" collapsed="false">
      <c r="A13" s="57" t="s">
        <v>1796</v>
      </c>
      <c r="B13" s="64" t="n">
        <v>0.006</v>
      </c>
      <c r="C13" s="58" t="n">
        <f aca="false">B13/B$22*B$24</f>
        <v>0.0094296491027546</v>
      </c>
      <c r="D13" s="57" t="s">
        <v>434</v>
      </c>
      <c r="E13" s="59" t="n">
        <f aca="false">IFERROR(INDEX(Correspondance!$D$2:$D$3000,MATCH(A13,Correspondance!$A$2:$A$3000,0)),0)</f>
        <v>18</v>
      </c>
      <c r="F13" s="60" t="n">
        <f aca="false">C13*E13</f>
        <v>0.169733683849583</v>
      </c>
      <c r="G13" s="61"/>
      <c r="I13" s="63"/>
    </row>
    <row r="14" customFormat="false" ht="15.75" hidden="false" customHeight="false" outlineLevel="0" collapsed="false">
      <c r="A14" s="57" t="s">
        <v>1764</v>
      </c>
      <c r="B14" s="57"/>
      <c r="C14" s="58" t="n">
        <f aca="false">B14/B$22*B$24</f>
        <v>0</v>
      </c>
      <c r="D14" s="57" t="s">
        <v>434</v>
      </c>
      <c r="E14" s="59" t="n">
        <f aca="false">IFERROR(INDEX(Correspondance!$D$2:$D$3000,MATCH(A14,Correspondance!$A$2:$A$3000,0)),0)</f>
        <v>11</v>
      </c>
      <c r="F14" s="60" t="n">
        <f aca="false">C14*E14</f>
        <v>0</v>
      </c>
      <c r="G14" s="61"/>
      <c r="I14" s="63"/>
    </row>
    <row r="15" customFormat="false" ht="15.75" hidden="false" customHeight="false" outlineLevel="0" collapsed="false">
      <c r="A15" s="57" t="s">
        <v>706</v>
      </c>
      <c r="B15" s="57" t="n">
        <v>0.968</v>
      </c>
      <c r="C15" s="58" t="n">
        <f aca="false">B15/B$22*B$24</f>
        <v>1.52131672191108</v>
      </c>
      <c r="D15" s="57" t="s">
        <v>434</v>
      </c>
      <c r="E15" s="59" t="n">
        <f aca="false">IFERROR(INDEX(Correspondance!$D$2:$D$3000,MATCH(A15,Correspondance!$A$2:$A$3000,0)),0)</f>
        <v>7.5</v>
      </c>
      <c r="F15" s="60" t="n">
        <f aca="false">C15*E15</f>
        <v>11.4098754143331</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97.4200622928335</v>
      </c>
      <c r="G19" s="61"/>
      <c r="I19" s="63"/>
    </row>
    <row r="20" customFormat="false" ht="18.75" hidden="false" customHeight="true" outlineLevel="0" collapsed="false">
      <c r="A20" s="68" t="s">
        <v>2628</v>
      </c>
      <c r="B20" s="69" t="n">
        <f aca="false">F19/B24</f>
        <v>0.88563692993485</v>
      </c>
      <c r="C20" s="70"/>
      <c r="G20" s="61"/>
      <c r="I20" s="63"/>
    </row>
    <row r="21" customFormat="false" ht="15.75" hidden="false" customHeight="false" outlineLevel="0" collapsed="false">
      <c r="A21" s="71" t="s">
        <v>2629</v>
      </c>
      <c r="B21" s="71" t="n">
        <f aca="false">SUM(B3:B18)</f>
        <v>17.498</v>
      </c>
      <c r="C21" s="66"/>
      <c r="G21" s="61"/>
      <c r="I21" s="63"/>
    </row>
    <row r="22" customFormat="false" ht="15.75" hidden="false" customHeight="false" outlineLevel="0" collapsed="false">
      <c r="A22" s="0" t="s">
        <v>2630</v>
      </c>
      <c r="B22" s="72" t="n">
        <f aca="false">B21/B23</f>
        <v>69.992</v>
      </c>
      <c r="C22" s="66"/>
      <c r="G22" s="61"/>
      <c r="I22" s="63"/>
    </row>
    <row r="23" customFormat="false" ht="15.75" hidden="false" customHeight="false" outlineLevel="0" collapsed="false">
      <c r="A23" s="0" t="s">
        <v>2631</v>
      </c>
      <c r="B23" s="0" t="n">
        <v>0.25</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186</v>
      </c>
      <c r="B1" s="50"/>
      <c r="C1" s="50"/>
      <c r="D1" s="50"/>
      <c r="E1" s="51" t="s">
        <v>2619</v>
      </c>
      <c r="F1" s="51"/>
      <c r="G1" s="52" t="s">
        <v>2856</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1866</v>
      </c>
      <c r="B4" s="57" t="n">
        <v>6</v>
      </c>
      <c r="C4" s="58" t="n">
        <f aca="false">B4/B$22*B$24</f>
        <v>9.42568601448536</v>
      </c>
      <c r="D4" s="57" t="s">
        <v>434</v>
      </c>
      <c r="E4" s="59" t="n">
        <f aca="false">IFERROR(INDEX(Correspondance!$D$2:$D$3000,MATCH(A4,Correspondance!$A$2:$A$3000,0)),0)</f>
        <v>1.6</v>
      </c>
      <c r="F4" s="60" t="n">
        <f aca="false">C4*E4</f>
        <v>15.0810976231766</v>
      </c>
      <c r="G4" s="61" t="s">
        <v>2857</v>
      </c>
    </row>
    <row r="5" customFormat="false" ht="15.75" hidden="false" customHeight="false" outlineLevel="0" collapsed="false">
      <c r="A5" s="57" t="s">
        <v>576</v>
      </c>
      <c r="B5" s="57" t="n">
        <v>4</v>
      </c>
      <c r="C5" s="58" t="n">
        <f aca="false">B5/B$22*B$24</f>
        <v>6.28379067632358</v>
      </c>
      <c r="D5" s="57" t="s">
        <v>434</v>
      </c>
      <c r="E5" s="59" t="n">
        <f aca="false">IFERROR(INDEX(Correspondance!$D$2:$D$3000,MATCH(A5,Correspondance!$A$2:$A$3000,0)),0)</f>
        <v>8.5</v>
      </c>
      <c r="F5" s="60" t="n">
        <f aca="false">C5*E5</f>
        <v>53.4122207487504</v>
      </c>
      <c r="G5" s="61"/>
      <c r="I5" s="62"/>
    </row>
    <row r="6" customFormat="false" ht="15.75" hidden="false" customHeight="false" outlineLevel="0" collapsed="false">
      <c r="A6" s="57" t="s">
        <v>1692</v>
      </c>
      <c r="B6" s="57" t="n">
        <v>6</v>
      </c>
      <c r="C6" s="58" t="n">
        <f aca="false">B6/B$22*B$24</f>
        <v>9.42568601448536</v>
      </c>
      <c r="D6" s="57" t="s">
        <v>682</v>
      </c>
      <c r="E6" s="59" t="n">
        <f aca="false">IFERROR(INDEX(Correspondance!$D$2:$D$3000,MATCH(A6,Correspondance!$A$2:$A$3000,0)),0)</f>
        <v>2.4</v>
      </c>
      <c r="F6" s="60" t="n">
        <f aca="false">C6*E6</f>
        <v>22.6216464347649</v>
      </c>
      <c r="G6" s="61"/>
      <c r="I6" s="63"/>
    </row>
    <row r="7" customFormat="false" ht="15.75" hidden="false" customHeight="false" outlineLevel="0" collapsed="false">
      <c r="A7" s="57" t="s">
        <v>1491</v>
      </c>
      <c r="B7" s="57" t="n">
        <v>0.4</v>
      </c>
      <c r="C7" s="58" t="n">
        <f aca="false">B7/B$22*B$24</f>
        <v>0.628379067632358</v>
      </c>
      <c r="D7" s="57" t="s">
        <v>434</v>
      </c>
      <c r="E7" s="59" t="n">
        <f aca="false">IFERROR(INDEX(Correspondance!$D$2:$D$3000,MATCH(A7,Correspondance!$A$2:$A$3000,0)),0)</f>
        <v>9</v>
      </c>
      <c r="F7" s="60" t="n">
        <f aca="false">C7*E7</f>
        <v>5.65541160869122</v>
      </c>
      <c r="G7" s="61"/>
      <c r="I7" s="63"/>
    </row>
    <row r="8" customFormat="false" ht="15.75" hidden="false" customHeight="false" outlineLevel="0" collapsed="false">
      <c r="A8" s="57" t="s">
        <v>1616</v>
      </c>
      <c r="B8" s="57" t="n">
        <v>0.4</v>
      </c>
      <c r="C8" s="58" t="n">
        <f aca="false">B8/B$22*B$24</f>
        <v>0.628379067632358</v>
      </c>
      <c r="D8" s="57" t="s">
        <v>434</v>
      </c>
      <c r="E8" s="59" t="n">
        <f aca="false">IFERROR(INDEX(Correspondance!$D$2:$D$3000,MATCH(A8,Correspondance!$A$2:$A$3000,0)),0)</f>
        <v>0.85</v>
      </c>
      <c r="F8" s="60" t="n">
        <f aca="false">C8*E8</f>
        <v>0.534122207487504</v>
      </c>
      <c r="G8" s="61"/>
      <c r="I8" s="63"/>
    </row>
    <row r="9" customFormat="false" ht="15.75" hidden="false" customHeight="false" outlineLevel="0" collapsed="false">
      <c r="A9" s="57" t="s">
        <v>1576</v>
      </c>
      <c r="B9" s="57" t="n">
        <v>1</v>
      </c>
      <c r="C9" s="58" t="n">
        <f aca="false">B9/B$22*B$24</f>
        <v>1.57094766908089</v>
      </c>
      <c r="D9" s="57" t="s">
        <v>434</v>
      </c>
      <c r="E9" s="59" t="n">
        <f aca="false">IFERROR(INDEX(Correspondance!$D$2:$D$3000,MATCH(A9,Correspondance!$A$2:$A$3000,0)),0)</f>
        <v>5.5</v>
      </c>
      <c r="F9" s="60" t="n">
        <f aca="false">C9*E9</f>
        <v>8.64021217994492</v>
      </c>
      <c r="G9" s="61"/>
      <c r="I9" s="63"/>
    </row>
    <row r="10" customFormat="false" ht="15.75" hidden="false" customHeight="false" outlineLevel="0" collapsed="false">
      <c r="A10" s="57" t="s">
        <v>706</v>
      </c>
      <c r="B10" s="57" t="n">
        <v>1.5</v>
      </c>
      <c r="C10" s="58" t="n">
        <f aca="false">B10/B$22*B$24</f>
        <v>2.35642150362134</v>
      </c>
      <c r="D10" s="57" t="s">
        <v>434</v>
      </c>
      <c r="E10" s="59" t="n">
        <f aca="false">IFERROR(INDEX(Correspondance!$D$2:$D$3000,MATCH(A10,Correspondance!$A$2:$A$3000,0)),0)</f>
        <v>7.5</v>
      </c>
      <c r="F10" s="60" t="n">
        <f aca="false">C10*E10</f>
        <v>17.6731612771601</v>
      </c>
      <c r="G10" s="61"/>
      <c r="I10" s="63"/>
    </row>
    <row r="11" customFormat="false" ht="15.75" hidden="false" customHeight="false" outlineLevel="0" collapsed="false">
      <c r="A11" s="57" t="s">
        <v>1070</v>
      </c>
      <c r="B11" s="57" t="n">
        <v>0.2</v>
      </c>
      <c r="C11" s="58" t="n">
        <f aca="false">B11/B$22*B$24</f>
        <v>0.314189533816179</v>
      </c>
      <c r="D11" s="57" t="s">
        <v>434</v>
      </c>
      <c r="E11" s="59" t="n">
        <f aca="false">IFERROR(INDEX(Correspondance!$D$2:$D$3000,MATCH(A11,Correspondance!$A$2:$A$3000,0)),0)</f>
        <v>2</v>
      </c>
      <c r="F11" s="60" t="n">
        <f aca="false">C11*E11</f>
        <v>0.628379067632358</v>
      </c>
      <c r="G11" s="61"/>
      <c r="I11" s="63"/>
    </row>
    <row r="12" customFormat="false" ht="18.75" hidden="false" customHeight="true" outlineLevel="0" collapsed="false">
      <c r="A12" s="57" t="s">
        <v>1919</v>
      </c>
      <c r="B12" s="64" t="n">
        <v>0.1</v>
      </c>
      <c r="C12" s="58" t="n">
        <f aca="false">B12/B$22*B$24</f>
        <v>0.157094766908089</v>
      </c>
      <c r="D12" s="57" t="s">
        <v>434</v>
      </c>
      <c r="E12" s="59" t="n">
        <f aca="false">IFERROR(INDEX(Correspondance!$D$2:$D$3000,MATCH(A12,Correspondance!$A$2:$A$3000,0)),0)</f>
        <v>2</v>
      </c>
      <c r="F12" s="60" t="n">
        <f aca="false">C12*E12</f>
        <v>0.314189533816179</v>
      </c>
      <c r="G12" s="61"/>
      <c r="I12" s="63"/>
    </row>
    <row r="13" customFormat="false" ht="18.75" hidden="false" customHeight="true" outlineLevel="0" collapsed="false">
      <c r="A13" s="57" t="s">
        <v>1796</v>
      </c>
      <c r="B13" s="64" t="n">
        <v>0.006</v>
      </c>
      <c r="C13" s="58" t="n">
        <f aca="false">B13/B$22*B$24</f>
        <v>0.00942568601448536</v>
      </c>
      <c r="D13" s="57" t="s">
        <v>434</v>
      </c>
      <c r="E13" s="59" t="n">
        <f aca="false">IFERROR(INDEX(Correspondance!$D$2:$D$3000,MATCH(A13,Correspondance!$A$2:$A$3000,0)),0)</f>
        <v>18</v>
      </c>
      <c r="F13" s="60" t="n">
        <f aca="false">C13*E13</f>
        <v>0.169662348260737</v>
      </c>
      <c r="G13" s="61"/>
      <c r="I13" s="63"/>
    </row>
    <row r="14" customFormat="false" ht="15.75" hidden="false" customHeight="false" outlineLevel="0" collapsed="false">
      <c r="A14" s="57" t="s">
        <v>1732</v>
      </c>
      <c r="B14" s="57"/>
      <c r="C14" s="58" t="n">
        <f aca="false">B14/B$22*B$24</f>
        <v>0</v>
      </c>
      <c r="D14" s="57" t="s">
        <v>434</v>
      </c>
      <c r="E14" s="59" t="n">
        <f aca="false">IFERROR(INDEX(Correspondance!$D$2:$D$3000,MATCH(A14,Correspondance!$A$2:$A$3000,0)),0)</f>
        <v>30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124.730103029685</v>
      </c>
      <c r="G19" s="61"/>
      <c r="I19" s="63"/>
    </row>
    <row r="20" customFormat="false" ht="18.75" hidden="false" customHeight="true" outlineLevel="0" collapsed="false">
      <c r="A20" s="68" t="s">
        <v>2628</v>
      </c>
      <c r="B20" s="69" t="n">
        <f aca="false">F19/B24</f>
        <v>1.13391002754259</v>
      </c>
      <c r="C20" s="70"/>
      <c r="G20" s="61"/>
      <c r="I20" s="63"/>
    </row>
    <row r="21" customFormat="false" ht="15.75" hidden="false" customHeight="false" outlineLevel="0" collapsed="false">
      <c r="A21" s="71" t="s">
        <v>2629</v>
      </c>
      <c r="B21" s="71" t="n">
        <f aca="false">SUM(B3:B18)</f>
        <v>19.606</v>
      </c>
      <c r="C21" s="66"/>
      <c r="G21" s="61"/>
      <c r="I21" s="63"/>
    </row>
    <row r="22" customFormat="false" ht="15.75" hidden="false" customHeight="false" outlineLevel="0" collapsed="false">
      <c r="A22" s="0" t="s">
        <v>2630</v>
      </c>
      <c r="B22" s="72" t="n">
        <f aca="false">B21/B23</f>
        <v>70.0214285714286</v>
      </c>
      <c r="C22" s="66"/>
      <c r="G22" s="61"/>
      <c r="I22" s="63"/>
    </row>
    <row r="23" customFormat="false" ht="15.75" hidden="false" customHeight="false" outlineLevel="0" collapsed="false">
      <c r="A23" s="0" t="s">
        <v>2631</v>
      </c>
      <c r="B23" s="0" t="n">
        <v>0.28</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188</v>
      </c>
      <c r="B1" s="50"/>
      <c r="C1" s="50"/>
      <c r="D1" s="50"/>
      <c r="E1" s="51" t="s">
        <v>2619</v>
      </c>
      <c r="F1" s="51"/>
      <c r="G1" s="52" t="s">
        <v>2858</v>
      </c>
    </row>
    <row r="2" customFormat="false" ht="24.75" hidden="false" customHeight="true" outlineLevel="0" collapsed="false">
      <c r="A2" s="50"/>
      <c r="B2" s="50"/>
      <c r="C2" s="50"/>
      <c r="D2" s="50"/>
      <c r="E2" s="53" t="s">
        <v>2692</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1943</v>
      </c>
      <c r="B4" s="57" t="n">
        <v>8.98</v>
      </c>
      <c r="C4" s="58" t="n">
        <f aca="false">B4/B$22*B$24</f>
        <v>14.1073978863182</v>
      </c>
      <c r="D4" s="57" t="s">
        <v>434</v>
      </c>
      <c r="E4" s="59" t="n">
        <f aca="false">IFERROR(INDEX(Correspondance!$D$2:$D$3000,MATCH(A4,Correspondance!$A$2:$A$3000,0)),0)</f>
        <v>9</v>
      </c>
      <c r="F4" s="60" t="n">
        <f aca="false">C4*E4</f>
        <v>126.966580976864</v>
      </c>
      <c r="G4" s="61" t="s">
        <v>2859</v>
      </c>
    </row>
    <row r="5" customFormat="false" ht="15.75" hidden="false" customHeight="false" outlineLevel="0" collapsed="false">
      <c r="A5" s="57" t="s">
        <v>1675</v>
      </c>
      <c r="B5" s="57" t="n">
        <v>0.18</v>
      </c>
      <c r="C5" s="58" t="n">
        <f aca="false">B5/B$22*B$24</f>
        <v>0.282776349614396</v>
      </c>
      <c r="D5" s="57" t="s">
        <v>682</v>
      </c>
      <c r="E5" s="59" t="n">
        <f aca="false">IFERROR(INDEX(Correspondance!$D$2:$D$3000,MATCH(A5,Correspondance!$A$2:$A$3000,0)),0)</f>
        <v>2.2</v>
      </c>
      <c r="F5" s="60" t="n">
        <f aca="false">C5*E5</f>
        <v>0.622107969151671</v>
      </c>
      <c r="G5" s="61"/>
      <c r="I5" s="62"/>
    </row>
    <row r="6" customFormat="false" ht="15.75" hidden="false" customHeight="false" outlineLevel="0" collapsed="false">
      <c r="A6" s="57" t="s">
        <v>1919</v>
      </c>
      <c r="B6" s="57" t="n">
        <v>0.09</v>
      </c>
      <c r="C6" s="58" t="n">
        <f aca="false">B6/B$22*B$24</f>
        <v>0.141388174807198</v>
      </c>
      <c r="D6" s="57" t="s">
        <v>434</v>
      </c>
      <c r="E6" s="59" t="n">
        <f aca="false">IFERROR(INDEX(Correspondance!$D$2:$D$3000,MATCH(A6,Correspondance!$A$2:$A$3000,0)),0)</f>
        <v>2</v>
      </c>
      <c r="F6" s="60" t="n">
        <f aca="false">C6*E6</f>
        <v>0.282776349614396</v>
      </c>
      <c r="G6" s="61"/>
      <c r="I6" s="63"/>
    </row>
    <row r="7" customFormat="false" ht="15.75" hidden="false" customHeight="false" outlineLevel="0" collapsed="false">
      <c r="A7" s="57" t="s">
        <v>1796</v>
      </c>
      <c r="B7" s="57" t="n">
        <v>0.005</v>
      </c>
      <c r="C7" s="58" t="n">
        <f aca="false">B7/B$22*B$24</f>
        <v>0.00785489860039989</v>
      </c>
      <c r="D7" s="57" t="s">
        <v>434</v>
      </c>
      <c r="E7" s="59" t="n">
        <f aca="false">IFERROR(INDEX(Correspondance!$D$2:$D$3000,MATCH(A7,Correspondance!$A$2:$A$3000,0)),0)</f>
        <v>18</v>
      </c>
      <c r="F7" s="60" t="n">
        <f aca="false">C7*E7</f>
        <v>0.141388174807198</v>
      </c>
      <c r="G7" s="61"/>
      <c r="I7" s="63"/>
    </row>
    <row r="8" customFormat="false" ht="15.75" hidden="false" customHeight="false" outlineLevel="0" collapsed="false">
      <c r="A8" s="57" t="s">
        <v>1491</v>
      </c>
      <c r="B8" s="57" t="n">
        <v>0.269</v>
      </c>
      <c r="C8" s="58" t="n">
        <f aca="false">B8/B$22*B$24</f>
        <v>0.422593544701514</v>
      </c>
      <c r="D8" s="57" t="s">
        <v>434</v>
      </c>
      <c r="E8" s="59" t="n">
        <f aca="false">IFERROR(INDEX(Correspondance!$D$2:$D$3000,MATCH(A8,Correspondance!$A$2:$A$3000,0)),0)</f>
        <v>9</v>
      </c>
      <c r="F8" s="60" t="n">
        <f aca="false">C8*E8</f>
        <v>3.80334190231363</v>
      </c>
      <c r="G8" s="61"/>
      <c r="I8" s="63"/>
    </row>
    <row r="9" customFormat="false" ht="15.75" hidden="false" customHeight="false" outlineLevel="0" collapsed="false">
      <c r="A9" s="57" t="s">
        <v>947</v>
      </c>
      <c r="B9" s="57" t="n">
        <v>0.269</v>
      </c>
      <c r="C9" s="58" t="n">
        <f aca="false">B9/B$22*B$24</f>
        <v>0.422593544701514</v>
      </c>
      <c r="D9" s="57" t="s">
        <v>434</v>
      </c>
      <c r="E9" s="59" t="n">
        <f aca="false">IFERROR(INDEX(Correspondance!$D$2:$D$3000,MATCH(A9,Correspondance!$A$2:$A$3000,0)),0)</f>
        <v>4.5</v>
      </c>
      <c r="F9" s="60" t="n">
        <f aca="false">C9*E9</f>
        <v>1.90167095115681</v>
      </c>
      <c r="G9" s="61"/>
      <c r="I9" s="63"/>
    </row>
    <row r="10" customFormat="false" ht="15.75" hidden="false" customHeight="false" outlineLevel="0" collapsed="false">
      <c r="A10" s="57" t="s">
        <v>1973</v>
      </c>
      <c r="B10" s="57" t="n">
        <v>0.449</v>
      </c>
      <c r="C10" s="58" t="n">
        <f aca="false">B10/B$22*B$24</f>
        <v>0.70536989431591</v>
      </c>
      <c r="D10" s="57" t="s">
        <v>682</v>
      </c>
      <c r="E10" s="59" t="n">
        <f aca="false">IFERROR(INDEX(Correspondance!$D$2:$D$3000,MATCH(A10,Correspondance!$A$2:$A$3000,0)),0)</f>
        <v>2</v>
      </c>
      <c r="F10" s="60" t="n">
        <f aca="false">C10*E10</f>
        <v>1.41073978863182</v>
      </c>
      <c r="G10" s="61"/>
      <c r="I10" s="63"/>
    </row>
    <row r="11" customFormat="false" ht="15.75" hidden="false" customHeight="false" outlineLevel="0" collapsed="false">
      <c r="A11" s="57" t="s">
        <v>1459</v>
      </c>
      <c r="B11" s="57" t="n">
        <v>1.8</v>
      </c>
      <c r="C11" s="58" t="n">
        <f aca="false">B11/B$22*B$24</f>
        <v>2.82776349614396</v>
      </c>
      <c r="D11" s="57" t="s">
        <v>682</v>
      </c>
      <c r="E11" s="59" t="n">
        <f aca="false">IFERROR(INDEX(Correspondance!$D$2:$D$3000,MATCH(A11,Correspondance!$A$2:$A$3000,0)),0)</f>
        <v>0</v>
      </c>
      <c r="F11" s="60" t="n">
        <f aca="false">C11*E11</f>
        <v>0</v>
      </c>
      <c r="G11" s="61"/>
      <c r="I11" s="63"/>
    </row>
    <row r="12" customFormat="false" ht="18.75" hidden="false" customHeight="true" outlineLevel="0" collapsed="false">
      <c r="A12" s="57" t="s">
        <v>1100</v>
      </c>
      <c r="B12" s="64" t="n">
        <v>0.072</v>
      </c>
      <c r="C12" s="58" t="n">
        <f aca="false">B12/B$22*B$24</f>
        <v>0.113110539845758</v>
      </c>
      <c r="D12" s="57" t="s">
        <v>434</v>
      </c>
      <c r="E12" s="59" t="n">
        <f aca="false">IFERROR(INDEX(Correspondance!$D$2:$D$3000,MATCH(A12,Correspondance!$A$2:$A$3000,0)),0)</f>
        <v>10</v>
      </c>
      <c r="F12" s="60" t="n">
        <f aca="false">C12*E12</f>
        <v>1.13110539845758</v>
      </c>
      <c r="G12" s="61"/>
      <c r="I12" s="63"/>
    </row>
    <row r="13" customFormat="false" ht="18.75" hidden="false" customHeight="true" outlineLevel="0" collapsed="false">
      <c r="A13" s="57" t="s">
        <v>1576</v>
      </c>
      <c r="B13" s="64" t="n">
        <v>1.8</v>
      </c>
      <c r="C13" s="58" t="n">
        <f aca="false">B13/B$22*B$24</f>
        <v>2.82776349614396</v>
      </c>
      <c r="D13" s="57" t="s">
        <v>434</v>
      </c>
      <c r="E13" s="59" t="n">
        <f aca="false">IFERROR(INDEX(Correspondance!$D$2:$D$3000,MATCH(A13,Correspondance!$A$2:$A$3000,0)),0)</f>
        <v>5.5</v>
      </c>
      <c r="F13" s="60" t="n">
        <f aca="false">C13*E13</f>
        <v>15.5526992287918</v>
      </c>
      <c r="G13" s="61"/>
      <c r="I13" s="63"/>
    </row>
    <row r="14" customFormat="false" ht="15.75" hidden="false" customHeight="false" outlineLevel="0" collapsed="false">
      <c r="A14" s="57" t="s">
        <v>1084</v>
      </c>
      <c r="B14" s="57" t="n">
        <v>0.09</v>
      </c>
      <c r="C14" s="58" t="n">
        <f aca="false">B14/B$22*B$24</f>
        <v>0.141388174807198</v>
      </c>
      <c r="D14" s="57" t="s">
        <v>434</v>
      </c>
      <c r="E14" s="59" t="n">
        <f aca="false">IFERROR(INDEX(Correspondance!$D$2:$D$3000,MATCH(A14,Correspondance!$A$2:$A$3000,0)),0)</f>
        <v>2.2</v>
      </c>
      <c r="F14" s="60" t="n">
        <f aca="false">C14*E14</f>
        <v>0.311053984575836</v>
      </c>
      <c r="G14" s="61"/>
      <c r="I14" s="63"/>
    </row>
    <row r="15" customFormat="false" ht="15.75" hidden="false" customHeight="false" outlineLevel="0" collapsed="false">
      <c r="A15" s="57" t="s">
        <v>1614</v>
      </c>
      <c r="B15" s="57"/>
      <c r="C15" s="58" t="n">
        <f aca="false">B15/B$22*B$24</f>
        <v>0</v>
      </c>
      <c r="D15" s="57" t="s">
        <v>434</v>
      </c>
      <c r="E15" s="59" t="n">
        <f aca="false">IFERROR(INDEX(Correspondance!$D$2:$D$3000,MATCH(A15,Correspondance!$A$2:$A$3000,0)),0)</f>
        <v>14</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152.123464724364</v>
      </c>
      <c r="G19" s="61"/>
      <c r="I19" s="63"/>
    </row>
    <row r="20" customFormat="false" ht="18.75" hidden="false" customHeight="true" outlineLevel="0" collapsed="false">
      <c r="A20" s="68" t="s">
        <v>2628</v>
      </c>
      <c r="B20" s="69" t="n">
        <f aca="false">F19/B24</f>
        <v>1.38294058840331</v>
      </c>
      <c r="C20" s="70"/>
      <c r="G20" s="61"/>
      <c r="I20" s="63"/>
    </row>
    <row r="21" customFormat="false" ht="15.75" hidden="false" customHeight="false" outlineLevel="0" collapsed="false">
      <c r="A21" s="71" t="s">
        <v>2629</v>
      </c>
      <c r="B21" s="71" t="n">
        <f aca="false">SUM(B3:B18)</f>
        <v>14.004</v>
      </c>
      <c r="C21" s="66"/>
      <c r="G21" s="61"/>
      <c r="I21" s="63"/>
    </row>
    <row r="22" customFormat="false" ht="15.75" hidden="false" customHeight="false" outlineLevel="0" collapsed="false">
      <c r="A22" s="0" t="s">
        <v>2630</v>
      </c>
      <c r="B22" s="72" t="n">
        <f aca="false">B21/B23</f>
        <v>70.02</v>
      </c>
      <c r="C22" s="66"/>
      <c r="G22" s="61"/>
      <c r="I22" s="63"/>
    </row>
    <row r="23" customFormat="false" ht="15.75" hidden="false" customHeight="false" outlineLevel="0" collapsed="false">
      <c r="A23" s="0" t="s">
        <v>2631</v>
      </c>
      <c r="B23" s="0" t="n">
        <v>0.2</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190</v>
      </c>
      <c r="B1" s="50"/>
      <c r="C1" s="50"/>
      <c r="D1" s="50"/>
      <c r="E1" s="51" t="s">
        <v>2619</v>
      </c>
      <c r="F1" s="51"/>
      <c r="G1" s="52" t="s">
        <v>2836</v>
      </c>
    </row>
    <row r="2" customFormat="false" ht="24.75" hidden="false" customHeight="true" outlineLevel="0" collapsed="false">
      <c r="A2" s="50"/>
      <c r="B2" s="50"/>
      <c r="C2" s="50"/>
      <c r="D2" s="50"/>
      <c r="E2" s="53" t="s">
        <v>2636</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1699</v>
      </c>
      <c r="B4" s="57" t="n">
        <v>8.32</v>
      </c>
      <c r="C4" s="58" t="n">
        <f aca="false">B4/B$22*B$24</f>
        <v>13.0810810810811</v>
      </c>
      <c r="D4" s="57" t="s">
        <v>434</v>
      </c>
      <c r="E4" s="59" t="n">
        <f aca="false">IFERROR(INDEX(Correspondance!$D$2:$D$3000,MATCH(A4,Correspondance!$A$2:$A$3000,0)),0)</f>
        <v>7.5</v>
      </c>
      <c r="F4" s="60" t="n">
        <f aca="false">C4*E4</f>
        <v>98.1081081081081</v>
      </c>
      <c r="G4" s="61" t="s">
        <v>2860</v>
      </c>
    </row>
    <row r="5" customFormat="false" ht="15.75" hidden="false" customHeight="false" outlineLevel="0" collapsed="false">
      <c r="A5" s="57" t="s">
        <v>1459</v>
      </c>
      <c r="B5" s="57" t="n">
        <v>4.16</v>
      </c>
      <c r="C5" s="58" t="n">
        <f aca="false">B5/B$22*B$24</f>
        <v>6.54054054054054</v>
      </c>
      <c r="D5" s="57" t="s">
        <v>682</v>
      </c>
      <c r="E5" s="59" t="n">
        <f aca="false">IFERROR(INDEX(Correspondance!$D$2:$D$3000,MATCH(A5,Correspondance!$A$2:$A$3000,0)),0)</f>
        <v>0</v>
      </c>
      <c r="F5" s="60" t="n">
        <f aca="false">C5*E5</f>
        <v>0</v>
      </c>
      <c r="G5" s="61"/>
      <c r="I5" s="62"/>
    </row>
    <row r="6" customFormat="false" ht="15.75" hidden="false" customHeight="false" outlineLevel="0" collapsed="false">
      <c r="A6" s="57" t="s">
        <v>1001</v>
      </c>
      <c r="B6" s="57" t="n">
        <v>0.416</v>
      </c>
      <c r="C6" s="58" t="n">
        <f aca="false">B6/B$22*B$24</f>
        <v>0.654054054054054</v>
      </c>
      <c r="D6" s="57" t="s">
        <v>434</v>
      </c>
      <c r="E6" s="59" t="n">
        <f aca="false">IFERROR(INDEX(Correspondance!$D$2:$D$3000,MATCH(A6,Correspondance!$A$2:$A$3000,0)),0)</f>
        <v>1.8</v>
      </c>
      <c r="F6" s="60" t="n">
        <f aca="false">C6*E6</f>
        <v>1.1772972972973</v>
      </c>
      <c r="G6" s="61"/>
      <c r="I6" s="63"/>
    </row>
    <row r="7" customFormat="false" ht="15.75" hidden="false" customHeight="false" outlineLevel="0" collapsed="false">
      <c r="A7" s="57" t="s">
        <v>917</v>
      </c>
      <c r="B7" s="57" t="n">
        <v>0.416</v>
      </c>
      <c r="C7" s="58" t="n">
        <f aca="false">B7/B$22*B$24</f>
        <v>0.654054054054054</v>
      </c>
      <c r="D7" s="57" t="s">
        <v>434</v>
      </c>
      <c r="E7" s="59" t="n">
        <f aca="false">IFERROR(INDEX(Correspondance!$D$2:$D$3000,MATCH(A7,Correspondance!$A$2:$A$3000,0)),0)</f>
        <v>1.8</v>
      </c>
      <c r="F7" s="60" t="n">
        <f aca="false">C7*E7</f>
        <v>1.1772972972973</v>
      </c>
      <c r="G7" s="61"/>
      <c r="I7" s="63"/>
    </row>
    <row r="8" customFormat="false" ht="15.75" hidden="false" customHeight="false" outlineLevel="0" collapsed="false">
      <c r="A8" s="57" t="s">
        <v>1284</v>
      </c>
      <c r="B8" s="57" t="n">
        <v>0.083</v>
      </c>
      <c r="C8" s="58" t="n">
        <f aca="false">B8/B$22*B$24</f>
        <v>0.130496361746362</v>
      </c>
      <c r="D8" s="57" t="s">
        <v>434</v>
      </c>
      <c r="E8" s="59" t="n">
        <f aca="false">IFERROR(INDEX(Correspondance!$D$2:$D$3000,MATCH(A8,Correspondance!$A$2:$A$3000,0)),0)</f>
        <v>0.8</v>
      </c>
      <c r="F8" s="60" t="n">
        <f aca="false">C8*E8</f>
        <v>0.104397089397089</v>
      </c>
      <c r="G8" s="61"/>
      <c r="I8" s="63"/>
    </row>
    <row r="9" customFormat="false" ht="15.75" hidden="false" customHeight="false" outlineLevel="0" collapsed="false">
      <c r="A9" s="57" t="s">
        <v>1509</v>
      </c>
      <c r="B9" s="57"/>
      <c r="C9" s="58" t="n">
        <f aca="false">B9/B$22*B$24</f>
        <v>0</v>
      </c>
      <c r="D9" s="57" t="s">
        <v>434</v>
      </c>
      <c r="E9" s="59" t="n">
        <f aca="false">IFERROR(INDEX(Correspondance!$D$2:$D$3000,MATCH(A9,Correspondance!$A$2:$A$3000,0)),0)</f>
        <v>16</v>
      </c>
      <c r="F9" s="60" t="n">
        <f aca="false">C9*E9</f>
        <v>0</v>
      </c>
      <c r="G9" s="61"/>
      <c r="I9" s="63"/>
    </row>
    <row r="10" customFormat="false" ht="15.75" hidden="false" customHeight="false" outlineLevel="0" collapsed="false">
      <c r="A10" s="57" t="s">
        <v>947</v>
      </c>
      <c r="B10" s="57" t="n">
        <v>0.333</v>
      </c>
      <c r="C10" s="58" t="n">
        <f aca="false">B10/B$22*B$24</f>
        <v>0.523557692307692</v>
      </c>
      <c r="D10" s="57" t="s">
        <v>434</v>
      </c>
      <c r="E10" s="59" t="n">
        <f aca="false">IFERROR(INDEX(Correspondance!$D$2:$D$3000,MATCH(A10,Correspondance!$A$2:$A$3000,0)),0)</f>
        <v>4.5</v>
      </c>
      <c r="F10" s="60" t="n">
        <f aca="false">C10*E10</f>
        <v>2.35600961538462</v>
      </c>
      <c r="G10" s="61"/>
      <c r="I10" s="63"/>
    </row>
    <row r="11" customFormat="false" ht="15.75" hidden="false" customHeight="false" outlineLevel="0" collapsed="false">
      <c r="A11" s="57" t="s">
        <v>1982</v>
      </c>
      <c r="B11" s="57" t="n">
        <v>0.25</v>
      </c>
      <c r="C11" s="58" t="n">
        <f aca="false">B11/B$22*B$24</f>
        <v>0.393061330561331</v>
      </c>
      <c r="D11" s="57" t="s">
        <v>682</v>
      </c>
      <c r="E11" s="59" t="n">
        <f aca="false">IFERROR(INDEX(Correspondance!$D$2:$D$3000,MATCH(A11,Correspondance!$A$2:$A$3000,0)),0)</f>
        <v>1.5</v>
      </c>
      <c r="F11" s="60" t="n">
        <f aca="false">C11*E11</f>
        <v>0.589591995841996</v>
      </c>
      <c r="G11" s="61"/>
      <c r="I11" s="63"/>
    </row>
    <row r="12" customFormat="false" ht="18.75" hidden="false" customHeight="true" outlineLevel="0" collapsed="false">
      <c r="A12" s="57" t="s">
        <v>1973</v>
      </c>
      <c r="B12" s="64" t="n">
        <v>0.416</v>
      </c>
      <c r="C12" s="58" t="n">
        <f aca="false">B12/B$22*B$24</f>
        <v>0.654054054054054</v>
      </c>
      <c r="D12" s="57" t="s">
        <v>682</v>
      </c>
      <c r="E12" s="59" t="n">
        <f aca="false">IFERROR(INDEX(Correspondance!$D$2:$D$3000,MATCH(A12,Correspondance!$A$2:$A$3000,0)),0)</f>
        <v>2</v>
      </c>
      <c r="F12" s="60" t="n">
        <f aca="false">C12*E12</f>
        <v>1.30810810810811</v>
      </c>
      <c r="G12" s="61"/>
      <c r="I12" s="63"/>
    </row>
    <row r="13" customFormat="false" ht="18.75" hidden="false" customHeight="true" outlineLevel="0" collapsed="false">
      <c r="A13" s="57" t="s">
        <v>1197</v>
      </c>
      <c r="B13" s="64" t="n">
        <v>0.166</v>
      </c>
      <c r="C13" s="58" t="n">
        <f aca="false">B13/B$22*B$24</f>
        <v>0.260992723492724</v>
      </c>
      <c r="D13" s="57" t="s">
        <v>434</v>
      </c>
      <c r="E13" s="59" t="n">
        <f aca="false">IFERROR(INDEX(Correspondance!$D$2:$D$3000,MATCH(A13,Correspondance!$A$2:$A$3000,0)),0)</f>
        <v>2.6</v>
      </c>
      <c r="F13" s="60" t="n">
        <f aca="false">C13*E13</f>
        <v>0.678581081081081</v>
      </c>
      <c r="G13" s="61"/>
      <c r="I13" s="63"/>
    </row>
    <row r="14" customFormat="false" ht="15.75" hidden="false" customHeight="false" outlineLevel="0" collapsed="false">
      <c r="A14" s="57" t="s">
        <v>1098</v>
      </c>
      <c r="B14" s="57" t="n">
        <v>0.125</v>
      </c>
      <c r="C14" s="58" t="n">
        <f aca="false">B14/B$22*B$24</f>
        <v>0.196530665280665</v>
      </c>
      <c r="D14" s="57" t="s">
        <v>434</v>
      </c>
      <c r="E14" s="59" t="n">
        <f aca="false">IFERROR(INDEX(Correspondance!$D$2:$D$3000,MATCH(A14,Correspondance!$A$2:$A$3000,0)),0)</f>
        <v>12</v>
      </c>
      <c r="F14" s="60" t="n">
        <f aca="false">C14*E14</f>
        <v>2.35836798336798</v>
      </c>
      <c r="G14" s="61"/>
      <c r="I14" s="63"/>
    </row>
    <row r="15" customFormat="false" ht="15.75" hidden="false" customHeight="false" outlineLevel="0" collapsed="false">
      <c r="A15" s="57" t="s">
        <v>1084</v>
      </c>
      <c r="B15" s="57" t="n">
        <v>0.125</v>
      </c>
      <c r="C15" s="58" t="n">
        <f aca="false">B15/B$22*B$24</f>
        <v>0.196530665280665</v>
      </c>
      <c r="D15" s="57" t="s">
        <v>434</v>
      </c>
      <c r="E15" s="59" t="n">
        <f aca="false">IFERROR(INDEX(Correspondance!$D$2:$D$3000,MATCH(A15,Correspondance!$A$2:$A$3000,0)),0)</f>
        <v>2.2</v>
      </c>
      <c r="F15" s="60" t="n">
        <f aca="false">C15*E15</f>
        <v>0.432367463617464</v>
      </c>
      <c r="G15" s="61"/>
      <c r="I15" s="63"/>
    </row>
    <row r="16" customFormat="false" ht="15.75" hidden="false" customHeight="false" outlineLevel="0" collapsed="false">
      <c r="A16" s="57" t="s">
        <v>1567</v>
      </c>
      <c r="B16" s="57" t="n">
        <v>0.499</v>
      </c>
      <c r="C16" s="58" t="n">
        <f aca="false">B16/B$22*B$24</f>
        <v>0.784550415800416</v>
      </c>
      <c r="D16" s="57" t="s">
        <v>434</v>
      </c>
      <c r="E16" s="59" t="n">
        <f aca="false">IFERROR(INDEX(Correspondance!$D$2:$D$3000,MATCH(A16,Correspondance!$A$2:$A$3000,0)),0)</f>
        <v>6.5</v>
      </c>
      <c r="F16" s="60" t="n">
        <f aca="false">C16*E16</f>
        <v>5.0995777027027</v>
      </c>
      <c r="G16" s="61"/>
      <c r="I16" s="63"/>
    </row>
    <row r="17" customFormat="false" ht="15.75" hidden="false" customHeight="false" outlineLevel="0" collapsed="false">
      <c r="A17" s="57" t="s">
        <v>1491</v>
      </c>
      <c r="B17" s="57" t="n">
        <v>0.083</v>
      </c>
      <c r="C17" s="58" t="n">
        <f aca="false">B17/B$22*B$24</f>
        <v>0.130496361746362</v>
      </c>
      <c r="D17" s="57" t="s">
        <v>434</v>
      </c>
      <c r="E17" s="59" t="n">
        <f aca="false">IFERROR(INDEX(Correspondance!$D$2:$D$3000,MATCH(A17,Correspondance!$A$2:$A$3000,0)),0)</f>
        <v>9</v>
      </c>
      <c r="F17" s="60" t="n">
        <f aca="false">C17*E17</f>
        <v>1.17446725571726</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114.564170997921</v>
      </c>
      <c r="G19" s="61"/>
      <c r="I19" s="63"/>
    </row>
    <row r="20" customFormat="false" ht="18.75" hidden="false" customHeight="true" outlineLevel="0" collapsed="false">
      <c r="A20" s="68" t="s">
        <v>2628</v>
      </c>
      <c r="B20" s="69" t="n">
        <f aca="false">F19/B24</f>
        <v>1.04149246361746</v>
      </c>
      <c r="C20" s="70"/>
      <c r="G20" s="61"/>
      <c r="I20" s="63"/>
    </row>
    <row r="21" customFormat="false" ht="15.75" hidden="false" customHeight="false" outlineLevel="0" collapsed="false">
      <c r="A21" s="71" t="s">
        <v>2629</v>
      </c>
      <c r="B21" s="71" t="n">
        <f aca="false">SUM(B3:B18)</f>
        <v>15.392</v>
      </c>
      <c r="C21" s="66"/>
      <c r="G21" s="61"/>
      <c r="I21" s="63"/>
    </row>
    <row r="22" customFormat="false" ht="15.75" hidden="false" customHeight="false" outlineLevel="0" collapsed="false">
      <c r="A22" s="0" t="s">
        <v>2630</v>
      </c>
      <c r="B22" s="72" t="n">
        <f aca="false">B21/B23</f>
        <v>69.9636363636364</v>
      </c>
      <c r="C22" s="66"/>
      <c r="G22" s="61"/>
      <c r="I22" s="63"/>
    </row>
    <row r="23" customFormat="false" ht="15.75" hidden="false" customHeight="false" outlineLevel="0" collapsed="false">
      <c r="A23" s="0" t="s">
        <v>2631</v>
      </c>
      <c r="B23" s="0" t="n">
        <v>0.22</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192</v>
      </c>
      <c r="B1" s="50"/>
      <c r="C1" s="50"/>
      <c r="D1" s="50"/>
      <c r="E1" s="51" t="s">
        <v>2619</v>
      </c>
      <c r="F1" s="51"/>
      <c r="G1" s="52" t="s">
        <v>2861</v>
      </c>
    </row>
    <row r="2" customFormat="false" ht="24.75" hidden="false" customHeight="true" outlineLevel="0" collapsed="false">
      <c r="A2" s="50"/>
      <c r="B2" s="50"/>
      <c r="C2" s="50"/>
      <c r="D2" s="50"/>
      <c r="E2" s="53" t="s">
        <v>2636</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1380</v>
      </c>
      <c r="B4" s="57" t="n">
        <v>9.33</v>
      </c>
      <c r="C4" s="58" t="n">
        <f aca="false">B4/B$22*B$24</f>
        <v>14.6561942163513</v>
      </c>
      <c r="D4" s="57" t="s">
        <v>434</v>
      </c>
      <c r="E4" s="59" t="n">
        <f aca="false">IFERROR(INDEX(Correspondance!$D$2:$D$3000,MATCH(A4,Correspondance!$A$2:$A$3000,0)),0)</f>
        <v>2.5</v>
      </c>
      <c r="F4" s="60" t="n">
        <f aca="false">C4*E4</f>
        <v>36.6404855408783</v>
      </c>
      <c r="G4" s="61" t="s">
        <v>2862</v>
      </c>
    </row>
    <row r="5" customFormat="false" ht="15.75" hidden="false" customHeight="false" outlineLevel="0" collapsed="false">
      <c r="A5" s="57" t="s">
        <v>471</v>
      </c>
      <c r="B5" s="57" t="n">
        <v>3.73</v>
      </c>
      <c r="C5" s="58" t="n">
        <f aca="false">B5/B$22*B$24</f>
        <v>5.85933595144591</v>
      </c>
      <c r="D5" s="57" t="s">
        <v>434</v>
      </c>
      <c r="E5" s="59" t="n">
        <f aca="false">IFERROR(INDEX(Correspondance!$D$2:$D$3000,MATCH(A5,Correspondance!$A$2:$A$3000,0)),0)</f>
        <v>7</v>
      </c>
      <c r="F5" s="60" t="n">
        <f aca="false">C5*E5</f>
        <v>41.0153516601214</v>
      </c>
      <c r="G5" s="61"/>
      <c r="I5" s="62"/>
    </row>
    <row r="6" customFormat="false" ht="15.75" hidden="false" customHeight="false" outlineLevel="0" collapsed="false">
      <c r="A6" s="57" t="s">
        <v>606</v>
      </c>
      <c r="B6" s="57" t="n">
        <v>1.87</v>
      </c>
      <c r="C6" s="58" t="n">
        <f aca="false">B6/B$22*B$24</f>
        <v>2.93752231345948</v>
      </c>
      <c r="D6" s="57" t="s">
        <v>434</v>
      </c>
      <c r="E6" s="59" t="n">
        <f aca="false">IFERROR(INDEX(Correspondance!$D$2:$D$3000,MATCH(A6,Correspondance!$A$2:$A$3000,0)),0)</f>
        <v>8.5</v>
      </c>
      <c r="F6" s="60" t="n">
        <f aca="false">C6*E6</f>
        <v>24.9689396644056</v>
      </c>
      <c r="G6" s="61"/>
      <c r="I6" s="63"/>
    </row>
    <row r="7" customFormat="false" ht="15.75" hidden="false" customHeight="false" outlineLevel="0" collapsed="false">
      <c r="A7" s="57" t="s">
        <v>620</v>
      </c>
      <c r="B7" s="57" t="n">
        <v>2.8</v>
      </c>
      <c r="C7" s="58" t="n">
        <f aca="false">B7/B$22*B$24</f>
        <v>4.39842913245269</v>
      </c>
      <c r="D7" s="57" t="s">
        <v>434</v>
      </c>
      <c r="E7" s="59" t="n">
        <f aca="false">IFERROR(INDEX(Correspondance!$D$2:$D$3000,MATCH(A7,Correspondance!$A$2:$A$3000,0)),0)</f>
        <v>6.5</v>
      </c>
      <c r="F7" s="60" t="n">
        <f aca="false">C7*E7</f>
        <v>28.5897893609425</v>
      </c>
      <c r="G7" s="61"/>
      <c r="I7" s="63"/>
    </row>
    <row r="8" customFormat="false" ht="15.75" hidden="false" customHeight="false" outlineLevel="0" collapsed="false">
      <c r="A8" s="57" t="s">
        <v>1903</v>
      </c>
      <c r="B8" s="57" t="n">
        <v>1.87</v>
      </c>
      <c r="C8" s="58" t="n">
        <f aca="false">B8/B$22*B$24</f>
        <v>2.93752231345948</v>
      </c>
      <c r="D8" s="57" t="s">
        <v>434</v>
      </c>
      <c r="E8" s="59" t="n">
        <f aca="false">IFERROR(INDEX(Correspondance!$D$2:$D$3000,MATCH(A8,Correspondance!$A$2:$A$3000,0)),0)</f>
        <v>9.5</v>
      </c>
      <c r="F8" s="60" t="n">
        <f aca="false">C8*E8</f>
        <v>27.9064619778651</v>
      </c>
      <c r="G8" s="61"/>
      <c r="I8" s="63"/>
    </row>
    <row r="9" customFormat="false" ht="15.75" hidden="false" customHeight="false" outlineLevel="0" collapsed="false">
      <c r="A9" s="57" t="s">
        <v>1840</v>
      </c>
      <c r="B9" s="57" t="n">
        <v>4.67</v>
      </c>
      <c r="C9" s="58" t="n">
        <f aca="false">B9/B$22*B$24</f>
        <v>7.33595144591217</v>
      </c>
      <c r="D9" s="57" t="s">
        <v>434</v>
      </c>
      <c r="E9" s="59" t="n">
        <f aca="false">IFERROR(INDEX(Correspondance!$D$2:$D$3000,MATCH(A9,Correspondance!$A$2:$A$3000,0)),0)</f>
        <v>2</v>
      </c>
      <c r="F9" s="60" t="n">
        <f aca="false">C9*E9</f>
        <v>14.6719028918243</v>
      </c>
      <c r="G9" s="61"/>
      <c r="I9" s="63"/>
    </row>
    <row r="10" customFormat="false" ht="15.75" hidden="false" customHeight="false" outlineLevel="0" collapsed="false">
      <c r="A10" s="57" t="s">
        <v>1001</v>
      </c>
      <c r="B10" s="57" t="n">
        <v>0.747</v>
      </c>
      <c r="C10" s="58" t="n">
        <f aca="false">B10/B$22*B$24</f>
        <v>1.17343805783649</v>
      </c>
      <c r="D10" s="57" t="s">
        <v>434</v>
      </c>
      <c r="E10" s="59" t="n">
        <f aca="false">IFERROR(INDEX(Correspondance!$D$2:$D$3000,MATCH(A10,Correspondance!$A$2:$A$3000,0)),0)</f>
        <v>1.8</v>
      </c>
      <c r="F10" s="60" t="n">
        <f aca="false">C10*E10</f>
        <v>2.11218850410568</v>
      </c>
      <c r="G10" s="61"/>
      <c r="I10" s="63"/>
    </row>
    <row r="11" customFormat="false" ht="15.75" hidden="false" customHeight="false" outlineLevel="0" collapsed="false">
      <c r="A11" s="57" t="s">
        <v>1975</v>
      </c>
      <c r="B11" s="57" t="n">
        <v>1.4</v>
      </c>
      <c r="C11" s="58" t="n">
        <f aca="false">B11/B$22*B$24</f>
        <v>2.19921456622635</v>
      </c>
      <c r="D11" s="57" t="s">
        <v>682</v>
      </c>
      <c r="E11" s="59" t="n">
        <f aca="false">IFERROR(INDEX(Correspondance!$D$2:$D$3000,MATCH(A11,Correspondance!$A$2:$A$3000,0)),0)</f>
        <v>2</v>
      </c>
      <c r="F11" s="60" t="n">
        <f aca="false">C11*E11</f>
        <v>4.39842913245269</v>
      </c>
      <c r="G11" s="61"/>
      <c r="I11" s="63"/>
    </row>
    <row r="12" customFormat="false" ht="18.75" hidden="false" customHeight="true" outlineLevel="0" collapsed="false">
      <c r="A12" s="57" t="s">
        <v>1459</v>
      </c>
      <c r="B12" s="64" t="n">
        <v>1.4</v>
      </c>
      <c r="C12" s="58" t="n">
        <f aca="false">B12/B$22*B$24</f>
        <v>2.19921456622635</v>
      </c>
      <c r="D12" s="57" t="s">
        <v>682</v>
      </c>
      <c r="E12" s="59" t="n">
        <f aca="false">IFERROR(INDEX(Correspondance!$D$2:$D$3000,MATCH(A12,Correspondance!$A$2:$A$3000,0)),0)</f>
        <v>0</v>
      </c>
      <c r="F12" s="60" t="n">
        <f aca="false">C12*E12</f>
        <v>0</v>
      </c>
      <c r="G12" s="61"/>
      <c r="I12" s="63"/>
    </row>
    <row r="13" customFormat="false" ht="18.75" hidden="false" customHeight="true" outlineLevel="0" collapsed="false">
      <c r="A13" s="57" t="s">
        <v>1893</v>
      </c>
      <c r="B13" s="64" t="n">
        <v>0.187</v>
      </c>
      <c r="C13" s="58" t="n">
        <f aca="false">B13/B$22*B$24</f>
        <v>0.293752231345948</v>
      </c>
      <c r="D13" s="57" t="s">
        <v>434</v>
      </c>
      <c r="E13" s="59" t="n">
        <f aca="false">IFERROR(INDEX(Correspondance!$D$2:$D$3000,MATCH(A13,Correspondance!$A$2:$A$3000,0)),0)</f>
        <v>3.5</v>
      </c>
      <c r="F13" s="60" t="n">
        <f aca="false">C13*E13</f>
        <v>1.02813280971082</v>
      </c>
      <c r="G13" s="61"/>
      <c r="I13" s="63"/>
    </row>
    <row r="14" customFormat="false" ht="15.75" hidden="false" customHeight="false" outlineLevel="0" collapsed="false">
      <c r="A14" s="57" t="s">
        <v>1796</v>
      </c>
      <c r="B14" s="57" t="n">
        <v>0.006</v>
      </c>
      <c r="C14" s="58" t="n">
        <f aca="false">B14/B$22*B$24</f>
        <v>0.0094252052838272</v>
      </c>
      <c r="D14" s="57" t="s">
        <v>434</v>
      </c>
      <c r="E14" s="59" t="n">
        <f aca="false">IFERROR(INDEX(Correspondance!$D$2:$D$3000,MATCH(A14,Correspondance!$A$2:$A$3000,0)),0)</f>
        <v>18</v>
      </c>
      <c r="F14" s="60" t="n">
        <f aca="false">C14*E14</f>
        <v>0.16965369510889</v>
      </c>
      <c r="G14" s="61"/>
      <c r="I14" s="63"/>
    </row>
    <row r="15" customFormat="false" ht="15.75" hidden="false" customHeight="false" outlineLevel="0" collapsed="false">
      <c r="A15" s="57" t="s">
        <v>1484</v>
      </c>
      <c r="B15" s="57"/>
      <c r="C15" s="58" t="n">
        <f aca="false">B15/B$22*B$24</f>
        <v>0</v>
      </c>
      <c r="D15" s="57" t="s">
        <v>434</v>
      </c>
      <c r="E15" s="59" t="n">
        <f aca="false">IFERROR(INDEX(Correspondance!$D$2:$D$3000,MATCH(A15,Correspondance!$A$2:$A$3000,0)),0)</f>
        <v>20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181.501335237415</v>
      </c>
      <c r="G19" s="61"/>
      <c r="I19" s="63"/>
    </row>
    <row r="20" customFormat="false" ht="18.75" hidden="false" customHeight="true" outlineLevel="0" collapsed="false">
      <c r="A20" s="68" t="s">
        <v>2628</v>
      </c>
      <c r="B20" s="69" t="n">
        <f aca="false">F19/B24</f>
        <v>1.65001213852196</v>
      </c>
      <c r="C20" s="70"/>
      <c r="G20" s="61"/>
      <c r="I20" s="63"/>
    </row>
    <row r="21" customFormat="false" ht="15.75" hidden="false" customHeight="false" outlineLevel="0" collapsed="false">
      <c r="A21" s="71" t="s">
        <v>2629</v>
      </c>
      <c r="B21" s="71" t="n">
        <f aca="false">SUM(B3:B18)</f>
        <v>28.01</v>
      </c>
      <c r="C21" s="66"/>
      <c r="G21" s="61"/>
      <c r="I21" s="63"/>
    </row>
    <row r="22" customFormat="false" ht="15.75" hidden="false" customHeight="false" outlineLevel="0" collapsed="false">
      <c r="A22" s="0" t="s">
        <v>2630</v>
      </c>
      <c r="B22" s="72" t="n">
        <f aca="false">B21/B23</f>
        <v>70.025</v>
      </c>
      <c r="C22" s="66"/>
      <c r="G22" s="61"/>
      <c r="I22" s="63"/>
    </row>
    <row r="23" customFormat="false" ht="15.75" hidden="false" customHeight="false" outlineLevel="0" collapsed="false">
      <c r="A23" s="0" t="s">
        <v>2631</v>
      </c>
      <c r="B23" s="0" t="n">
        <v>0.4</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193</v>
      </c>
      <c r="B1" s="50"/>
      <c r="C1" s="50"/>
      <c r="D1" s="50"/>
      <c r="E1" s="51" t="s">
        <v>2619</v>
      </c>
      <c r="F1" s="51"/>
      <c r="G1" s="52" t="s">
        <v>2645</v>
      </c>
    </row>
    <row r="2" customFormat="false" ht="24.75" hidden="false" customHeight="true" outlineLevel="0" collapsed="false">
      <c r="A2" s="50"/>
      <c r="B2" s="50"/>
      <c r="C2" s="50"/>
      <c r="D2" s="50"/>
      <c r="E2" s="53" t="s">
        <v>2621</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593</v>
      </c>
      <c r="B4" s="57" t="n">
        <v>6.99</v>
      </c>
      <c r="C4" s="58" t="n">
        <f aca="false">B4/B$22*B$24</f>
        <v>10.9833627426267</v>
      </c>
      <c r="D4" s="57" t="s">
        <v>434</v>
      </c>
      <c r="E4" s="59" t="n">
        <f aca="false">IFERROR(INDEX(Correspondance!$D$2:$D$3000,MATCH(A4,Correspondance!$A$2:$A$3000,0)),0)</f>
        <v>7.5</v>
      </c>
      <c r="F4" s="60" t="n">
        <f aca="false">C4*E4</f>
        <v>82.3752205697</v>
      </c>
      <c r="G4" s="61" t="s">
        <v>2863</v>
      </c>
    </row>
    <row r="5" customFormat="false" ht="15.75" hidden="false" customHeight="false" outlineLevel="0" collapsed="false">
      <c r="A5" s="57" t="s">
        <v>1567</v>
      </c>
      <c r="B5" s="57" t="n">
        <v>0.524</v>
      </c>
      <c r="C5" s="58" t="n">
        <f aca="false">B5/B$22*B$24</f>
        <v>0.823359381564575</v>
      </c>
      <c r="D5" s="57" t="s">
        <v>434</v>
      </c>
      <c r="E5" s="59" t="n">
        <f aca="false">IFERROR(INDEX(Correspondance!$D$2:$D$3000,MATCH(A5,Correspondance!$A$2:$A$3000,0)),0)</f>
        <v>6.5</v>
      </c>
      <c r="F5" s="60" t="n">
        <f aca="false">C5*E5</f>
        <v>5.35183598016974</v>
      </c>
      <c r="G5" s="61"/>
      <c r="I5" s="62"/>
    </row>
    <row r="6" customFormat="false" ht="15.75" hidden="false" customHeight="false" outlineLevel="0" collapsed="false">
      <c r="A6" s="57" t="s">
        <v>1894</v>
      </c>
      <c r="B6" s="57" t="n">
        <v>1.31</v>
      </c>
      <c r="C6" s="58" t="n">
        <f aca="false">B6/B$22*B$24</f>
        <v>2.05839845391144</v>
      </c>
      <c r="D6" s="57" t="s">
        <v>434</v>
      </c>
      <c r="E6" s="59" t="n">
        <f aca="false">IFERROR(INDEX(Correspondance!$D$2:$D$3000,MATCH(A6,Correspondance!$A$2:$A$3000,0)),0)</f>
        <v>7</v>
      </c>
      <c r="F6" s="60" t="n">
        <f aca="false">C6*E6</f>
        <v>14.4087891773801</v>
      </c>
      <c r="G6" s="61"/>
      <c r="I6" s="63"/>
    </row>
    <row r="7" customFormat="false" ht="15.75" hidden="false" customHeight="false" outlineLevel="0" collapsed="false">
      <c r="A7" s="57" t="s">
        <v>1956</v>
      </c>
      <c r="B7" s="57" t="n">
        <v>1.75</v>
      </c>
      <c r="C7" s="58" t="n">
        <f aca="false">B7/B$22*B$24</f>
        <v>2.74976892698093</v>
      </c>
      <c r="D7" s="57" t="s">
        <v>434</v>
      </c>
      <c r="E7" s="59" t="n">
        <f aca="false">IFERROR(INDEX(Correspondance!$D$2:$D$3000,MATCH(A7,Correspondance!$A$2:$A$3000,0)),0)</f>
        <v>2.4</v>
      </c>
      <c r="F7" s="60" t="n">
        <f aca="false">C7*E7</f>
        <v>6.59944542475422</v>
      </c>
      <c r="G7" s="61"/>
      <c r="I7" s="63"/>
    </row>
    <row r="8" customFormat="false" ht="15.75" hidden="false" customHeight="false" outlineLevel="0" collapsed="false">
      <c r="A8" s="57" t="s">
        <v>1491</v>
      </c>
      <c r="B8" s="57" t="n">
        <v>0.699</v>
      </c>
      <c r="C8" s="58" t="n">
        <f aca="false">B8/B$22*B$24</f>
        <v>1.09833627426267</v>
      </c>
      <c r="D8" s="57" t="s">
        <v>434</v>
      </c>
      <c r="E8" s="59" t="n">
        <f aca="false">IFERROR(INDEX(Correspondance!$D$2:$D$3000,MATCH(A8,Correspondance!$A$2:$A$3000,0)),0)</f>
        <v>9</v>
      </c>
      <c r="F8" s="60" t="n">
        <f aca="false">C8*E8</f>
        <v>9.885026468364</v>
      </c>
      <c r="G8" s="61"/>
      <c r="I8" s="63"/>
    </row>
    <row r="9" customFormat="false" ht="15.75" hidden="false" customHeight="false" outlineLevel="0" collapsed="false">
      <c r="A9" s="57" t="s">
        <v>1725</v>
      </c>
      <c r="B9" s="57" t="n">
        <v>0.262</v>
      </c>
      <c r="C9" s="58" t="n">
        <f aca="false">B9/B$22*B$24</f>
        <v>0.411679690782287</v>
      </c>
      <c r="D9" s="57" t="s">
        <v>434</v>
      </c>
      <c r="E9" s="59" t="n">
        <f aca="false">IFERROR(INDEX(Correspondance!$D$2:$D$3000,MATCH(A9,Correspondance!$A$2:$A$3000,0)),0)</f>
        <v>9</v>
      </c>
      <c r="F9" s="60" t="n">
        <f aca="false">C9*E9</f>
        <v>3.70511721704059</v>
      </c>
      <c r="G9" s="61"/>
      <c r="I9" s="63"/>
    </row>
    <row r="10" customFormat="false" ht="15.75" hidden="false" customHeight="false" outlineLevel="0" collapsed="false">
      <c r="A10" s="57" t="s">
        <v>1673</v>
      </c>
      <c r="B10" s="57" t="n">
        <v>0.262</v>
      </c>
      <c r="C10" s="58" t="n">
        <f aca="false">B10/B$22*B$24</f>
        <v>0.411679690782287</v>
      </c>
      <c r="D10" s="57" t="s">
        <v>682</v>
      </c>
      <c r="E10" s="59" t="n">
        <f aca="false">IFERROR(INDEX(Correspondance!$D$2:$D$3000,MATCH(A10,Correspondance!$A$2:$A$3000,0)),0)</f>
        <v>2.2</v>
      </c>
      <c r="F10" s="60" t="n">
        <f aca="false">C10*E10</f>
        <v>0.905695319721032</v>
      </c>
      <c r="G10" s="61"/>
      <c r="I10" s="63"/>
    </row>
    <row r="11" customFormat="false" ht="15.75" hidden="false" customHeight="false" outlineLevel="0" collapsed="false">
      <c r="A11" s="57" t="s">
        <v>1978</v>
      </c>
      <c r="B11" s="57" t="n">
        <v>0.087</v>
      </c>
      <c r="C11" s="58" t="n">
        <f aca="false">B11/B$22*B$24</f>
        <v>0.136702798084195</v>
      </c>
      <c r="D11" s="57" t="s">
        <v>682</v>
      </c>
      <c r="E11" s="59" t="n">
        <f aca="false">IFERROR(INDEX(Correspondance!$D$2:$D$3000,MATCH(A11,Correspondance!$A$2:$A$3000,0)),0)</f>
        <v>1.5</v>
      </c>
      <c r="F11" s="60" t="n">
        <f aca="false">C11*E11</f>
        <v>0.205054197126292</v>
      </c>
      <c r="G11" s="61"/>
      <c r="I11" s="63"/>
    </row>
    <row r="12" customFormat="false" ht="18.75" hidden="false" customHeight="true" outlineLevel="0" collapsed="false">
      <c r="A12" s="57" t="s">
        <v>1919</v>
      </c>
      <c r="B12" s="64" t="n">
        <v>0.017</v>
      </c>
      <c r="C12" s="58" t="n">
        <f aca="false">B12/B$22*B$24</f>
        <v>0.0267120410049576</v>
      </c>
      <c r="D12" s="57" t="s">
        <v>434</v>
      </c>
      <c r="E12" s="59" t="n">
        <f aca="false">IFERROR(INDEX(Correspondance!$D$2:$D$3000,MATCH(A12,Correspondance!$A$2:$A$3000,0)),0)</f>
        <v>2</v>
      </c>
      <c r="F12" s="60" t="n">
        <f aca="false">C12*E12</f>
        <v>0.0534240820099151</v>
      </c>
      <c r="G12" s="61"/>
      <c r="I12" s="63"/>
    </row>
    <row r="13" customFormat="false" ht="18.75" hidden="false" customHeight="true" outlineLevel="0" collapsed="false">
      <c r="A13" s="57" t="s">
        <v>1814</v>
      </c>
      <c r="B13" s="64"/>
      <c r="C13" s="58" t="n">
        <f aca="false">B13/B$22*B$24</f>
        <v>0</v>
      </c>
      <c r="D13" s="57" t="s">
        <v>434</v>
      </c>
      <c r="E13" s="59" t="n">
        <f aca="false">IFERROR(INDEX(Correspondance!$D$2:$D$3000,MATCH(A13,Correspondance!$A$2:$A$3000,0)),0)</f>
        <v>18</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123.489608436266</v>
      </c>
      <c r="G19" s="61"/>
      <c r="I19" s="63"/>
    </row>
    <row r="20" customFormat="false" ht="18.75" hidden="false" customHeight="true" outlineLevel="0" collapsed="false">
      <c r="A20" s="68" t="s">
        <v>2628</v>
      </c>
      <c r="B20" s="69" t="n">
        <f aca="false">F19/B24</f>
        <v>1.12263280396605</v>
      </c>
      <c r="C20" s="70"/>
      <c r="G20" s="61"/>
      <c r="I20" s="63"/>
    </row>
    <row r="21" customFormat="false" ht="15.75" hidden="false" customHeight="false" outlineLevel="0" collapsed="false">
      <c r="A21" s="71" t="s">
        <v>2629</v>
      </c>
      <c r="B21" s="71" t="n">
        <f aca="false">SUM(B3:B18)</f>
        <v>11.901</v>
      </c>
      <c r="C21" s="66"/>
      <c r="G21" s="61"/>
      <c r="I21" s="63"/>
    </row>
    <row r="22" customFormat="false" ht="15.75" hidden="false" customHeight="false" outlineLevel="0" collapsed="false">
      <c r="A22" s="0" t="s">
        <v>2630</v>
      </c>
      <c r="B22" s="72" t="n">
        <f aca="false">B21/B23</f>
        <v>70.0058823529412</v>
      </c>
      <c r="C22" s="66"/>
      <c r="G22" s="61"/>
      <c r="I22" s="63"/>
    </row>
    <row r="23" customFormat="false" ht="15.75" hidden="false" customHeight="false" outlineLevel="0" collapsed="false">
      <c r="A23" s="0" t="s">
        <v>2631</v>
      </c>
      <c r="B23" s="0" t="n">
        <v>0.17</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194</v>
      </c>
      <c r="B1" s="50"/>
      <c r="C1" s="50"/>
      <c r="D1" s="50"/>
      <c r="E1" s="51" t="s">
        <v>2619</v>
      </c>
      <c r="F1" s="51"/>
      <c r="G1" s="52" t="s">
        <v>2856</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1601</v>
      </c>
      <c r="B4" s="57" t="n">
        <v>8.85</v>
      </c>
      <c r="C4" s="58" t="n">
        <f aca="false">B4/B$22*B$24</f>
        <v>13.9055536510113</v>
      </c>
      <c r="D4" s="57" t="s">
        <v>434</v>
      </c>
      <c r="E4" s="59" t="n">
        <f aca="false">IFERROR(INDEX(Correspondance!$D$2:$D$3000,MATCH(A4,Correspondance!$A$2:$A$3000,0)),0)</f>
        <v>8.5</v>
      </c>
      <c r="F4" s="60" t="n">
        <f aca="false">C4*E4</f>
        <v>118.197206033596</v>
      </c>
      <c r="G4" s="61" t="s">
        <v>2864</v>
      </c>
    </row>
    <row r="5" customFormat="false" ht="15.75" hidden="false" customHeight="false" outlineLevel="0" collapsed="false">
      <c r="A5" s="57" t="s">
        <v>1692</v>
      </c>
      <c r="B5" s="57" t="n">
        <v>4.43</v>
      </c>
      <c r="C5" s="58" t="n">
        <f aca="false">B5/B$22*B$24</f>
        <v>6.96063307050623</v>
      </c>
      <c r="D5" s="57" t="s">
        <v>682</v>
      </c>
      <c r="E5" s="59" t="n">
        <f aca="false">IFERROR(INDEX(Correspondance!$D$2:$D$3000,MATCH(A5,Correspondance!$A$2:$A$3000,0)),0)</f>
        <v>2.4</v>
      </c>
      <c r="F5" s="60" t="n">
        <f aca="false">C5*E5</f>
        <v>16.7055193692149</v>
      </c>
      <c r="G5" s="61"/>
      <c r="I5" s="62"/>
    </row>
    <row r="6" customFormat="false" ht="15.75" hidden="false" customHeight="false" outlineLevel="0" collapsed="false">
      <c r="A6" s="57" t="s">
        <v>1491</v>
      </c>
      <c r="B6" s="57" t="n">
        <v>0.354</v>
      </c>
      <c r="C6" s="58" t="n">
        <f aca="false">B6/B$22*B$24</f>
        <v>0.556222146040453</v>
      </c>
      <c r="D6" s="57" t="s">
        <v>434</v>
      </c>
      <c r="E6" s="59" t="n">
        <f aca="false">IFERROR(INDEX(Correspondance!$D$2:$D$3000,MATCH(A6,Correspondance!$A$2:$A$3000,0)),0)</f>
        <v>9</v>
      </c>
      <c r="F6" s="60" t="n">
        <f aca="false">C6*E6</f>
        <v>5.00599931436407</v>
      </c>
      <c r="G6" s="61"/>
      <c r="I6" s="63"/>
    </row>
    <row r="7" customFormat="false" ht="15.75" hidden="false" customHeight="false" outlineLevel="0" collapsed="false">
      <c r="A7" s="57" t="s">
        <v>1616</v>
      </c>
      <c r="B7" s="57" t="n">
        <v>0.354</v>
      </c>
      <c r="C7" s="58" t="n">
        <f aca="false">B7/B$22*B$24</f>
        <v>0.556222146040453</v>
      </c>
      <c r="D7" s="57" t="s">
        <v>434</v>
      </c>
      <c r="E7" s="59" t="n">
        <f aca="false">IFERROR(INDEX(Correspondance!$D$2:$D$3000,MATCH(A7,Correspondance!$A$2:$A$3000,0)),0)</f>
        <v>0.85</v>
      </c>
      <c r="F7" s="60" t="n">
        <f aca="false">C7*E7</f>
        <v>0.472788824134385</v>
      </c>
      <c r="G7" s="61"/>
      <c r="I7" s="63"/>
    </row>
    <row r="8" customFormat="false" ht="15.75" hidden="false" customHeight="false" outlineLevel="0" collapsed="false">
      <c r="A8" s="57" t="s">
        <v>1576</v>
      </c>
      <c r="B8" s="57" t="n">
        <v>1.33</v>
      </c>
      <c r="C8" s="58" t="n">
        <f aca="false">B8/B$22*B$24</f>
        <v>2.08976117015198</v>
      </c>
      <c r="D8" s="57" t="s">
        <v>434</v>
      </c>
      <c r="E8" s="59" t="n">
        <f aca="false">IFERROR(INDEX(Correspondance!$D$2:$D$3000,MATCH(A8,Correspondance!$A$2:$A$3000,0)),0)</f>
        <v>5.5</v>
      </c>
      <c r="F8" s="60" t="n">
        <f aca="false">C8*E8</f>
        <v>11.4936864358359</v>
      </c>
      <c r="G8" s="61"/>
      <c r="I8" s="63"/>
    </row>
    <row r="9" customFormat="false" ht="15.75" hidden="false" customHeight="false" outlineLevel="0" collapsed="false">
      <c r="A9" s="57" t="s">
        <v>1973</v>
      </c>
      <c r="B9" s="57" t="n">
        <v>0.443</v>
      </c>
      <c r="C9" s="58" t="n">
        <f aca="false">B9/B$22*B$24</f>
        <v>0.696063307050623</v>
      </c>
      <c r="D9" s="57" t="s">
        <v>682</v>
      </c>
      <c r="E9" s="59" t="n">
        <f aca="false">IFERROR(INDEX(Correspondance!$D$2:$D$3000,MATCH(A9,Correspondance!$A$2:$A$3000,0)),0)</f>
        <v>2</v>
      </c>
      <c r="F9" s="60" t="n">
        <f aca="false">C9*E9</f>
        <v>1.39212661410125</v>
      </c>
      <c r="G9" s="61"/>
      <c r="I9" s="63"/>
    </row>
    <row r="10" customFormat="false" ht="15.75" hidden="false" customHeight="false" outlineLevel="0" collapsed="false">
      <c r="A10" s="57" t="s">
        <v>999</v>
      </c>
      <c r="B10" s="57" t="n">
        <v>0.443</v>
      </c>
      <c r="C10" s="58" t="n">
        <f aca="false">B10/B$22*B$24</f>
        <v>0.696063307050623</v>
      </c>
      <c r="D10" s="57" t="s">
        <v>434</v>
      </c>
      <c r="E10" s="59" t="n">
        <f aca="false">IFERROR(INDEX(Correspondance!$D$2:$D$3000,MATCH(A10,Correspondance!$A$2:$A$3000,0)),0)</f>
        <v>1.9</v>
      </c>
      <c r="F10" s="60" t="n">
        <f aca="false">C10*E10</f>
        <v>1.32252028339618</v>
      </c>
      <c r="G10" s="61"/>
      <c r="I10" s="63"/>
    </row>
    <row r="11" customFormat="false" ht="15.75" hidden="false" customHeight="false" outlineLevel="0" collapsed="false">
      <c r="A11" s="57" t="s">
        <v>1104</v>
      </c>
      <c r="B11" s="57" t="n">
        <v>0.071</v>
      </c>
      <c r="C11" s="58" t="n">
        <f aca="false">B11/B$22*B$24</f>
        <v>0.111558679008113</v>
      </c>
      <c r="D11" s="57" t="s">
        <v>434</v>
      </c>
      <c r="E11" s="59" t="n">
        <f aca="false">IFERROR(INDEX(Correspondance!$D$2:$D$3000,MATCH(A11,Correspondance!$A$2:$A$3000,0)),0)</f>
        <v>12</v>
      </c>
      <c r="F11" s="60" t="n">
        <f aca="false">C11*E11</f>
        <v>1.33870414809736</v>
      </c>
      <c r="G11" s="61"/>
      <c r="I11" s="63"/>
    </row>
    <row r="12" customFormat="false" ht="18.75" hidden="false" customHeight="true" outlineLevel="0" collapsed="false">
      <c r="A12" s="57" t="s">
        <v>706</v>
      </c>
      <c r="B12" s="64" t="n">
        <v>0.885</v>
      </c>
      <c r="C12" s="58" t="n">
        <f aca="false">B12/B$22*B$24</f>
        <v>1.39055536510113</v>
      </c>
      <c r="D12" s="57" t="s">
        <v>434</v>
      </c>
      <c r="E12" s="59" t="n">
        <f aca="false">IFERROR(INDEX(Correspondance!$D$2:$D$3000,MATCH(A12,Correspondance!$A$2:$A$3000,0)),0)</f>
        <v>7.5</v>
      </c>
      <c r="F12" s="60" t="n">
        <f aca="false">C12*E12</f>
        <v>10.4291652382585</v>
      </c>
      <c r="G12" s="61"/>
      <c r="I12" s="63"/>
    </row>
    <row r="13" customFormat="false" ht="18.75" hidden="false" customHeight="true" outlineLevel="0" collapsed="false">
      <c r="A13" s="57" t="s">
        <v>1070</v>
      </c>
      <c r="B13" s="64" t="n">
        <v>0.177</v>
      </c>
      <c r="C13" s="58" t="n">
        <f aca="false">B13/B$22*B$24</f>
        <v>0.278111073020226</v>
      </c>
      <c r="D13" s="57" t="s">
        <v>434</v>
      </c>
      <c r="E13" s="59" t="n">
        <f aca="false">IFERROR(INDEX(Correspondance!$D$2:$D$3000,MATCH(A13,Correspondance!$A$2:$A$3000,0)),0)</f>
        <v>2</v>
      </c>
      <c r="F13" s="60" t="n">
        <f aca="false">C13*E13</f>
        <v>0.556222146040453</v>
      </c>
      <c r="G13" s="61"/>
      <c r="I13" s="63"/>
    </row>
    <row r="14" customFormat="false" ht="15.75" hidden="false" customHeight="false" outlineLevel="0" collapsed="false">
      <c r="A14" s="57" t="s">
        <v>1291</v>
      </c>
      <c r="B14" s="57" t="n">
        <v>0.089</v>
      </c>
      <c r="C14" s="58" t="n">
        <f aca="false">B14/B$22*B$24</f>
        <v>0.13984116101017</v>
      </c>
      <c r="D14" s="57" t="s">
        <v>682</v>
      </c>
      <c r="E14" s="59" t="n">
        <f aca="false">IFERROR(INDEX(Correspondance!$D$2:$D$3000,MATCH(A14,Correspondance!$A$2:$A$3000,0)),0)</f>
        <v>2.5</v>
      </c>
      <c r="F14" s="60" t="n">
        <f aca="false">C14*E14</f>
        <v>0.349602902525426</v>
      </c>
      <c r="G14" s="61"/>
      <c r="I14" s="63"/>
    </row>
    <row r="15" customFormat="false" ht="15.75" hidden="false" customHeight="false" outlineLevel="0" collapsed="false">
      <c r="A15" s="57" t="s">
        <v>1919</v>
      </c>
      <c r="B15" s="57" t="n">
        <v>0.071</v>
      </c>
      <c r="C15" s="58" t="n">
        <f aca="false">B15/B$22*B$24</f>
        <v>0.111558679008113</v>
      </c>
      <c r="D15" s="57" t="s">
        <v>434</v>
      </c>
      <c r="E15" s="59" t="n">
        <f aca="false">IFERROR(INDEX(Correspondance!$D$2:$D$3000,MATCH(A15,Correspondance!$A$2:$A$3000,0)),0)</f>
        <v>2</v>
      </c>
      <c r="F15" s="60" t="n">
        <f aca="false">C15*E15</f>
        <v>0.223117358016227</v>
      </c>
      <c r="G15" s="61"/>
      <c r="I15" s="63"/>
    </row>
    <row r="16" customFormat="false" ht="15.75" hidden="false" customHeight="false" outlineLevel="0" collapsed="false">
      <c r="A16" s="57" t="s">
        <v>1796</v>
      </c>
      <c r="B16" s="57" t="n">
        <v>0.005</v>
      </c>
      <c r="C16" s="58" t="n">
        <f aca="false">B16/B$22*B$24</f>
        <v>0.00785624500057136</v>
      </c>
      <c r="D16" s="57" t="s">
        <v>434</v>
      </c>
      <c r="E16" s="59" t="n">
        <f aca="false">IFERROR(INDEX(Correspondance!$D$2:$D$3000,MATCH(A16,Correspondance!$A$2:$A$3000,0)),0)</f>
        <v>18</v>
      </c>
      <c r="F16" s="60" t="n">
        <f aca="false">C16*E16</f>
        <v>0.141412410010285</v>
      </c>
      <c r="G16" s="61"/>
      <c r="I16" s="63"/>
    </row>
    <row r="17" customFormat="false" ht="15.75" hidden="false" customHeight="false" outlineLevel="0" collapsed="false">
      <c r="A17" s="57" t="s">
        <v>1736</v>
      </c>
      <c r="B17" s="57"/>
      <c r="C17" s="58" t="n">
        <f aca="false">B17/B$22*B$24</f>
        <v>0</v>
      </c>
      <c r="D17" s="57" t="s">
        <v>434</v>
      </c>
      <c r="E17" s="59" t="n">
        <f aca="false">IFERROR(INDEX(Correspondance!$D$2:$D$3000,MATCH(A17,Correspondance!$A$2:$A$3000,0)),0)</f>
        <v>30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167.628071077591</v>
      </c>
      <c r="G19" s="61"/>
      <c r="I19" s="63"/>
    </row>
    <row r="20" customFormat="false" ht="18.75" hidden="false" customHeight="true" outlineLevel="0" collapsed="false">
      <c r="A20" s="68" t="s">
        <v>2628</v>
      </c>
      <c r="B20" s="69" t="n">
        <f aca="false">F19/B24</f>
        <v>1.52389155525083</v>
      </c>
      <c r="C20" s="70"/>
      <c r="G20" s="61"/>
      <c r="I20" s="63"/>
    </row>
    <row r="21" customFormat="false" ht="15.75" hidden="false" customHeight="false" outlineLevel="0" collapsed="false">
      <c r="A21" s="71" t="s">
        <v>2629</v>
      </c>
      <c r="B21" s="71" t="n">
        <f aca="false">SUM(B3:B18)</f>
        <v>17.502</v>
      </c>
      <c r="C21" s="66"/>
      <c r="G21" s="61"/>
      <c r="I21" s="63"/>
    </row>
    <row r="22" customFormat="false" ht="15.75" hidden="false" customHeight="false" outlineLevel="0" collapsed="false">
      <c r="A22" s="0" t="s">
        <v>2630</v>
      </c>
      <c r="B22" s="72" t="n">
        <f aca="false">B21/B23</f>
        <v>70.008</v>
      </c>
      <c r="C22" s="66"/>
      <c r="G22" s="61"/>
      <c r="I22" s="63"/>
    </row>
    <row r="23" customFormat="false" ht="15.75" hidden="false" customHeight="false" outlineLevel="0" collapsed="false">
      <c r="A23" s="0" t="s">
        <v>2631</v>
      </c>
      <c r="B23" s="0" t="n">
        <v>0.25</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195</v>
      </c>
      <c r="B1" s="50"/>
      <c r="C1" s="50"/>
      <c r="D1" s="50"/>
      <c r="E1" s="51" t="s">
        <v>2619</v>
      </c>
      <c r="F1" s="51"/>
      <c r="G1" s="52" t="s">
        <v>2865</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1741</v>
      </c>
      <c r="B4" s="57" t="n">
        <v>6.74</v>
      </c>
      <c r="C4" s="58" t="n">
        <f aca="false">B4/B$22*B$24</f>
        <v>10.5914285714286</v>
      </c>
      <c r="D4" s="57" t="s">
        <v>434</v>
      </c>
      <c r="E4" s="59" t="n">
        <f aca="false">IFERROR(INDEX(Correspondance!$D$2:$D$3000,MATCH(A4,Correspondance!$A$2:$A$3000,0)),0)</f>
        <v>6.5</v>
      </c>
      <c r="F4" s="60" t="n">
        <f aca="false">C4*E4</f>
        <v>68.8442857142857</v>
      </c>
      <c r="G4" s="61" t="s">
        <v>2866</v>
      </c>
    </row>
    <row r="5" customFormat="false" ht="15.75" hidden="false" customHeight="false" outlineLevel="0" collapsed="false">
      <c r="A5" s="57" t="s">
        <v>1856</v>
      </c>
      <c r="B5" s="57" t="n">
        <v>2.53</v>
      </c>
      <c r="C5" s="58" t="n">
        <f aca="false">B5/B$22*B$24</f>
        <v>3.97571428571429</v>
      </c>
      <c r="D5" s="57" t="s">
        <v>434</v>
      </c>
      <c r="E5" s="59" t="n">
        <f aca="false">IFERROR(INDEX(Correspondance!$D$2:$D$3000,MATCH(A5,Correspondance!$A$2:$A$3000,0)),0)</f>
        <v>1.5</v>
      </c>
      <c r="F5" s="60" t="n">
        <f aca="false">C5*E5</f>
        <v>5.96357142857143</v>
      </c>
      <c r="G5" s="61"/>
      <c r="I5" s="62"/>
    </row>
    <row r="6" customFormat="false" ht="15.75" hidden="false" customHeight="false" outlineLevel="0" collapsed="false">
      <c r="A6" s="57" t="s">
        <v>1001</v>
      </c>
      <c r="B6" s="57" t="n">
        <v>0.253</v>
      </c>
      <c r="C6" s="58" t="n">
        <f aca="false">B6/B$22*B$24</f>
        <v>0.397571428571429</v>
      </c>
      <c r="D6" s="57" t="s">
        <v>434</v>
      </c>
      <c r="E6" s="59" t="n">
        <f aca="false">IFERROR(INDEX(Correspondance!$D$2:$D$3000,MATCH(A6,Correspondance!$A$2:$A$3000,0)),0)</f>
        <v>1.8</v>
      </c>
      <c r="F6" s="60" t="n">
        <f aca="false">C6*E6</f>
        <v>0.715628571428572</v>
      </c>
      <c r="G6" s="61"/>
      <c r="I6" s="63"/>
    </row>
    <row r="7" customFormat="false" ht="15.75" hidden="false" customHeight="false" outlineLevel="0" collapsed="false">
      <c r="A7" s="57" t="s">
        <v>1120</v>
      </c>
      <c r="B7" s="57" t="n">
        <v>0.084</v>
      </c>
      <c r="C7" s="58" t="n">
        <f aca="false">B7/B$22*B$24</f>
        <v>0.132</v>
      </c>
      <c r="D7" s="57" t="s">
        <v>682</v>
      </c>
      <c r="E7" s="59" t="n">
        <f aca="false">IFERROR(INDEX(Correspondance!$D$2:$D$3000,MATCH(A7,Correspondance!$A$2:$A$3000,0)),0)</f>
        <v>7.5</v>
      </c>
      <c r="F7" s="60" t="n">
        <f aca="false">C7*E7</f>
        <v>0.99</v>
      </c>
      <c r="G7" s="61"/>
      <c r="I7" s="63"/>
    </row>
    <row r="8" customFormat="false" ht="15.75" hidden="false" customHeight="false" outlineLevel="0" collapsed="false">
      <c r="A8" s="57" t="s">
        <v>1937</v>
      </c>
      <c r="B8" s="57" t="n">
        <v>0.025</v>
      </c>
      <c r="C8" s="58" t="n">
        <f aca="false">B8/B$22*B$24</f>
        <v>0.0392857142857143</v>
      </c>
      <c r="D8" s="57" t="s">
        <v>434</v>
      </c>
      <c r="E8" s="59" t="n">
        <f aca="false">IFERROR(INDEX(Correspondance!$D$2:$D$3000,MATCH(A8,Correspondance!$A$2:$A$3000,0)),0)</f>
        <v>1.3</v>
      </c>
      <c r="F8" s="60" t="n">
        <f aca="false">C8*E8</f>
        <v>0.0510714285714286</v>
      </c>
      <c r="G8" s="61"/>
      <c r="I8" s="63"/>
    </row>
    <row r="9" customFormat="false" ht="15.75" hidden="false" customHeight="false" outlineLevel="0" collapsed="false">
      <c r="A9" s="57" t="s">
        <v>1919</v>
      </c>
      <c r="B9" s="57" t="n">
        <v>0.025</v>
      </c>
      <c r="C9" s="58" t="n">
        <f aca="false">B9/B$22*B$24</f>
        <v>0.0392857142857143</v>
      </c>
      <c r="D9" s="57" t="s">
        <v>434</v>
      </c>
      <c r="E9" s="59" t="n">
        <f aca="false">IFERROR(INDEX(Correspondance!$D$2:$D$3000,MATCH(A9,Correspondance!$A$2:$A$3000,0)),0)</f>
        <v>2</v>
      </c>
      <c r="F9" s="60" t="n">
        <f aca="false">C9*E9</f>
        <v>0.0785714285714286</v>
      </c>
      <c r="G9" s="61"/>
      <c r="I9" s="63"/>
    </row>
    <row r="10" customFormat="false" ht="15.75" hidden="false" customHeight="false" outlineLevel="0" collapsed="false">
      <c r="A10" s="57" t="s">
        <v>1664</v>
      </c>
      <c r="B10" s="57"/>
      <c r="C10" s="58" t="n">
        <f aca="false">B10/B$22*B$24</f>
        <v>0</v>
      </c>
      <c r="D10" s="57" t="s">
        <v>434</v>
      </c>
      <c r="E10" s="59" t="n">
        <f aca="false">IFERROR(INDEX(Correspondance!$D$2:$D$3000,MATCH(A10,Correspondance!$A$2:$A$3000,0)),0)</f>
        <v>11</v>
      </c>
      <c r="F10" s="60" t="n">
        <f aca="false">C10*E10</f>
        <v>0</v>
      </c>
      <c r="G10" s="61"/>
      <c r="I10" s="63"/>
    </row>
    <row r="11" customFormat="false" ht="15.75" hidden="false" customHeight="false" outlineLevel="0" collapsed="false">
      <c r="A11" s="57" t="s">
        <v>1691</v>
      </c>
      <c r="B11" s="57" t="n">
        <v>0.843</v>
      </c>
      <c r="C11" s="58" t="n">
        <f aca="false">B11/B$22*B$24</f>
        <v>1.32471428571429</v>
      </c>
      <c r="D11" s="57" t="s">
        <v>434</v>
      </c>
      <c r="E11" s="59" t="n">
        <f aca="false">IFERROR(INDEX(Correspondance!$D$2:$D$3000,MATCH(A11,Correspondance!$A$2:$A$3000,0)),0)</f>
        <v>3</v>
      </c>
      <c r="F11" s="60" t="n">
        <f aca="false">C11*E11</f>
        <v>3.97414285714286</v>
      </c>
      <c r="G11" s="61"/>
      <c r="I11" s="63"/>
    </row>
    <row r="12" customFormat="false" ht="18.75" hidden="false" customHeight="true" outlineLevel="0" collapsed="false">
      <c r="A12" s="57"/>
      <c r="B12" s="64"/>
      <c r="C12" s="58" t="n">
        <f aca="false">B12/B$22*B$24</f>
        <v>0</v>
      </c>
      <c r="D12" s="57"/>
      <c r="E12" s="65" t="n">
        <f aca="false">IFERROR(INDEX(Correspondance!$D$2:$D$3000,MATCH(A12,Correspondance!$A$2:$A$3000,0)),0)</f>
        <v>0</v>
      </c>
      <c r="F12" s="60" t="n">
        <f aca="false">C12*E12</f>
        <v>0</v>
      </c>
      <c r="G12" s="61"/>
      <c r="I12" s="63"/>
    </row>
    <row r="13" customFormat="false" ht="18.75" hidden="false" customHeight="true" outlineLevel="0" collapsed="false">
      <c r="A13" s="57"/>
      <c r="B13" s="64"/>
      <c r="C13" s="58" t="n">
        <f aca="false">B13/B$22*B$24</f>
        <v>0</v>
      </c>
      <c r="D13" s="57"/>
      <c r="E13" s="65" t="n">
        <f aca="false">IFERROR(INDEX(Correspondance!$D$2:$D$3000,MATCH(A13,Correspondance!$A$2:$A$3000,0)),0)</f>
        <v>0</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80.6172714285714</v>
      </c>
      <c r="G19" s="61"/>
      <c r="I19" s="63"/>
    </row>
    <row r="20" customFormat="false" ht="18.75" hidden="false" customHeight="true" outlineLevel="0" collapsed="false">
      <c r="A20" s="68" t="s">
        <v>2628</v>
      </c>
      <c r="B20" s="69" t="n">
        <f aca="false">F19/B24</f>
        <v>0.732884285714286</v>
      </c>
      <c r="C20" s="70"/>
      <c r="G20" s="61"/>
      <c r="I20" s="63"/>
    </row>
    <row r="21" customFormat="false" ht="15.75" hidden="false" customHeight="false" outlineLevel="0" collapsed="false">
      <c r="A21" s="71" t="s">
        <v>2629</v>
      </c>
      <c r="B21" s="71" t="n">
        <f aca="false">SUM(B3:B18)</f>
        <v>10.5</v>
      </c>
      <c r="C21" s="66"/>
      <c r="G21" s="61"/>
      <c r="I21" s="63"/>
    </row>
    <row r="22" customFormat="false" ht="15.75" hidden="false" customHeight="false" outlineLevel="0" collapsed="false">
      <c r="A22" s="0" t="s">
        <v>2630</v>
      </c>
      <c r="B22" s="72" t="n">
        <f aca="false">B21/B23</f>
        <v>70</v>
      </c>
      <c r="C22" s="66"/>
      <c r="G22" s="61"/>
      <c r="I22" s="63"/>
    </row>
    <row r="23" customFormat="false" ht="15.75" hidden="false" customHeight="false" outlineLevel="0" collapsed="false">
      <c r="A23" s="0" t="s">
        <v>2631</v>
      </c>
      <c r="B23" s="0" t="n">
        <v>0.15</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196</v>
      </c>
      <c r="B1" s="50"/>
      <c r="C1" s="50"/>
      <c r="D1" s="50"/>
      <c r="E1" s="51" t="s">
        <v>2619</v>
      </c>
      <c r="F1" s="51"/>
      <c r="G1" s="52" t="s">
        <v>2865</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1597</v>
      </c>
      <c r="B4" s="57" t="n">
        <v>6.79</v>
      </c>
      <c r="C4" s="58" t="n">
        <f aca="false">B4/B$22*B$24</f>
        <v>10.6656466748266</v>
      </c>
      <c r="D4" s="57" t="s">
        <v>434</v>
      </c>
      <c r="E4" s="59" t="n">
        <f aca="false">IFERROR(INDEX(Correspondance!$D$2:$D$3000,MATCH(A4,Correspondance!$A$2:$A$3000,0)),0)</f>
        <v>7</v>
      </c>
      <c r="F4" s="60" t="n">
        <f aca="false">C4*E4</f>
        <v>74.6595267237862</v>
      </c>
      <c r="G4" s="61" t="s">
        <v>2867</v>
      </c>
    </row>
    <row r="5" customFormat="false" ht="15.75" hidden="false" customHeight="false" outlineLevel="0" collapsed="false">
      <c r="A5" s="57" t="s">
        <v>1576</v>
      </c>
      <c r="B5" s="57" t="n">
        <v>1.7</v>
      </c>
      <c r="C5" s="58" t="n">
        <f aca="false">B5/B$22*B$24</f>
        <v>2.6703386372909</v>
      </c>
      <c r="D5" s="57" t="s">
        <v>434</v>
      </c>
      <c r="E5" s="59" t="n">
        <f aca="false">IFERROR(INDEX(Correspondance!$D$2:$D$3000,MATCH(A5,Correspondance!$A$2:$A$3000,0)),0)</f>
        <v>5.5</v>
      </c>
      <c r="F5" s="60" t="n">
        <f aca="false">C5*E5</f>
        <v>14.6868625051</v>
      </c>
      <c r="G5" s="61"/>
      <c r="I5" s="62"/>
    </row>
    <row r="6" customFormat="false" ht="15.75" hidden="false" customHeight="false" outlineLevel="0" collapsed="false">
      <c r="A6" s="57" t="s">
        <v>1001</v>
      </c>
      <c r="B6" s="57" t="n">
        <v>0.255</v>
      </c>
      <c r="C6" s="58" t="n">
        <f aca="false">B6/B$22*B$24</f>
        <v>0.400550795593635</v>
      </c>
      <c r="D6" s="57" t="s">
        <v>434</v>
      </c>
      <c r="E6" s="59" t="n">
        <f aca="false">IFERROR(INDEX(Correspondance!$D$2:$D$3000,MATCH(A6,Correspondance!$A$2:$A$3000,0)),0)</f>
        <v>1.8</v>
      </c>
      <c r="F6" s="60" t="n">
        <f aca="false">C6*E6</f>
        <v>0.720991432068544</v>
      </c>
      <c r="G6" s="61"/>
      <c r="I6" s="63"/>
    </row>
    <row r="7" customFormat="false" ht="15.75" hidden="false" customHeight="false" outlineLevel="0" collapsed="false">
      <c r="A7" s="57" t="s">
        <v>1459</v>
      </c>
      <c r="B7" s="57" t="n">
        <v>0.848</v>
      </c>
      <c r="C7" s="58" t="n">
        <f aca="false">B7/B$22*B$24</f>
        <v>1.33202774377805</v>
      </c>
      <c r="D7" s="57" t="s">
        <v>682</v>
      </c>
      <c r="E7" s="59" t="n">
        <f aca="false">IFERROR(INDEX(Correspondance!$D$2:$D$3000,MATCH(A7,Correspondance!$A$2:$A$3000,0)),0)</f>
        <v>0</v>
      </c>
      <c r="F7" s="60" t="n">
        <f aca="false">C7*E7</f>
        <v>0</v>
      </c>
      <c r="G7" s="61"/>
      <c r="I7" s="63"/>
    </row>
    <row r="8" customFormat="false" ht="15.75" hidden="false" customHeight="false" outlineLevel="0" collapsed="false">
      <c r="A8" s="57" t="s">
        <v>1100</v>
      </c>
      <c r="B8" s="57" t="n">
        <v>0.042</v>
      </c>
      <c r="C8" s="58" t="n">
        <f aca="false">B8/B$22*B$24</f>
        <v>0.0659730722154223</v>
      </c>
      <c r="D8" s="57" t="s">
        <v>434</v>
      </c>
      <c r="E8" s="59" t="n">
        <f aca="false">IFERROR(INDEX(Correspondance!$D$2:$D$3000,MATCH(A8,Correspondance!$A$2:$A$3000,0)),0)</f>
        <v>10</v>
      </c>
      <c r="F8" s="60" t="n">
        <f aca="false">C8*E8</f>
        <v>0.659730722154223</v>
      </c>
      <c r="G8" s="61"/>
      <c r="I8" s="63"/>
    </row>
    <row r="9" customFormat="false" ht="15.75" hidden="false" customHeight="false" outlineLevel="0" collapsed="false">
      <c r="A9" s="57" t="s">
        <v>1591</v>
      </c>
      <c r="B9" s="57" t="n">
        <v>0.025</v>
      </c>
      <c r="C9" s="58" t="n">
        <f aca="false">B9/B$22*B$24</f>
        <v>0.0392696858425133</v>
      </c>
      <c r="D9" s="57" t="s">
        <v>434</v>
      </c>
      <c r="E9" s="59" t="n">
        <f aca="false">IFERROR(INDEX(Correspondance!$D$2:$D$3000,MATCH(A9,Correspondance!$A$2:$A$3000,0)),0)</f>
        <v>13</v>
      </c>
      <c r="F9" s="60" t="n">
        <f aca="false">C9*E9</f>
        <v>0.510505915952673</v>
      </c>
      <c r="G9" s="61"/>
      <c r="I9" s="63"/>
    </row>
    <row r="10" customFormat="false" ht="15.75" hidden="false" customHeight="false" outlineLevel="0" collapsed="false">
      <c r="A10" s="57" t="s">
        <v>1084</v>
      </c>
      <c r="B10" s="57" t="n">
        <v>0.042</v>
      </c>
      <c r="C10" s="58" t="n">
        <f aca="false">B10/B$22*B$24</f>
        <v>0.0659730722154223</v>
      </c>
      <c r="D10" s="57" t="s">
        <v>434</v>
      </c>
      <c r="E10" s="59" t="n">
        <f aca="false">IFERROR(INDEX(Correspondance!$D$2:$D$3000,MATCH(A10,Correspondance!$A$2:$A$3000,0)),0)</f>
        <v>2.2</v>
      </c>
      <c r="F10" s="60" t="n">
        <f aca="false">C10*E10</f>
        <v>0.145140758873929</v>
      </c>
      <c r="G10" s="61"/>
      <c r="I10" s="63"/>
    </row>
    <row r="11" customFormat="false" ht="15.75" hidden="false" customHeight="false" outlineLevel="0" collapsed="false">
      <c r="A11" s="57" t="s">
        <v>1675</v>
      </c>
      <c r="B11" s="57" t="n">
        <v>0.085</v>
      </c>
      <c r="C11" s="58" t="n">
        <f aca="false">B11/B$22*B$24</f>
        <v>0.133516931864545</v>
      </c>
      <c r="D11" s="57" t="s">
        <v>682</v>
      </c>
      <c r="E11" s="59" t="n">
        <f aca="false">IFERROR(INDEX(Correspondance!$D$2:$D$3000,MATCH(A11,Correspondance!$A$2:$A$3000,0)),0)</f>
        <v>2.2</v>
      </c>
      <c r="F11" s="60" t="n">
        <f aca="false">C11*E11</f>
        <v>0.293737250101999</v>
      </c>
      <c r="G11" s="61"/>
      <c r="I11" s="63"/>
    </row>
    <row r="12" customFormat="false" ht="18.75" hidden="false" customHeight="true" outlineLevel="0" collapsed="false">
      <c r="A12" s="57" t="s">
        <v>1919</v>
      </c>
      <c r="B12" s="64" t="n">
        <v>0.017</v>
      </c>
      <c r="C12" s="58" t="n">
        <f aca="false">B12/B$22*B$24</f>
        <v>0.026703386372909</v>
      </c>
      <c r="D12" s="57" t="s">
        <v>434</v>
      </c>
      <c r="E12" s="59" t="n">
        <f aca="false">IFERROR(INDEX(Correspondance!$D$2:$D$3000,MATCH(A12,Correspondance!$A$2:$A$3000,0)),0)</f>
        <v>2</v>
      </c>
      <c r="F12" s="60" t="n">
        <f aca="false">C12*E12</f>
        <v>0.053406772745818</v>
      </c>
      <c r="G12" s="61"/>
      <c r="I12" s="63"/>
    </row>
    <row r="13" customFormat="false" ht="18.75" hidden="false" customHeight="true" outlineLevel="0" collapsed="false">
      <c r="A13" s="57"/>
      <c r="B13" s="64"/>
      <c r="C13" s="58" t="n">
        <f aca="false">B13/B$22*B$24</f>
        <v>0</v>
      </c>
      <c r="D13" s="57"/>
      <c r="E13" s="65" t="n">
        <f aca="false">IFERROR(INDEX(Correspondance!$D$2:$D$3000,MATCH(A13,Correspondance!$A$2:$A$3000,0)),0)</f>
        <v>0</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91.7299020807834</v>
      </c>
      <c r="G19" s="61"/>
      <c r="I19" s="63"/>
    </row>
    <row r="20" customFormat="false" ht="18.75" hidden="false" customHeight="true" outlineLevel="0" collapsed="false">
      <c r="A20" s="68" t="s">
        <v>2628</v>
      </c>
      <c r="B20" s="69" t="n">
        <f aca="false">F19/B24</f>
        <v>0.833908200734394</v>
      </c>
      <c r="C20" s="70"/>
      <c r="G20" s="61"/>
      <c r="I20" s="63"/>
    </row>
    <row r="21" customFormat="false" ht="15.75" hidden="false" customHeight="false" outlineLevel="0" collapsed="false">
      <c r="A21" s="71" t="s">
        <v>2629</v>
      </c>
      <c r="B21" s="71" t="n">
        <f aca="false">SUM(B3:B18)</f>
        <v>9.804</v>
      </c>
      <c r="C21" s="66"/>
      <c r="G21" s="61"/>
      <c r="I21" s="63"/>
    </row>
    <row r="22" customFormat="false" ht="15.75" hidden="false" customHeight="false" outlineLevel="0" collapsed="false">
      <c r="A22" s="0" t="s">
        <v>2630</v>
      </c>
      <c r="B22" s="72" t="n">
        <f aca="false">B21/B23</f>
        <v>70.0285714285714</v>
      </c>
      <c r="C22" s="66"/>
      <c r="G22" s="61"/>
      <c r="I22" s="63"/>
    </row>
    <row r="23" customFormat="false" ht="15.75" hidden="false" customHeight="false" outlineLevel="0" collapsed="false">
      <c r="A23" s="0" t="s">
        <v>2631</v>
      </c>
      <c r="B23" s="0" t="n">
        <v>0.14</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197</v>
      </c>
      <c r="B1" s="50"/>
      <c r="C1" s="50"/>
      <c r="D1" s="50"/>
      <c r="E1" s="51" t="s">
        <v>2619</v>
      </c>
      <c r="F1" s="51"/>
      <c r="G1" s="52" t="s">
        <v>2868</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1999</v>
      </c>
      <c r="B4" s="57" t="n">
        <v>7.68</v>
      </c>
      <c r="C4" s="58" t="n">
        <f aca="false">B4/B$22*B$24</f>
        <v>12.0685714285714</v>
      </c>
      <c r="D4" s="57" t="s">
        <v>682</v>
      </c>
      <c r="E4" s="59" t="n">
        <f aca="false">IFERROR(INDEX(Correspondance!$D$2:$D$3000,MATCH(A4,Correspondance!$A$2:$A$3000,0)),0)</f>
        <v>3.8</v>
      </c>
      <c r="F4" s="60" t="n">
        <f aca="false">C4*E4</f>
        <v>45.8605714285714</v>
      </c>
      <c r="G4" s="61" t="s">
        <v>2869</v>
      </c>
    </row>
    <row r="5" customFormat="false" ht="15.75" hidden="false" customHeight="false" outlineLevel="0" collapsed="false">
      <c r="A5" s="57" t="s">
        <v>1692</v>
      </c>
      <c r="B5" s="57" t="n">
        <v>0.853</v>
      </c>
      <c r="C5" s="58" t="n">
        <f aca="false">B5/B$22*B$24</f>
        <v>1.34042857142857</v>
      </c>
      <c r="D5" s="57" t="s">
        <v>682</v>
      </c>
      <c r="E5" s="59" t="n">
        <f aca="false">IFERROR(INDEX(Correspondance!$D$2:$D$3000,MATCH(A5,Correspondance!$A$2:$A$3000,0)),0)</f>
        <v>2.4</v>
      </c>
      <c r="F5" s="60" t="n">
        <f aca="false">C5*E5</f>
        <v>3.21702857142857</v>
      </c>
      <c r="G5" s="61"/>
      <c r="I5" s="62"/>
    </row>
    <row r="6" customFormat="false" ht="15.75" hidden="false" customHeight="false" outlineLevel="0" collapsed="false">
      <c r="A6" s="57" t="s">
        <v>1576</v>
      </c>
      <c r="B6" s="57" t="n">
        <v>0.853</v>
      </c>
      <c r="C6" s="58" t="n">
        <f aca="false">B6/B$22*B$24</f>
        <v>1.34042857142857</v>
      </c>
      <c r="D6" s="57" t="s">
        <v>434</v>
      </c>
      <c r="E6" s="59" t="n">
        <f aca="false">IFERROR(INDEX(Correspondance!$D$2:$D$3000,MATCH(A6,Correspondance!$A$2:$A$3000,0)),0)</f>
        <v>5.5</v>
      </c>
      <c r="F6" s="60" t="n">
        <f aca="false">C6*E6</f>
        <v>7.37235714285714</v>
      </c>
      <c r="G6" s="61"/>
      <c r="I6" s="63"/>
    </row>
    <row r="7" customFormat="false" ht="15.75" hidden="false" customHeight="false" outlineLevel="0" collapsed="false">
      <c r="A7" s="57" t="s">
        <v>1491</v>
      </c>
      <c r="B7" s="57" t="n">
        <v>0.256</v>
      </c>
      <c r="C7" s="58" t="n">
        <f aca="false">B7/B$22*B$24</f>
        <v>0.402285714285714</v>
      </c>
      <c r="D7" s="57" t="s">
        <v>434</v>
      </c>
      <c r="E7" s="59" t="n">
        <f aca="false">IFERROR(INDEX(Correspondance!$D$2:$D$3000,MATCH(A7,Correspondance!$A$2:$A$3000,0)),0)</f>
        <v>9</v>
      </c>
      <c r="F7" s="60" t="n">
        <f aca="false">C7*E7</f>
        <v>3.62057142857143</v>
      </c>
      <c r="G7" s="61"/>
      <c r="I7" s="63"/>
    </row>
    <row r="8" customFormat="false" ht="15.75" hidden="false" customHeight="false" outlineLevel="0" collapsed="false">
      <c r="A8" s="57" t="s">
        <v>1675</v>
      </c>
      <c r="B8" s="57" t="n">
        <v>0.085</v>
      </c>
      <c r="C8" s="58" t="n">
        <f aca="false">B8/B$22*B$24</f>
        <v>0.133571428571429</v>
      </c>
      <c r="D8" s="57" t="s">
        <v>682</v>
      </c>
      <c r="E8" s="59" t="n">
        <f aca="false">IFERROR(INDEX(Correspondance!$D$2:$D$3000,MATCH(A8,Correspondance!$A$2:$A$3000,0)),0)</f>
        <v>2.2</v>
      </c>
      <c r="F8" s="60" t="n">
        <f aca="false">C8*E8</f>
        <v>0.293857142857143</v>
      </c>
      <c r="G8" s="61"/>
      <c r="I8" s="63"/>
    </row>
    <row r="9" customFormat="false" ht="15.75" hidden="false" customHeight="false" outlineLevel="0" collapsed="false">
      <c r="A9" s="57" t="s">
        <v>706</v>
      </c>
      <c r="B9" s="57" t="n">
        <v>0.683</v>
      </c>
      <c r="C9" s="58" t="n">
        <f aca="false">B9/B$22*B$24</f>
        <v>1.07328571428571</v>
      </c>
      <c r="D9" s="57" t="s">
        <v>434</v>
      </c>
      <c r="E9" s="59" t="n">
        <f aca="false">IFERROR(INDEX(Correspondance!$D$2:$D$3000,MATCH(A9,Correspondance!$A$2:$A$3000,0)),0)</f>
        <v>7.5</v>
      </c>
      <c r="F9" s="60" t="n">
        <f aca="false">C9*E9</f>
        <v>8.04964285714286</v>
      </c>
      <c r="G9" s="61"/>
      <c r="I9" s="63"/>
    </row>
    <row r="10" customFormat="false" ht="15.75" hidden="false" customHeight="false" outlineLevel="0" collapsed="false">
      <c r="A10" s="57" t="s">
        <v>1919</v>
      </c>
      <c r="B10" s="57" t="n">
        <v>0.085</v>
      </c>
      <c r="C10" s="58" t="n">
        <f aca="false">B10/B$22*B$24</f>
        <v>0.133571428571429</v>
      </c>
      <c r="D10" s="57" t="s">
        <v>434</v>
      </c>
      <c r="E10" s="59" t="n">
        <f aca="false">IFERROR(INDEX(Correspondance!$D$2:$D$3000,MATCH(A10,Correspondance!$A$2:$A$3000,0)),0)</f>
        <v>2</v>
      </c>
      <c r="F10" s="60" t="n">
        <f aca="false">C10*E10</f>
        <v>0.267142857142857</v>
      </c>
      <c r="G10" s="61"/>
      <c r="I10" s="63"/>
    </row>
    <row r="11" customFormat="false" ht="15.75" hidden="false" customHeight="false" outlineLevel="0" collapsed="false">
      <c r="A11" s="57" t="s">
        <v>1796</v>
      </c>
      <c r="B11" s="57" t="n">
        <v>0.005</v>
      </c>
      <c r="C11" s="58" t="n">
        <f aca="false">B11/B$22*B$24</f>
        <v>0.00785714285714286</v>
      </c>
      <c r="D11" s="57" t="s">
        <v>434</v>
      </c>
      <c r="E11" s="59" t="n">
        <f aca="false">IFERROR(INDEX(Correspondance!$D$2:$D$3000,MATCH(A11,Correspondance!$A$2:$A$3000,0)),0)</f>
        <v>18</v>
      </c>
      <c r="F11" s="60" t="n">
        <f aca="false">C11*E11</f>
        <v>0.141428571428571</v>
      </c>
      <c r="G11" s="61"/>
      <c r="I11" s="63"/>
    </row>
    <row r="12" customFormat="false" ht="18.75" hidden="false" customHeight="true" outlineLevel="0" collapsed="false">
      <c r="A12" s="57" t="s">
        <v>1544</v>
      </c>
      <c r="B12" s="64"/>
      <c r="C12" s="58" t="n">
        <f aca="false">B12/B$22*B$24</f>
        <v>0</v>
      </c>
      <c r="D12" s="57" t="s">
        <v>434</v>
      </c>
      <c r="E12" s="59" t="n">
        <f aca="false">IFERROR(INDEX(Correspondance!$D$2:$D$3000,MATCH(A12,Correspondance!$A$2:$A$3000,0)),0)</f>
        <v>13</v>
      </c>
      <c r="F12" s="60" t="n">
        <f aca="false">C12*E12</f>
        <v>0</v>
      </c>
      <c r="G12" s="61"/>
      <c r="I12" s="63"/>
    </row>
    <row r="13" customFormat="false" ht="18.75" hidden="false" customHeight="true" outlineLevel="0" collapsed="false">
      <c r="A13" s="57"/>
      <c r="B13" s="64"/>
      <c r="C13" s="58" t="n">
        <f aca="false">B13/B$22*B$24</f>
        <v>0</v>
      </c>
      <c r="D13" s="57"/>
      <c r="E13" s="65" t="n">
        <f aca="false">IFERROR(INDEX(Correspondance!$D$2:$D$3000,MATCH(A13,Correspondance!$A$2:$A$3000,0)),0)</f>
        <v>0</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68.8226</v>
      </c>
      <c r="G19" s="61"/>
      <c r="I19" s="63"/>
    </row>
    <row r="20" customFormat="false" ht="18.75" hidden="false" customHeight="true" outlineLevel="0" collapsed="false">
      <c r="A20" s="68" t="s">
        <v>2628</v>
      </c>
      <c r="B20" s="69" t="n">
        <f aca="false">F19/B24</f>
        <v>0.62566</v>
      </c>
      <c r="C20" s="70"/>
      <c r="G20" s="61"/>
      <c r="I20" s="63"/>
    </row>
    <row r="21" customFormat="false" ht="15.75" hidden="false" customHeight="false" outlineLevel="0" collapsed="false">
      <c r="A21" s="71" t="s">
        <v>2629</v>
      </c>
      <c r="B21" s="71" t="n">
        <f aca="false">SUM(B3:B18)</f>
        <v>10.5</v>
      </c>
      <c r="C21" s="66"/>
      <c r="G21" s="61"/>
      <c r="I21" s="63"/>
    </row>
    <row r="22" customFormat="false" ht="15.75" hidden="false" customHeight="false" outlineLevel="0" collapsed="false">
      <c r="A22" s="0" t="s">
        <v>2630</v>
      </c>
      <c r="B22" s="72" t="n">
        <f aca="false">B21/B23</f>
        <v>70</v>
      </c>
      <c r="C22" s="66"/>
      <c r="G22" s="61"/>
      <c r="I22" s="63"/>
    </row>
    <row r="23" customFormat="false" ht="15.75" hidden="false" customHeight="false" outlineLevel="0" collapsed="false">
      <c r="A23" s="0" t="s">
        <v>2631</v>
      </c>
      <c r="B23" s="0" t="n">
        <v>0.15</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198</v>
      </c>
      <c r="B1" s="50"/>
      <c r="C1" s="50"/>
      <c r="D1" s="50"/>
      <c r="E1" s="51" t="s">
        <v>2619</v>
      </c>
      <c r="F1" s="51"/>
      <c r="G1" s="52" t="s">
        <v>2868</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1999</v>
      </c>
      <c r="B4" s="57" t="n">
        <v>8.14</v>
      </c>
      <c r="C4" s="58" t="n">
        <f aca="false">B4/B$22*B$24</f>
        <v>12.792342310165</v>
      </c>
      <c r="D4" s="57" t="s">
        <v>682</v>
      </c>
      <c r="E4" s="59" t="n">
        <f aca="false">IFERROR(INDEX(Correspondance!$D$2:$D$3000,MATCH(A4,Correspondance!$A$2:$A$3000,0)),0)</f>
        <v>3.8</v>
      </c>
      <c r="F4" s="60" t="n">
        <f aca="false">C4*E4</f>
        <v>48.610900778627</v>
      </c>
      <c r="G4" s="61" t="s">
        <v>2870</v>
      </c>
    </row>
    <row r="5" customFormat="false" ht="15.75" hidden="false" customHeight="false" outlineLevel="0" collapsed="false">
      <c r="A5" s="57" t="s">
        <v>1024</v>
      </c>
      <c r="B5" s="57" t="n">
        <v>1.81</v>
      </c>
      <c r="C5" s="58" t="n">
        <f aca="false">B5/B$22*B$24</f>
        <v>2.84448889206372</v>
      </c>
      <c r="D5" s="57" t="s">
        <v>434</v>
      </c>
      <c r="E5" s="59" t="n">
        <f aca="false">IFERROR(INDEX(Correspondance!$D$2:$D$3000,MATCH(A5,Correspondance!$A$2:$A$3000,0)),0)</f>
        <v>3</v>
      </c>
      <c r="F5" s="60" t="n">
        <f aca="false">C5*E5</f>
        <v>8.53346667619116</v>
      </c>
      <c r="G5" s="61"/>
      <c r="I5" s="62"/>
    </row>
    <row r="6" customFormat="false" ht="15.75" hidden="false" customHeight="false" outlineLevel="0" collapsed="false">
      <c r="A6" s="57" t="s">
        <v>1856</v>
      </c>
      <c r="B6" s="57" t="n">
        <v>1.81</v>
      </c>
      <c r="C6" s="58" t="n">
        <f aca="false">B6/B$22*B$24</f>
        <v>2.84448889206372</v>
      </c>
      <c r="D6" s="57" t="s">
        <v>434</v>
      </c>
      <c r="E6" s="59" t="n">
        <f aca="false">IFERROR(INDEX(Correspondance!$D$2:$D$3000,MATCH(A6,Correspondance!$A$2:$A$3000,0)),0)</f>
        <v>1.5</v>
      </c>
      <c r="F6" s="60" t="n">
        <f aca="false">C6*E6</f>
        <v>4.26673333809558</v>
      </c>
      <c r="G6" s="61"/>
      <c r="I6" s="63"/>
    </row>
    <row r="7" customFormat="false" ht="15.75" hidden="false" customHeight="false" outlineLevel="0" collapsed="false">
      <c r="A7" s="57" t="s">
        <v>1001</v>
      </c>
      <c r="B7" s="57" t="n">
        <v>0.724</v>
      </c>
      <c r="C7" s="58" t="n">
        <f aca="false">B7/B$22*B$24</f>
        <v>1.13779555682549</v>
      </c>
      <c r="D7" s="57" t="s">
        <v>434</v>
      </c>
      <c r="E7" s="59" t="n">
        <f aca="false">IFERROR(INDEX(Correspondance!$D$2:$D$3000,MATCH(A7,Correspondance!$A$2:$A$3000,0)),0)</f>
        <v>1.8</v>
      </c>
      <c r="F7" s="60" t="n">
        <f aca="false">C7*E7</f>
        <v>2.04803200228588</v>
      </c>
      <c r="G7" s="61"/>
      <c r="I7" s="63"/>
    </row>
    <row r="8" customFormat="false" ht="15.75" hidden="false" customHeight="false" outlineLevel="0" collapsed="false">
      <c r="A8" s="57" t="s">
        <v>894</v>
      </c>
      <c r="B8" s="57" t="n">
        <v>0.045</v>
      </c>
      <c r="C8" s="58" t="n">
        <f aca="false">B8/B$22*B$24</f>
        <v>0.0707193370955068</v>
      </c>
      <c r="D8" s="57" t="s">
        <v>434</v>
      </c>
      <c r="E8" s="59" t="n">
        <f aca="false">IFERROR(INDEX(Correspondance!$D$2:$D$3000,MATCH(A8,Correspondance!$A$2:$A$3000,0)),0)</f>
        <v>5.5</v>
      </c>
      <c r="F8" s="60" t="n">
        <f aca="false">C8*E8</f>
        <v>0.388956354025288</v>
      </c>
      <c r="G8" s="61"/>
      <c r="I8" s="63"/>
    </row>
    <row r="9" customFormat="false" ht="15.75" hidden="false" customHeight="false" outlineLevel="0" collapsed="false">
      <c r="A9" s="57" t="s">
        <v>1692</v>
      </c>
      <c r="B9" s="57" t="n">
        <v>0.905</v>
      </c>
      <c r="C9" s="58" t="n">
        <f aca="false">B9/B$22*B$24</f>
        <v>1.42224444603186</v>
      </c>
      <c r="D9" s="57" t="s">
        <v>682</v>
      </c>
      <c r="E9" s="59" t="n">
        <f aca="false">IFERROR(INDEX(Correspondance!$D$2:$D$3000,MATCH(A9,Correspondance!$A$2:$A$3000,0)),0)</f>
        <v>2.4</v>
      </c>
      <c r="F9" s="60" t="n">
        <f aca="false">C9*E9</f>
        <v>3.41338667047646</v>
      </c>
      <c r="G9" s="61"/>
      <c r="I9" s="63"/>
    </row>
    <row r="10" customFormat="false" ht="15.75" hidden="false" customHeight="false" outlineLevel="0" collapsed="false">
      <c r="A10" s="57" t="s">
        <v>1491</v>
      </c>
      <c r="B10" s="57" t="n">
        <v>0.271</v>
      </c>
      <c r="C10" s="58" t="n">
        <f aca="false">B10/B$22*B$24</f>
        <v>0.425887563397386</v>
      </c>
      <c r="D10" s="57" t="s">
        <v>434</v>
      </c>
      <c r="E10" s="59" t="n">
        <f aca="false">IFERROR(INDEX(Correspondance!$D$2:$D$3000,MATCH(A10,Correspondance!$A$2:$A$3000,0)),0)</f>
        <v>9</v>
      </c>
      <c r="F10" s="60" t="n">
        <f aca="false">C10*E10</f>
        <v>3.83298807057647</v>
      </c>
      <c r="G10" s="61"/>
      <c r="I10" s="63"/>
    </row>
    <row r="11" customFormat="false" ht="15.75" hidden="false" customHeight="false" outlineLevel="0" collapsed="false">
      <c r="A11" s="57" t="s">
        <v>1120</v>
      </c>
      <c r="B11" s="57" t="n">
        <v>0.181</v>
      </c>
      <c r="C11" s="58" t="n">
        <f aca="false">B11/B$22*B$24</f>
        <v>0.284448889206372</v>
      </c>
      <c r="D11" s="57" t="s">
        <v>682</v>
      </c>
      <c r="E11" s="59" t="n">
        <f aca="false">IFERROR(INDEX(Correspondance!$D$2:$D$3000,MATCH(A11,Correspondance!$A$2:$A$3000,0)),0)</f>
        <v>7.5</v>
      </c>
      <c r="F11" s="60" t="n">
        <f aca="false">C11*E11</f>
        <v>2.13336666904779</v>
      </c>
      <c r="G11" s="61"/>
      <c r="I11" s="63"/>
    </row>
    <row r="12" customFormat="false" ht="18.75" hidden="false" customHeight="true" outlineLevel="0" collapsed="false">
      <c r="A12" s="57" t="s">
        <v>1312</v>
      </c>
      <c r="B12" s="64" t="n">
        <v>0.018</v>
      </c>
      <c r="C12" s="58" t="n">
        <f aca="false">B12/B$22*B$24</f>
        <v>0.0282877348382027</v>
      </c>
      <c r="D12" s="57" t="s">
        <v>434</v>
      </c>
      <c r="E12" s="59" t="n">
        <f aca="false">IFERROR(INDEX(Correspondance!$D$2:$D$3000,MATCH(A12,Correspondance!$A$2:$A$3000,0)),0)</f>
        <v>60</v>
      </c>
      <c r="F12" s="60" t="n">
        <f aca="false">C12*E12</f>
        <v>1.69726409029216</v>
      </c>
      <c r="G12" s="61"/>
      <c r="I12" s="63"/>
    </row>
    <row r="13" customFormat="false" ht="18.75" hidden="false" customHeight="true" outlineLevel="0" collapsed="false">
      <c r="A13" s="57" t="s">
        <v>1919</v>
      </c>
      <c r="B13" s="64" t="n">
        <v>0.09</v>
      </c>
      <c r="C13" s="58" t="n">
        <f aca="false">B13/B$22*B$24</f>
        <v>0.141438674191014</v>
      </c>
      <c r="D13" s="57" t="s">
        <v>434</v>
      </c>
      <c r="E13" s="59" t="n">
        <f aca="false">IFERROR(INDEX(Correspondance!$D$2:$D$3000,MATCH(A13,Correspondance!$A$2:$A$3000,0)),0)</f>
        <v>2</v>
      </c>
      <c r="F13" s="60" t="n">
        <f aca="false">C13*E13</f>
        <v>0.282877348382027</v>
      </c>
      <c r="G13" s="61"/>
      <c r="I13" s="63"/>
    </row>
    <row r="14" customFormat="false" ht="15.75" hidden="false" customHeight="false" outlineLevel="0" collapsed="false">
      <c r="A14" s="57" t="s">
        <v>1796</v>
      </c>
      <c r="B14" s="57" t="n">
        <v>0.005</v>
      </c>
      <c r="C14" s="58" t="n">
        <f aca="false">B14/B$22*B$24</f>
        <v>0.00785770412172298</v>
      </c>
      <c r="D14" s="57" t="s">
        <v>434</v>
      </c>
      <c r="E14" s="59" t="n">
        <f aca="false">IFERROR(INDEX(Correspondance!$D$2:$D$3000,MATCH(A14,Correspondance!$A$2:$A$3000,0)),0)</f>
        <v>18</v>
      </c>
      <c r="F14" s="60" t="n">
        <f aca="false">C14*E14</f>
        <v>0.141438674191014</v>
      </c>
      <c r="G14" s="61"/>
      <c r="I14" s="63"/>
    </row>
    <row r="15" customFormat="false" ht="15.75" hidden="false" customHeight="false" outlineLevel="0" collapsed="false">
      <c r="A15" s="57" t="s">
        <v>1945</v>
      </c>
      <c r="B15" s="57"/>
      <c r="C15" s="58" t="n">
        <f aca="false">B15/B$22*B$24</f>
        <v>0</v>
      </c>
      <c r="D15" s="57" t="s">
        <v>434</v>
      </c>
      <c r="E15" s="59" t="n">
        <f aca="false">IFERROR(INDEX(Correspondance!$D$2:$D$3000,MATCH(A15,Correspondance!$A$2:$A$3000,0)),0)</f>
        <v>16</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75.3494106721909</v>
      </c>
      <c r="G19" s="61"/>
      <c r="I19" s="63"/>
    </row>
    <row r="20" customFormat="false" ht="18.75" hidden="false" customHeight="true" outlineLevel="0" collapsed="false">
      <c r="A20" s="68" t="s">
        <v>2628</v>
      </c>
      <c r="B20" s="69" t="n">
        <f aca="false">F19/B24</f>
        <v>0.684994642474462</v>
      </c>
      <c r="C20" s="70"/>
      <c r="G20" s="61"/>
      <c r="I20" s="63"/>
    </row>
    <row r="21" customFormat="false" ht="15.75" hidden="false" customHeight="false" outlineLevel="0" collapsed="false">
      <c r="A21" s="71" t="s">
        <v>2629</v>
      </c>
      <c r="B21" s="71" t="n">
        <f aca="false">SUM(B3:B18)</f>
        <v>13.999</v>
      </c>
      <c r="C21" s="66"/>
      <c r="G21" s="61"/>
      <c r="I21" s="63"/>
    </row>
    <row r="22" customFormat="false" ht="15.75" hidden="false" customHeight="false" outlineLevel="0" collapsed="false">
      <c r="A22" s="0" t="s">
        <v>2630</v>
      </c>
      <c r="B22" s="72" t="n">
        <f aca="false">B21/B23</f>
        <v>69.995</v>
      </c>
      <c r="C22" s="66"/>
      <c r="G22" s="61"/>
      <c r="I22" s="63"/>
    </row>
    <row r="23" customFormat="false" ht="15.75" hidden="false" customHeight="false" outlineLevel="0" collapsed="false">
      <c r="A23" s="0" t="s">
        <v>2631</v>
      </c>
      <c r="B23" s="0" t="n">
        <v>0.2</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199</v>
      </c>
      <c r="B1" s="50"/>
      <c r="C1" s="50"/>
      <c r="D1" s="50"/>
      <c r="E1" s="51" t="s">
        <v>2619</v>
      </c>
      <c r="F1" s="51"/>
      <c r="G1" s="52" t="s">
        <v>2871</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1607</v>
      </c>
      <c r="B4" s="57" t="n">
        <v>9.35</v>
      </c>
      <c r="C4" s="58" t="n">
        <f aca="false">B4/B$22*B$24</f>
        <v>14.6970563018005</v>
      </c>
      <c r="D4" s="57" t="s">
        <v>434</v>
      </c>
      <c r="E4" s="59" t="n">
        <f aca="false">IFERROR(INDEX(Correspondance!$D$2:$D$3000,MATCH(A4,Correspondance!$A$2:$A$3000,0)),0)</f>
        <v>2.6</v>
      </c>
      <c r="F4" s="60" t="n">
        <f aca="false">C4*E4</f>
        <v>38.2123463846813</v>
      </c>
      <c r="G4" s="61" t="s">
        <v>2872</v>
      </c>
    </row>
    <row r="5" customFormat="false" ht="15.75" hidden="false" customHeight="false" outlineLevel="0" collapsed="false">
      <c r="A5" s="57" t="s">
        <v>1679</v>
      </c>
      <c r="B5" s="57" t="n">
        <v>2.99</v>
      </c>
      <c r="C5" s="58" t="n">
        <f aca="false">B5/B$22*B$24</f>
        <v>4.69991426121749</v>
      </c>
      <c r="D5" s="57" t="s">
        <v>434</v>
      </c>
      <c r="E5" s="59" t="n">
        <f aca="false">IFERROR(INDEX(Correspondance!$D$2:$D$3000,MATCH(A5,Correspondance!$A$2:$A$3000,0)),0)</f>
        <v>9.5</v>
      </c>
      <c r="F5" s="60" t="n">
        <f aca="false">C5*E5</f>
        <v>44.6491854815662</v>
      </c>
      <c r="G5" s="61"/>
      <c r="I5" s="62"/>
    </row>
    <row r="6" customFormat="false" ht="15.75" hidden="false" customHeight="false" outlineLevel="0" collapsed="false">
      <c r="A6" s="57" t="s">
        <v>1692</v>
      </c>
      <c r="B6" s="57" t="n">
        <v>5.61</v>
      </c>
      <c r="C6" s="58" t="n">
        <f aca="false">B6/B$22*B$24</f>
        <v>8.81823378108031</v>
      </c>
      <c r="D6" s="57" t="s">
        <v>682</v>
      </c>
      <c r="E6" s="59" t="n">
        <f aca="false">IFERROR(INDEX(Correspondance!$D$2:$D$3000,MATCH(A6,Correspondance!$A$2:$A$3000,0)),0)</f>
        <v>2.4</v>
      </c>
      <c r="F6" s="60" t="n">
        <f aca="false">C6*E6</f>
        <v>21.1637610745927</v>
      </c>
      <c r="G6" s="61"/>
      <c r="I6" s="63"/>
    </row>
    <row r="7" customFormat="false" ht="15.75" hidden="false" customHeight="false" outlineLevel="0" collapsed="false">
      <c r="A7" s="57" t="s">
        <v>1491</v>
      </c>
      <c r="B7" s="57" t="n">
        <v>0.374</v>
      </c>
      <c r="C7" s="58" t="n">
        <f aca="false">B7/B$22*B$24</f>
        <v>0.587882252072021</v>
      </c>
      <c r="D7" s="57" t="s">
        <v>434</v>
      </c>
      <c r="E7" s="59" t="n">
        <f aca="false">IFERROR(INDEX(Correspondance!$D$2:$D$3000,MATCH(A7,Correspondance!$A$2:$A$3000,0)),0)</f>
        <v>9</v>
      </c>
      <c r="F7" s="60" t="n">
        <f aca="false">C7*E7</f>
        <v>5.29094026864819</v>
      </c>
      <c r="G7" s="61"/>
      <c r="I7" s="63"/>
    </row>
    <row r="8" customFormat="false" ht="15.75" hidden="false" customHeight="false" outlineLevel="0" collapsed="false">
      <c r="A8" s="57" t="s">
        <v>1616</v>
      </c>
      <c r="B8" s="57" t="n">
        <v>0.374</v>
      </c>
      <c r="C8" s="58" t="n">
        <f aca="false">B8/B$22*B$24</f>
        <v>0.587882252072021</v>
      </c>
      <c r="D8" s="57" t="s">
        <v>434</v>
      </c>
      <c r="E8" s="59" t="n">
        <f aca="false">IFERROR(INDEX(Correspondance!$D$2:$D$3000,MATCH(A8,Correspondance!$A$2:$A$3000,0)),0)</f>
        <v>0.85</v>
      </c>
      <c r="F8" s="60" t="n">
        <f aca="false">C8*E8</f>
        <v>0.499699914261217</v>
      </c>
      <c r="G8" s="61"/>
      <c r="I8" s="63"/>
    </row>
    <row r="9" customFormat="false" ht="15.75" hidden="false" customHeight="false" outlineLevel="0" collapsed="false">
      <c r="A9" s="57" t="s">
        <v>1576</v>
      </c>
      <c r="B9" s="57" t="n">
        <v>0.935</v>
      </c>
      <c r="C9" s="58" t="n">
        <f aca="false">B9/B$22*B$24</f>
        <v>1.46970563018005</v>
      </c>
      <c r="D9" s="57" t="s">
        <v>434</v>
      </c>
      <c r="E9" s="59" t="n">
        <f aca="false">IFERROR(INDEX(Correspondance!$D$2:$D$3000,MATCH(A9,Correspondance!$A$2:$A$3000,0)),0)</f>
        <v>5.5</v>
      </c>
      <c r="F9" s="60" t="n">
        <f aca="false">C9*E9</f>
        <v>8.08338096599028</v>
      </c>
      <c r="G9" s="61"/>
      <c r="I9" s="63"/>
    </row>
    <row r="10" customFormat="false" ht="15.75" hidden="false" customHeight="false" outlineLevel="0" collapsed="false">
      <c r="A10" s="57" t="s">
        <v>706</v>
      </c>
      <c r="B10" s="57" t="n">
        <v>1.12</v>
      </c>
      <c r="C10" s="58" t="n">
        <f aca="false">B10/B$22*B$24</f>
        <v>1.76050300085739</v>
      </c>
      <c r="D10" s="57" t="s">
        <v>434</v>
      </c>
      <c r="E10" s="59" t="n">
        <f aca="false">IFERROR(INDEX(Correspondance!$D$2:$D$3000,MATCH(A10,Correspondance!$A$2:$A$3000,0)),0)</f>
        <v>7.5</v>
      </c>
      <c r="F10" s="60" t="n">
        <f aca="false">C10*E10</f>
        <v>13.2037725064304</v>
      </c>
      <c r="G10" s="61"/>
      <c r="I10" s="63"/>
    </row>
    <row r="11" customFormat="false" ht="15.75" hidden="false" customHeight="false" outlineLevel="0" collapsed="false">
      <c r="A11" s="57" t="s">
        <v>1291</v>
      </c>
      <c r="B11" s="57" t="n">
        <v>0.094</v>
      </c>
      <c r="C11" s="58" t="n">
        <f aca="false">B11/B$22*B$24</f>
        <v>0.147756501857674</v>
      </c>
      <c r="D11" s="57" t="s">
        <v>682</v>
      </c>
      <c r="E11" s="59" t="n">
        <f aca="false">IFERROR(INDEX(Correspondance!$D$2:$D$3000,MATCH(A11,Correspondance!$A$2:$A$3000,0)),0)</f>
        <v>2.5</v>
      </c>
      <c r="F11" s="60" t="n">
        <f aca="false">C11*E11</f>
        <v>0.369391254644184</v>
      </c>
      <c r="G11" s="61"/>
      <c r="I11" s="63"/>
    </row>
    <row r="12" customFormat="false" ht="18.75" hidden="false" customHeight="true" outlineLevel="0" collapsed="false">
      <c r="A12" s="57" t="s">
        <v>1937</v>
      </c>
      <c r="B12" s="64" t="n">
        <v>0.047</v>
      </c>
      <c r="C12" s="58" t="n">
        <f aca="false">B12/B$22*B$24</f>
        <v>0.0738782509288368</v>
      </c>
      <c r="D12" s="57" t="s">
        <v>434</v>
      </c>
      <c r="E12" s="59" t="n">
        <f aca="false">IFERROR(INDEX(Correspondance!$D$2:$D$3000,MATCH(A12,Correspondance!$A$2:$A$3000,0)),0)</f>
        <v>1.3</v>
      </c>
      <c r="F12" s="60" t="n">
        <f aca="false">C12*E12</f>
        <v>0.0960417262074879</v>
      </c>
      <c r="G12" s="61"/>
      <c r="I12" s="63"/>
    </row>
    <row r="13" customFormat="false" ht="18.75" hidden="false" customHeight="true" outlineLevel="0" collapsed="false">
      <c r="A13" s="57" t="s">
        <v>1919</v>
      </c>
      <c r="B13" s="64" t="n">
        <v>0.094</v>
      </c>
      <c r="C13" s="58" t="n">
        <f aca="false">B13/B$22*B$24</f>
        <v>0.147756501857674</v>
      </c>
      <c r="D13" s="57" t="s">
        <v>434</v>
      </c>
      <c r="E13" s="59" t="n">
        <f aca="false">IFERROR(INDEX(Correspondance!$D$2:$D$3000,MATCH(A13,Correspondance!$A$2:$A$3000,0)),0)</f>
        <v>2</v>
      </c>
      <c r="F13" s="60" t="n">
        <f aca="false">C13*E13</f>
        <v>0.295513003715347</v>
      </c>
      <c r="G13" s="61"/>
      <c r="I13" s="63"/>
    </row>
    <row r="14" customFormat="false" ht="15.75" hidden="false" customHeight="false" outlineLevel="0" collapsed="false">
      <c r="A14" s="57" t="s">
        <v>1796</v>
      </c>
      <c r="B14" s="57" t="n">
        <v>0.006</v>
      </c>
      <c r="C14" s="58" t="n">
        <f aca="false">B14/B$22*B$24</f>
        <v>0.00943126607602172</v>
      </c>
      <c r="D14" s="57" t="s">
        <v>434</v>
      </c>
      <c r="E14" s="59" t="n">
        <f aca="false">IFERROR(INDEX(Correspondance!$D$2:$D$3000,MATCH(A14,Correspondance!$A$2:$A$3000,0)),0)</f>
        <v>18</v>
      </c>
      <c r="F14" s="60" t="n">
        <f aca="false">C14*E14</f>
        <v>0.169762789368391</v>
      </c>
      <c r="G14" s="61"/>
      <c r="I14" s="63"/>
    </row>
    <row r="15" customFormat="false" ht="15.75" hidden="false" customHeight="false" outlineLevel="0" collapsed="false">
      <c r="A15" s="57" t="s">
        <v>1732</v>
      </c>
      <c r="B15" s="57"/>
      <c r="C15" s="58" t="n">
        <f aca="false">B15/B$22*B$24</f>
        <v>0</v>
      </c>
      <c r="D15" s="57" t="s">
        <v>434</v>
      </c>
      <c r="E15" s="59" t="n">
        <f aca="false">IFERROR(INDEX(Correspondance!$D$2:$D$3000,MATCH(A15,Correspondance!$A$2:$A$3000,0)),0)</f>
        <v>30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132.033795370106</v>
      </c>
      <c r="G19" s="61"/>
      <c r="I19" s="63"/>
    </row>
    <row r="20" customFormat="false" ht="18.75" hidden="false" customHeight="true" outlineLevel="0" collapsed="false">
      <c r="A20" s="68" t="s">
        <v>2628</v>
      </c>
      <c r="B20" s="69" t="n">
        <f aca="false">F19/B24</f>
        <v>1.20030723063732</v>
      </c>
      <c r="C20" s="70"/>
      <c r="G20" s="61"/>
      <c r="I20" s="63"/>
    </row>
    <row r="21" customFormat="false" ht="15.75" hidden="false" customHeight="false" outlineLevel="0" collapsed="false">
      <c r="A21" s="71" t="s">
        <v>2629</v>
      </c>
      <c r="B21" s="71" t="n">
        <f aca="false">SUM(B3:B18)</f>
        <v>20.994</v>
      </c>
      <c r="C21" s="66"/>
      <c r="G21" s="61"/>
      <c r="I21" s="63"/>
    </row>
    <row r="22" customFormat="false" ht="15.75" hidden="false" customHeight="false" outlineLevel="0" collapsed="false">
      <c r="A22" s="0" t="s">
        <v>2630</v>
      </c>
      <c r="B22" s="72" t="n">
        <f aca="false">B21/B23</f>
        <v>69.98</v>
      </c>
      <c r="C22" s="66"/>
      <c r="G22" s="61"/>
      <c r="I22" s="63"/>
    </row>
    <row r="23" customFormat="false" ht="15.75" hidden="false" customHeight="false" outlineLevel="0" collapsed="false">
      <c r="A23" s="0" t="s">
        <v>2631</v>
      </c>
      <c r="B23" s="0" t="n">
        <v>0.3</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40.17"/>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81" t="s">
        <v>201</v>
      </c>
      <c r="B1" s="81"/>
      <c r="C1" s="81"/>
      <c r="D1" s="81"/>
      <c r="E1" s="51" t="s">
        <v>2619</v>
      </c>
      <c r="F1" s="51"/>
      <c r="G1" s="75" t="s">
        <v>2829</v>
      </c>
    </row>
    <row r="2" customFormat="false" ht="24.75" hidden="false" customHeight="true" outlineLevel="0" collapsed="false">
      <c r="A2" s="81"/>
      <c r="B2" s="81"/>
      <c r="C2" s="81"/>
      <c r="D2" s="81"/>
      <c r="E2" s="53" t="s">
        <v>2717</v>
      </c>
      <c r="F2" s="53"/>
      <c r="G2" s="75"/>
    </row>
    <row r="3" customFormat="false" ht="51.75" hidden="false" customHeight="true" outlineLevel="0" collapsed="false">
      <c r="A3" s="54" t="s">
        <v>2588</v>
      </c>
      <c r="B3" s="55" t="s">
        <v>2622</v>
      </c>
      <c r="C3" s="55" t="s">
        <v>2623</v>
      </c>
      <c r="D3" s="56" t="s">
        <v>2624</v>
      </c>
      <c r="E3" s="56" t="s">
        <v>2625</v>
      </c>
      <c r="F3" s="56" t="s">
        <v>2626</v>
      </c>
      <c r="G3" s="75"/>
    </row>
    <row r="4" customFormat="false" ht="16.5" hidden="false" customHeight="true" outlineLevel="0" collapsed="false">
      <c r="A4" s="57" t="s">
        <v>1914</v>
      </c>
      <c r="B4" s="82" t="n">
        <v>12</v>
      </c>
      <c r="C4" s="83" t="n">
        <f aca="false">B4/B$23*B$25</f>
        <v>18.8571428571429</v>
      </c>
      <c r="D4" s="57" t="s">
        <v>434</v>
      </c>
      <c r="E4" s="59" t="n">
        <f aca="false">IFERROR(INDEX(Correspondance!$D$2:$D$3000,MATCH(A4,Correspondance!$A$2:$A$3000,0)),0)</f>
        <v>14</v>
      </c>
      <c r="F4" s="77" t="n">
        <f aca="false">C4*E4</f>
        <v>264</v>
      </c>
      <c r="G4" s="78" t="s">
        <v>2873</v>
      </c>
    </row>
    <row r="5" customFormat="false" ht="15.75" hidden="false" customHeight="false" outlineLevel="0" collapsed="false">
      <c r="A5" s="57" t="s">
        <v>1514</v>
      </c>
      <c r="B5" s="82" t="n">
        <v>1.25</v>
      </c>
      <c r="C5" s="83" t="n">
        <f aca="false">B5/B$23*B$25</f>
        <v>1.96428571428571</v>
      </c>
      <c r="D5" s="57" t="s">
        <v>682</v>
      </c>
      <c r="E5" s="59" t="n">
        <f aca="false">IFERROR(INDEX(Correspondance!$D$2:$D$3000,MATCH(A5,Correspondance!$A$2:$A$3000,0)),0)</f>
        <v>4</v>
      </c>
      <c r="F5" s="77" t="n">
        <f aca="false">C5*E5</f>
        <v>7.85714285714286</v>
      </c>
      <c r="G5" s="78"/>
      <c r="I5" s="62"/>
    </row>
    <row r="6" customFormat="false" ht="15.75" hidden="false" customHeight="false" outlineLevel="0" collapsed="false">
      <c r="A6" s="57" t="s">
        <v>1529</v>
      </c>
      <c r="B6" s="82" t="n">
        <v>2.5</v>
      </c>
      <c r="C6" s="83" t="n">
        <f aca="false">B6/B$23*B$25</f>
        <v>3.92857142857143</v>
      </c>
      <c r="D6" s="57" t="s">
        <v>434</v>
      </c>
      <c r="E6" s="59" t="n">
        <f aca="false">IFERROR(INDEX(Correspondance!$D$2:$D$3000,MATCH(A6,Correspondance!$A$2:$A$3000,0)),0)</f>
        <v>3.8</v>
      </c>
      <c r="F6" s="77" t="n">
        <f aca="false">C6*E6</f>
        <v>14.9285714285714</v>
      </c>
      <c r="G6" s="78"/>
      <c r="I6" s="63"/>
    </row>
    <row r="7" customFormat="false" ht="15.75" hidden="false" customHeight="false" outlineLevel="0" collapsed="false">
      <c r="A7" s="57" t="s">
        <v>1745</v>
      </c>
      <c r="B7" s="82" t="n">
        <v>0.8</v>
      </c>
      <c r="C7" s="83" t="n">
        <f aca="false">B7/B$23*B$25</f>
        <v>1.25714285714286</v>
      </c>
      <c r="D7" s="57" t="s">
        <v>434</v>
      </c>
      <c r="E7" s="59" t="n">
        <f aca="false">IFERROR(INDEX(Correspondance!$D$2:$D$3000,MATCH(A7,Correspondance!$A$2:$A$3000,0)),0)</f>
        <v>1.9</v>
      </c>
      <c r="F7" s="77" t="n">
        <f aca="false">C7*E7</f>
        <v>2.38857142857143</v>
      </c>
      <c r="G7" s="78"/>
      <c r="I7" s="63"/>
    </row>
    <row r="8" customFormat="false" ht="15.75" hidden="false" customHeight="false" outlineLevel="0" collapsed="false">
      <c r="A8" s="57" t="s">
        <v>1698</v>
      </c>
      <c r="B8" s="82" t="n">
        <v>3</v>
      </c>
      <c r="C8" s="83" t="n">
        <f aca="false">B8/B$23*B$25</f>
        <v>4.71428571428571</v>
      </c>
      <c r="D8" s="57" t="s">
        <v>682</v>
      </c>
      <c r="E8" s="59" t="n">
        <f aca="false">IFERROR(INDEX(Correspondance!$D$2:$D$3000,MATCH(A8,Correspondance!$A$2:$A$3000,0)),0)</f>
        <v>2.4</v>
      </c>
      <c r="F8" s="77" t="n">
        <f aca="false">C8*E8</f>
        <v>11.3142857142857</v>
      </c>
      <c r="G8" s="78"/>
      <c r="I8" s="63"/>
    </row>
    <row r="9" customFormat="false" ht="15.75" hidden="false" customHeight="false" outlineLevel="0" collapsed="false">
      <c r="A9" s="57" t="s">
        <v>1576</v>
      </c>
      <c r="B9" s="82" t="n">
        <v>2</v>
      </c>
      <c r="C9" s="83" t="n">
        <f aca="false">B9/B$23*B$25</f>
        <v>3.14285714285714</v>
      </c>
      <c r="D9" s="57" t="s">
        <v>434</v>
      </c>
      <c r="E9" s="59" t="n">
        <f aca="false">IFERROR(INDEX(Correspondance!$D$2:$D$3000,MATCH(A9,Correspondance!$A$2:$A$3000,0)),0)</f>
        <v>5.5</v>
      </c>
      <c r="F9" s="77" t="n">
        <f aca="false">C9*E9</f>
        <v>17.2857142857143</v>
      </c>
      <c r="G9" s="78"/>
      <c r="I9" s="63"/>
    </row>
    <row r="10" customFormat="false" ht="15.75" hidden="false" customHeight="false" outlineLevel="0" collapsed="false">
      <c r="A10" s="57" t="s">
        <v>1919</v>
      </c>
      <c r="B10" s="82" t="n">
        <v>0.084</v>
      </c>
      <c r="C10" s="83" t="n">
        <f aca="false">B10/B$23*B$25</f>
        <v>0.132</v>
      </c>
      <c r="D10" s="57" t="s">
        <v>434</v>
      </c>
      <c r="E10" s="59" t="n">
        <f aca="false">IFERROR(INDEX(Correspondance!$D$2:$D$3000,MATCH(A10,Correspondance!$A$2:$A$3000,0)),0)</f>
        <v>2</v>
      </c>
      <c r="F10" s="77" t="n">
        <f aca="false">C10*E10</f>
        <v>0.264</v>
      </c>
      <c r="G10" s="78"/>
      <c r="I10" s="63"/>
    </row>
    <row r="11" customFormat="false" ht="15.75" hidden="false" customHeight="false" outlineLevel="0" collapsed="false">
      <c r="A11" s="57" t="s">
        <v>1646</v>
      </c>
      <c r="B11" s="82" t="n">
        <v>0.27</v>
      </c>
      <c r="C11" s="83" t="n">
        <f aca="false">B11/B$23*B$25</f>
        <v>0.424285714285714</v>
      </c>
      <c r="D11" s="57" t="s">
        <v>434</v>
      </c>
      <c r="E11" s="59" t="n">
        <f aca="false">IFERROR(INDEX(Correspondance!$D$2:$D$3000,MATCH(A11,Correspondance!$A$2:$A$3000,0)),0)</f>
        <v>2.2</v>
      </c>
      <c r="F11" s="77" t="n">
        <f aca="false">C11*E11</f>
        <v>0.933428571428572</v>
      </c>
      <c r="G11" s="78"/>
      <c r="I11" s="63"/>
    </row>
    <row r="12" customFormat="false" ht="15.75" hidden="false" customHeight="false" outlineLevel="0" collapsed="false">
      <c r="A12" s="57" t="s">
        <v>1491</v>
      </c>
      <c r="B12" s="82" t="n">
        <v>0.05</v>
      </c>
      <c r="C12" s="83" t="n">
        <f aca="false">B12/B$23*B$25</f>
        <v>0.0785714285714286</v>
      </c>
      <c r="D12" s="57" t="s">
        <v>434</v>
      </c>
      <c r="E12" s="59" t="n">
        <f aca="false">IFERROR(INDEX(Correspondance!$D$2:$D$3000,MATCH(A12,Correspondance!$A$2:$A$3000,0)),0)</f>
        <v>9</v>
      </c>
      <c r="F12" s="77" t="n">
        <f aca="false">C12*E12</f>
        <v>0.707142857142857</v>
      </c>
      <c r="G12" s="78"/>
      <c r="I12" s="63"/>
    </row>
    <row r="13" customFormat="false" ht="15.75" hidden="false" customHeight="false" outlineLevel="0" collapsed="false">
      <c r="A13" s="57" t="s">
        <v>1973</v>
      </c>
      <c r="B13" s="84" t="n">
        <v>0.5</v>
      </c>
      <c r="C13" s="83" t="n">
        <f aca="false">B13/B$23*B$25</f>
        <v>0.785714285714286</v>
      </c>
      <c r="D13" s="57" t="s">
        <v>434</v>
      </c>
      <c r="E13" s="59" t="n">
        <f aca="false">IFERROR(INDEX(Correspondance!$D$2:$D$3000,MATCH(A13,Correspondance!$A$2:$A$3000,0)),0)</f>
        <v>2</v>
      </c>
      <c r="F13" s="77" t="n">
        <f aca="false">C13*E13</f>
        <v>1.57142857142857</v>
      </c>
      <c r="G13" s="78"/>
      <c r="I13" s="63"/>
    </row>
    <row r="14" customFormat="false" ht="15.75" hidden="false" customHeight="false" outlineLevel="0" collapsed="false">
      <c r="A14" s="57"/>
      <c r="B14" s="84"/>
      <c r="C14" s="83" t="n">
        <f aca="false">B14/B$23*B$25</f>
        <v>0</v>
      </c>
      <c r="D14" s="57" t="s">
        <v>682</v>
      </c>
      <c r="E14" s="65"/>
      <c r="F14" s="77" t="n">
        <f aca="false">C14*E14</f>
        <v>0</v>
      </c>
      <c r="G14" s="78"/>
      <c r="I14" s="63"/>
    </row>
    <row r="15" customFormat="false" ht="15.75" hidden="false" customHeight="false" outlineLevel="0" collapsed="false">
      <c r="A15" s="57"/>
      <c r="B15" s="57"/>
      <c r="C15" s="83" t="n">
        <f aca="false">B15/B$23*B$25</f>
        <v>0</v>
      </c>
      <c r="D15" s="57" t="s">
        <v>682</v>
      </c>
      <c r="E15" s="65"/>
      <c r="F15" s="77" t="n">
        <f aca="false">C15*E15</f>
        <v>0</v>
      </c>
      <c r="G15" s="78"/>
      <c r="I15" s="63"/>
    </row>
    <row r="16" customFormat="false" ht="15.75" hidden="false" customHeight="false" outlineLevel="0" collapsed="false">
      <c r="A16" s="57"/>
      <c r="B16" s="57"/>
      <c r="C16" s="83" t="n">
        <f aca="false">B16/B$23*B$25</f>
        <v>0</v>
      </c>
      <c r="D16" s="57" t="s">
        <v>434</v>
      </c>
      <c r="E16" s="65"/>
      <c r="F16" s="77" t="n">
        <f aca="false">C16*E16</f>
        <v>0</v>
      </c>
      <c r="G16" s="78"/>
      <c r="I16" s="63"/>
    </row>
    <row r="17" customFormat="false" ht="15.75" hidden="false" customHeight="false" outlineLevel="0" collapsed="false">
      <c r="A17" s="57"/>
      <c r="B17" s="57"/>
      <c r="C17" s="83" t="n">
        <f aca="false">B17/B$23*B$25</f>
        <v>0</v>
      </c>
      <c r="D17" s="57" t="s">
        <v>434</v>
      </c>
      <c r="E17" s="65"/>
      <c r="F17" s="77" t="n">
        <f aca="false">C17*E17</f>
        <v>0</v>
      </c>
      <c r="G17" s="78"/>
      <c r="I17" s="63"/>
    </row>
    <row r="18" customFormat="false" ht="15.75" hidden="false" customHeight="false" outlineLevel="0" collapsed="false">
      <c r="A18" s="57"/>
      <c r="B18" s="57"/>
      <c r="C18" s="83" t="n">
        <f aca="false">B18/B$23*B$25</f>
        <v>0</v>
      </c>
      <c r="D18" s="57"/>
      <c r="E18" s="65"/>
      <c r="F18" s="77" t="n">
        <f aca="false">C18*E18</f>
        <v>0</v>
      </c>
      <c r="G18" s="78"/>
      <c r="I18" s="63"/>
    </row>
    <row r="19" customFormat="false" ht="15.75" hidden="false" customHeight="false" outlineLevel="0" collapsed="false">
      <c r="A19" s="57"/>
      <c r="B19" s="57"/>
      <c r="C19" s="83" t="n">
        <f aca="false">B19/B$23*B$25</f>
        <v>0</v>
      </c>
      <c r="D19" s="57"/>
      <c r="E19" s="65"/>
      <c r="F19" s="77" t="n">
        <f aca="false">C19*E19</f>
        <v>0</v>
      </c>
      <c r="G19" s="78"/>
      <c r="I19" s="63"/>
    </row>
    <row r="20" customFormat="false" ht="15.75" hidden="false" customHeight="false" outlineLevel="0" collapsed="false">
      <c r="C20" s="66"/>
      <c r="F20" s="67" t="n">
        <f aca="false">SUM(F4:F19)</f>
        <v>321.250285714286</v>
      </c>
      <c r="G20" s="78"/>
      <c r="I20" s="63"/>
    </row>
    <row r="21" customFormat="false" ht="18.75" hidden="false" customHeight="true" outlineLevel="0" collapsed="false">
      <c r="A21" s="68" t="s">
        <v>2628</v>
      </c>
      <c r="B21" s="69" t="n">
        <f aca="false">F20/B25</f>
        <v>2.92045714285714</v>
      </c>
      <c r="C21" s="70"/>
      <c r="G21" s="78"/>
      <c r="I21" s="63"/>
    </row>
    <row r="22" customFormat="false" ht="15.75" hidden="false" customHeight="false" outlineLevel="0" collapsed="false">
      <c r="A22" s="71" t="s">
        <v>2629</v>
      </c>
      <c r="B22" s="71" t="n">
        <v>8.4</v>
      </c>
      <c r="C22" s="66"/>
      <c r="G22" s="78"/>
      <c r="I22" s="63"/>
    </row>
    <row r="23" customFormat="false" ht="15.75" hidden="false" customHeight="false" outlineLevel="0" collapsed="false">
      <c r="A23" s="0" t="s">
        <v>2630</v>
      </c>
      <c r="B23" s="72" t="n">
        <f aca="false">B22/B24</f>
        <v>70</v>
      </c>
      <c r="C23" s="66"/>
      <c r="G23" s="78"/>
      <c r="I23" s="63"/>
    </row>
    <row r="24" customFormat="false" ht="15.75" hidden="false" customHeight="false" outlineLevel="0" collapsed="false">
      <c r="A24" s="0" t="s">
        <v>2631</v>
      </c>
      <c r="B24" s="0" t="n">
        <v>0.12</v>
      </c>
      <c r="C24" s="79" t="s">
        <v>2632</v>
      </c>
      <c r="G24" s="78"/>
      <c r="I24" s="63"/>
    </row>
    <row r="25" customFormat="false" ht="18.75" hidden="false" customHeight="true" outlineLevel="0" collapsed="false">
      <c r="A25" s="74" t="s">
        <v>2633</v>
      </c>
      <c r="B25" s="74" t="n">
        <f aca="false">Paramètres!$B$5</f>
        <v>110</v>
      </c>
      <c r="C25" s="79" t="s">
        <v>2634</v>
      </c>
      <c r="G25" s="78"/>
      <c r="I25" s="63"/>
    </row>
    <row r="26" customFormat="false" ht="15.75" hidden="false" customHeight="false" outlineLevel="0" collapsed="false">
      <c r="E26" s="85"/>
      <c r="I26" s="63"/>
    </row>
    <row r="34" customFormat="false" ht="15.75" hidden="false" customHeight="false" outlineLevel="0" collapsed="false">
      <c r="F34" s="85"/>
    </row>
  </sheetData>
  <mergeCells count="5">
    <mergeCell ref="A1:D2"/>
    <mergeCell ref="E1:F1"/>
    <mergeCell ref="G1:G3"/>
    <mergeCell ref="E2:F2"/>
    <mergeCell ref="G4:G2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203</v>
      </c>
      <c r="B1" s="50"/>
      <c r="C1" s="50"/>
      <c r="D1" s="50"/>
      <c r="E1" s="51" t="s">
        <v>2619</v>
      </c>
      <c r="F1" s="51"/>
      <c r="G1" s="52" t="s">
        <v>2834</v>
      </c>
    </row>
    <row r="2" customFormat="false" ht="24.75" hidden="false" customHeight="true" outlineLevel="0" collapsed="false">
      <c r="A2" s="50"/>
      <c r="B2" s="50"/>
      <c r="C2" s="50"/>
      <c r="D2" s="50"/>
      <c r="E2" s="53" t="s">
        <v>2717</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549</v>
      </c>
      <c r="B4" s="57" t="n">
        <v>5.11</v>
      </c>
      <c r="C4" s="58" t="n">
        <f aca="false">B4/B$22*B$24</f>
        <v>8.03612276019825</v>
      </c>
      <c r="D4" s="57" t="s">
        <v>434</v>
      </c>
      <c r="E4" s="59" t="n">
        <f aca="false">IFERROR(INDEX(Correspondance!$D$2:$D$3000,MATCH(A4,Correspondance!$A$2:$A$3000,0)),0)</f>
        <v>8</v>
      </c>
      <c r="F4" s="60" t="n">
        <f aca="false">C4*E4</f>
        <v>64.288982081586</v>
      </c>
      <c r="G4" s="61" t="s">
        <v>2874</v>
      </c>
    </row>
    <row r="5" customFormat="false" ht="15.75" hidden="false" customHeight="false" outlineLevel="0" collapsed="false">
      <c r="A5" s="57" t="s">
        <v>1514</v>
      </c>
      <c r="B5" s="57" t="n">
        <v>0.639</v>
      </c>
      <c r="C5" s="58" t="n">
        <f aca="false">B5/B$22*B$24</f>
        <v>1.00490850171559</v>
      </c>
      <c r="D5" s="57" t="s">
        <v>434</v>
      </c>
      <c r="E5" s="59" t="n">
        <f aca="false">IFERROR(INDEX(Correspondance!$D$2:$D$3000,MATCH(A5,Correspondance!$A$2:$A$3000,0)),0)</f>
        <v>4</v>
      </c>
      <c r="F5" s="60" t="n">
        <f aca="false">C5*E5</f>
        <v>4.01963400686237</v>
      </c>
      <c r="G5" s="61"/>
      <c r="I5" s="62"/>
    </row>
    <row r="6" customFormat="false" ht="15.75" hidden="false" customHeight="false" outlineLevel="0" collapsed="false">
      <c r="A6" s="57" t="s">
        <v>1530</v>
      </c>
      <c r="B6" s="57" t="n">
        <v>1.28</v>
      </c>
      <c r="C6" s="58" t="n">
        <f aca="false">B6/B$22*B$24</f>
        <v>2.01296225695768</v>
      </c>
      <c r="D6" s="57" t="s">
        <v>434</v>
      </c>
      <c r="E6" s="59" t="n">
        <f aca="false">IFERROR(INDEX(Correspondance!$D$2:$D$3000,MATCH(A6,Correspondance!$A$2:$A$3000,0)),0)</f>
        <v>3.8</v>
      </c>
      <c r="F6" s="60" t="n">
        <f aca="false">C6*E6</f>
        <v>7.64925657643919</v>
      </c>
      <c r="G6" s="61"/>
      <c r="I6" s="63"/>
    </row>
    <row r="7" customFormat="false" ht="15.75" hidden="false" customHeight="false" outlineLevel="0" collapsed="false">
      <c r="A7" s="57" t="s">
        <v>999</v>
      </c>
      <c r="B7" s="57" t="n">
        <v>0.409</v>
      </c>
      <c r="C7" s="58" t="n">
        <f aca="false">B7/B$22*B$24</f>
        <v>0.643204346168509</v>
      </c>
      <c r="D7" s="57" t="s">
        <v>434</v>
      </c>
      <c r="E7" s="59" t="n">
        <f aca="false">IFERROR(INDEX(Correspondance!$D$2:$D$3000,MATCH(A7,Correspondance!$A$2:$A$3000,0)),0)</f>
        <v>1.9</v>
      </c>
      <c r="F7" s="60" t="n">
        <f aca="false">C7*E7</f>
        <v>1.22208825772017</v>
      </c>
      <c r="G7" s="61"/>
      <c r="I7" s="63"/>
    </row>
    <row r="8" customFormat="false" ht="15.75" hidden="false" customHeight="false" outlineLevel="0" collapsed="false">
      <c r="A8" s="57" t="s">
        <v>1698</v>
      </c>
      <c r="B8" s="57" t="n">
        <v>1.53</v>
      </c>
      <c r="C8" s="58" t="n">
        <f aca="false">B8/B$22*B$24</f>
        <v>2.40611894776973</v>
      </c>
      <c r="D8" s="57" t="s">
        <v>682</v>
      </c>
      <c r="E8" s="59" t="n">
        <f aca="false">IFERROR(INDEX(Correspondance!$D$2:$D$3000,MATCH(A8,Correspondance!$A$2:$A$3000,0)),0)</f>
        <v>2.4</v>
      </c>
      <c r="F8" s="60" t="n">
        <f aca="false">C8*E8</f>
        <v>5.77468547464735</v>
      </c>
      <c r="G8" s="61"/>
      <c r="I8" s="63"/>
    </row>
    <row r="9" customFormat="false" ht="15.75" hidden="false" customHeight="false" outlineLevel="0" collapsed="false">
      <c r="A9" s="57" t="s">
        <v>1576</v>
      </c>
      <c r="B9" s="57" t="n">
        <v>1.02</v>
      </c>
      <c r="C9" s="58" t="n">
        <f aca="false">B9/B$22*B$24</f>
        <v>1.60407929851315</v>
      </c>
      <c r="D9" s="57" t="s">
        <v>434</v>
      </c>
      <c r="E9" s="59" t="n">
        <f aca="false">IFERROR(INDEX(Correspondance!$D$2:$D$3000,MATCH(A9,Correspondance!$A$2:$A$3000,0)),0)</f>
        <v>5.5</v>
      </c>
      <c r="F9" s="60" t="n">
        <f aca="false">C9*E9</f>
        <v>8.82243614182234</v>
      </c>
      <c r="G9" s="61"/>
      <c r="I9" s="63"/>
    </row>
    <row r="10" customFormat="false" ht="15.75" hidden="false" customHeight="false" outlineLevel="0" collapsed="false">
      <c r="A10" s="57" t="s">
        <v>1973</v>
      </c>
      <c r="B10" s="57" t="n">
        <v>0.256</v>
      </c>
      <c r="C10" s="58" t="n">
        <f aca="false">B10/B$22*B$24</f>
        <v>0.402592451391536</v>
      </c>
      <c r="D10" s="57" t="s">
        <v>682</v>
      </c>
      <c r="E10" s="59" t="n">
        <f aca="false">IFERROR(INDEX(Correspondance!$D$2:$D$3000,MATCH(A10,Correspondance!$A$2:$A$3000,0)),0)</f>
        <v>2</v>
      </c>
      <c r="F10" s="60" t="n">
        <f aca="false">C10*E10</f>
        <v>0.805184902783073</v>
      </c>
      <c r="G10" s="61"/>
      <c r="I10" s="63"/>
    </row>
    <row r="11" customFormat="false" ht="15.75" hidden="false" customHeight="false" outlineLevel="0" collapsed="false">
      <c r="A11" s="57" t="s">
        <v>1100</v>
      </c>
      <c r="B11" s="57" t="n">
        <v>0.041</v>
      </c>
      <c r="C11" s="58" t="n">
        <f aca="false">B11/B$22*B$24</f>
        <v>0.0644776972931758</v>
      </c>
      <c r="D11" s="57" t="s">
        <v>434</v>
      </c>
      <c r="E11" s="59" t="n">
        <f aca="false">IFERROR(INDEX(Correspondance!$D$2:$D$3000,MATCH(A11,Correspondance!$A$2:$A$3000,0)),0)</f>
        <v>10</v>
      </c>
      <c r="F11" s="60" t="n">
        <f aca="false">C11*E11</f>
        <v>0.644776972931758</v>
      </c>
      <c r="G11" s="61"/>
      <c r="I11" s="63"/>
    </row>
    <row r="12" customFormat="false" ht="18.75" hidden="false" customHeight="true" outlineLevel="0" collapsed="false">
      <c r="A12" s="57" t="s">
        <v>1084</v>
      </c>
      <c r="B12" s="64" t="n">
        <v>0.138</v>
      </c>
      <c r="C12" s="58" t="n">
        <f aca="false">B12/B$22*B$24</f>
        <v>0.21702249332825</v>
      </c>
      <c r="D12" s="57" t="s">
        <v>434</v>
      </c>
      <c r="E12" s="59" t="n">
        <f aca="false">IFERROR(INDEX(Correspondance!$D$2:$D$3000,MATCH(A12,Correspondance!$A$2:$A$3000,0)),0)</f>
        <v>2.2</v>
      </c>
      <c r="F12" s="60" t="n">
        <f aca="false">C12*E12</f>
        <v>0.47744948532215</v>
      </c>
      <c r="G12" s="61"/>
      <c r="I12" s="63"/>
    </row>
    <row r="13" customFormat="false" ht="18.75" hidden="false" customHeight="true" outlineLevel="0" collapsed="false">
      <c r="A13" s="57" t="s">
        <v>1491</v>
      </c>
      <c r="B13" s="64" t="n">
        <v>0.026</v>
      </c>
      <c r="C13" s="58" t="n">
        <f aca="false">B13/B$22*B$24</f>
        <v>0.0408882958444529</v>
      </c>
      <c r="D13" s="57" t="s">
        <v>434</v>
      </c>
      <c r="E13" s="59" t="n">
        <f aca="false">IFERROR(INDEX(Correspondance!$D$2:$D$3000,MATCH(A13,Correspondance!$A$2:$A$3000,0)),0)</f>
        <v>9</v>
      </c>
      <c r="F13" s="60" t="n">
        <f aca="false">C13*E13</f>
        <v>0.367994662600076</v>
      </c>
      <c r="G13" s="61"/>
      <c r="I13" s="63"/>
    </row>
    <row r="14" customFormat="false" ht="15.75" hidden="false" customHeight="false" outlineLevel="0" collapsed="false">
      <c r="A14" s="57" t="s">
        <v>1919</v>
      </c>
      <c r="B14" s="57" t="n">
        <v>0.043</v>
      </c>
      <c r="C14" s="58" t="n">
        <f aca="false">B14/B$22*B$24</f>
        <v>0.0676229508196721</v>
      </c>
      <c r="D14" s="57" t="s">
        <v>434</v>
      </c>
      <c r="E14" s="59" t="n">
        <f aca="false">IFERROR(INDEX(Correspondance!$D$2:$D$3000,MATCH(A14,Correspondance!$A$2:$A$3000,0)),0)</f>
        <v>2</v>
      </c>
      <c r="F14" s="60" t="n">
        <f aca="false">C14*E14</f>
        <v>0.135245901639344</v>
      </c>
      <c r="G14" s="61"/>
      <c r="I14" s="63"/>
    </row>
    <row r="15" customFormat="false" ht="15.75" hidden="false" customHeight="false" outlineLevel="0" collapsed="false">
      <c r="A15" s="57" t="s">
        <v>1948</v>
      </c>
      <c r="B15" s="57"/>
      <c r="C15" s="58" t="n">
        <f aca="false">B15/B$22*B$24</f>
        <v>0</v>
      </c>
      <c r="D15" s="57" t="s">
        <v>434</v>
      </c>
      <c r="E15" s="59" t="n">
        <f aca="false">IFERROR(INDEX(Correspondance!$D$2:$D$3000,MATCH(A15,Correspondance!$A$2:$A$3000,0)),0)</f>
        <v>16</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94.2077344643538</v>
      </c>
      <c r="G19" s="61"/>
      <c r="I19" s="63"/>
    </row>
    <row r="20" customFormat="false" ht="18.75" hidden="false" customHeight="true" outlineLevel="0" collapsed="false">
      <c r="A20" s="68" t="s">
        <v>2628</v>
      </c>
      <c r="B20" s="69" t="n">
        <f aca="false">F19/B24</f>
        <v>0.856433949675944</v>
      </c>
      <c r="C20" s="70"/>
      <c r="G20" s="61"/>
      <c r="I20" s="63"/>
    </row>
    <row r="21" customFormat="false" ht="15.75" hidden="false" customHeight="false" outlineLevel="0" collapsed="false">
      <c r="A21" s="71" t="s">
        <v>2629</v>
      </c>
      <c r="B21" s="71" t="n">
        <f aca="false">SUM(B3:B18)</f>
        <v>10.492</v>
      </c>
      <c r="C21" s="66"/>
      <c r="G21" s="61"/>
      <c r="I21" s="63"/>
    </row>
    <row r="22" customFormat="false" ht="15.75" hidden="false" customHeight="false" outlineLevel="0" collapsed="false">
      <c r="A22" s="0" t="s">
        <v>2630</v>
      </c>
      <c r="B22" s="72" t="n">
        <f aca="false">B21/B23</f>
        <v>69.9466666666667</v>
      </c>
      <c r="C22" s="66"/>
      <c r="G22" s="61"/>
      <c r="I22" s="63"/>
    </row>
    <row r="23" customFormat="false" ht="15.75" hidden="false" customHeight="false" outlineLevel="0" collapsed="false">
      <c r="A23" s="0" t="s">
        <v>2631</v>
      </c>
      <c r="B23" s="0" t="n">
        <v>0.15</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205</v>
      </c>
      <c r="B1" s="50"/>
      <c r="C1" s="50"/>
      <c r="D1" s="50"/>
      <c r="E1" s="51" t="s">
        <v>2619</v>
      </c>
      <c r="F1" s="51"/>
      <c r="G1" s="52" t="s">
        <v>2875</v>
      </c>
    </row>
    <row r="2" customFormat="false" ht="24.75" hidden="false" customHeight="true" outlineLevel="0" collapsed="false">
      <c r="A2" s="50"/>
      <c r="B2" s="50"/>
      <c r="C2" s="50"/>
      <c r="D2" s="50"/>
      <c r="E2" s="53" t="s">
        <v>2692</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1601</v>
      </c>
      <c r="B4" s="57" t="n">
        <v>7.54</v>
      </c>
      <c r="C4" s="58" t="n">
        <f aca="false">B4/B$22*B$24</f>
        <v>11.8502643234748</v>
      </c>
      <c r="D4" s="57" t="s">
        <v>434</v>
      </c>
      <c r="E4" s="59" t="n">
        <f aca="false">IFERROR(INDEX(Correspondance!$D$2:$D$3000,MATCH(A4,Correspondance!$A$2:$A$3000,0)),0)</f>
        <v>8.5</v>
      </c>
      <c r="F4" s="60" t="n">
        <f aca="false">C4*E4</f>
        <v>100.727246749536</v>
      </c>
      <c r="G4" s="61" t="s">
        <v>2876</v>
      </c>
    </row>
    <row r="5" customFormat="false" ht="15.75" hidden="false" customHeight="false" outlineLevel="0" collapsed="false">
      <c r="A5" s="57" t="s">
        <v>917</v>
      </c>
      <c r="B5" s="57" t="n">
        <v>0.754</v>
      </c>
      <c r="C5" s="58" t="n">
        <f aca="false">B5/B$22*B$24</f>
        <v>1.18502643234748</v>
      </c>
      <c r="D5" s="57" t="s">
        <v>434</v>
      </c>
      <c r="E5" s="59" t="n">
        <f aca="false">IFERROR(INDEX(Correspondance!$D$2:$D$3000,MATCH(A5,Correspondance!$A$2:$A$3000,0)),0)</f>
        <v>1.8</v>
      </c>
      <c r="F5" s="60" t="n">
        <f aca="false">C5*E5</f>
        <v>2.13304757822546</v>
      </c>
      <c r="G5" s="61"/>
      <c r="I5" s="62"/>
    </row>
    <row r="6" customFormat="false" ht="15.75" hidden="false" customHeight="false" outlineLevel="0" collapsed="false">
      <c r="A6" s="57" t="s">
        <v>1018</v>
      </c>
      <c r="B6" s="57" t="n">
        <v>0.754</v>
      </c>
      <c r="C6" s="58" t="n">
        <f aca="false">B6/B$22*B$24</f>
        <v>1.18502643234748</v>
      </c>
      <c r="D6" s="57" t="s">
        <v>434</v>
      </c>
      <c r="E6" s="59" t="n">
        <f aca="false">IFERROR(INDEX(Correspondance!$D$2:$D$3000,MATCH(A6,Correspondance!$A$2:$A$3000,0)),0)</f>
        <v>2.6</v>
      </c>
      <c r="F6" s="60" t="n">
        <f aca="false">C6*E6</f>
        <v>3.08106872410344</v>
      </c>
      <c r="G6" s="61"/>
      <c r="I6" s="63"/>
    </row>
    <row r="7" customFormat="false" ht="15.75" hidden="false" customHeight="false" outlineLevel="0" collapsed="false">
      <c r="A7" s="57" t="s">
        <v>1530</v>
      </c>
      <c r="B7" s="57" t="n">
        <v>1.13</v>
      </c>
      <c r="C7" s="58" t="n">
        <f aca="false">B7/B$22*B$24</f>
        <v>1.77596799542792</v>
      </c>
      <c r="D7" s="57" t="s">
        <v>434</v>
      </c>
      <c r="E7" s="59" t="n">
        <f aca="false">IFERROR(INDEX(Correspondance!$D$2:$D$3000,MATCH(A7,Correspondance!$A$2:$A$3000,0)),0)</f>
        <v>3.8</v>
      </c>
      <c r="F7" s="60" t="n">
        <f aca="false">C7*E7</f>
        <v>6.74867838262609</v>
      </c>
      <c r="G7" s="61"/>
      <c r="I7" s="63"/>
    </row>
    <row r="8" customFormat="false" ht="15.75" hidden="false" customHeight="false" outlineLevel="0" collapsed="false">
      <c r="A8" s="57" t="s">
        <v>999</v>
      </c>
      <c r="B8" s="57" t="n">
        <v>0.377</v>
      </c>
      <c r="C8" s="58" t="n">
        <f aca="false">B8/B$22*B$24</f>
        <v>0.592513216173739</v>
      </c>
      <c r="D8" s="57" t="s">
        <v>434</v>
      </c>
      <c r="E8" s="59" t="n">
        <f aca="false">IFERROR(INDEX(Correspondance!$D$2:$D$3000,MATCH(A8,Correspondance!$A$2:$A$3000,0)),0)</f>
        <v>1.9</v>
      </c>
      <c r="F8" s="60" t="n">
        <f aca="false">C8*E8</f>
        <v>1.1257751107301</v>
      </c>
      <c r="G8" s="61"/>
      <c r="I8" s="63"/>
    </row>
    <row r="9" customFormat="false" ht="15.75" hidden="false" customHeight="false" outlineLevel="0" collapsed="false">
      <c r="A9" s="57" t="s">
        <v>1459</v>
      </c>
      <c r="B9" s="57" t="n">
        <v>1.13</v>
      </c>
      <c r="C9" s="58" t="n">
        <f aca="false">B9/B$22*B$24</f>
        <v>1.77596799542792</v>
      </c>
      <c r="D9" s="57" t="s">
        <v>682</v>
      </c>
      <c r="E9" s="59" t="n">
        <f aca="false">IFERROR(INDEX(Correspondance!$D$2:$D$3000,MATCH(A9,Correspondance!$A$2:$A$3000,0)),0)</f>
        <v>0</v>
      </c>
      <c r="F9" s="60" t="n">
        <f aca="false">C9*E9</f>
        <v>0</v>
      </c>
      <c r="G9" s="61"/>
      <c r="I9" s="63"/>
    </row>
    <row r="10" customFormat="false" ht="15.75" hidden="false" customHeight="false" outlineLevel="0" collapsed="false">
      <c r="A10" s="57" t="s">
        <v>1104</v>
      </c>
      <c r="B10" s="57" t="n">
        <v>0.06</v>
      </c>
      <c r="C10" s="58" t="n">
        <f aca="false">B10/B$22*B$24</f>
        <v>0.0942991855979426</v>
      </c>
      <c r="D10" s="57" t="s">
        <v>434</v>
      </c>
      <c r="E10" s="59" t="n">
        <f aca="false">IFERROR(INDEX(Correspondance!$D$2:$D$3000,MATCH(A10,Correspondance!$A$2:$A$3000,0)),0)</f>
        <v>12</v>
      </c>
      <c r="F10" s="60" t="n">
        <f aca="false">C10*E10</f>
        <v>1.13159022717531</v>
      </c>
      <c r="G10" s="61"/>
      <c r="I10" s="63"/>
    </row>
    <row r="11" customFormat="false" ht="15.75" hidden="false" customHeight="false" outlineLevel="0" collapsed="false">
      <c r="A11" s="57" t="s">
        <v>1973</v>
      </c>
      <c r="B11" s="57" t="n">
        <v>0.377</v>
      </c>
      <c r="C11" s="58" t="n">
        <f aca="false">B11/B$22*B$24</f>
        <v>0.592513216173739</v>
      </c>
      <c r="D11" s="57" t="s">
        <v>682</v>
      </c>
      <c r="E11" s="59" t="n">
        <f aca="false">IFERROR(INDEX(Correspondance!$D$2:$D$3000,MATCH(A11,Correspondance!$A$2:$A$3000,0)),0)</f>
        <v>2</v>
      </c>
      <c r="F11" s="60" t="n">
        <f aca="false">C11*E11</f>
        <v>1.18502643234748</v>
      </c>
      <c r="G11" s="61"/>
      <c r="I11" s="63"/>
    </row>
    <row r="12" customFormat="false" ht="18.75" hidden="false" customHeight="true" outlineLevel="0" collapsed="false">
      <c r="A12" s="57" t="s">
        <v>1576</v>
      </c>
      <c r="B12" s="64" t="n">
        <v>1.51</v>
      </c>
      <c r="C12" s="58" t="n">
        <f aca="false">B12/B$22*B$24</f>
        <v>2.37319617088155</v>
      </c>
      <c r="D12" s="57" t="s">
        <v>434</v>
      </c>
      <c r="E12" s="59" t="n">
        <f aca="false">IFERROR(INDEX(Correspondance!$D$2:$D$3000,MATCH(A12,Correspondance!$A$2:$A$3000,0)),0)</f>
        <v>5.5</v>
      </c>
      <c r="F12" s="60" t="n">
        <f aca="false">C12*E12</f>
        <v>13.0525789398486</v>
      </c>
      <c r="G12" s="61"/>
      <c r="I12" s="63"/>
    </row>
    <row r="13" customFormat="false" ht="18.75" hidden="false" customHeight="true" outlineLevel="0" collapsed="false">
      <c r="A13" s="57" t="s">
        <v>1491</v>
      </c>
      <c r="B13" s="64" t="n">
        <v>0.075</v>
      </c>
      <c r="C13" s="58" t="n">
        <f aca="false">B13/B$22*B$24</f>
        <v>0.117873981997428</v>
      </c>
      <c r="D13" s="57" t="s">
        <v>434</v>
      </c>
      <c r="E13" s="59" t="n">
        <f aca="false">IFERROR(INDEX(Correspondance!$D$2:$D$3000,MATCH(A13,Correspondance!$A$2:$A$3000,0)),0)</f>
        <v>9</v>
      </c>
      <c r="F13" s="60" t="n">
        <f aca="false">C13*E13</f>
        <v>1.06086583797685</v>
      </c>
      <c r="G13" s="61"/>
      <c r="I13" s="63"/>
    </row>
    <row r="14" customFormat="false" ht="15.75" hidden="false" customHeight="false" outlineLevel="0" collapsed="false">
      <c r="A14" s="57" t="s">
        <v>1084</v>
      </c>
      <c r="B14" s="57" t="n">
        <v>0.151</v>
      </c>
      <c r="C14" s="58" t="n">
        <f aca="false">B14/B$22*B$24</f>
        <v>0.237319617088155</v>
      </c>
      <c r="D14" s="57" t="s">
        <v>434</v>
      </c>
      <c r="E14" s="59" t="n">
        <f aca="false">IFERROR(INDEX(Correspondance!$D$2:$D$3000,MATCH(A14,Correspondance!$A$2:$A$3000,0)),0)</f>
        <v>2.2</v>
      </c>
      <c r="F14" s="60" t="n">
        <f aca="false">C14*E14</f>
        <v>0.522103157593942</v>
      </c>
      <c r="G14" s="61"/>
      <c r="I14" s="63"/>
    </row>
    <row r="15" customFormat="false" ht="15.75" hidden="false" customHeight="false" outlineLevel="0" collapsed="false">
      <c r="A15" s="57" t="s">
        <v>1291</v>
      </c>
      <c r="B15" s="57" t="n">
        <v>0.075</v>
      </c>
      <c r="C15" s="58" t="n">
        <f aca="false">B15/B$22*B$24</f>
        <v>0.117873981997428</v>
      </c>
      <c r="D15" s="57" t="s">
        <v>682</v>
      </c>
      <c r="E15" s="59" t="n">
        <f aca="false">IFERROR(INDEX(Correspondance!$D$2:$D$3000,MATCH(A15,Correspondance!$A$2:$A$3000,0)),0)</f>
        <v>2.5</v>
      </c>
      <c r="F15" s="60" t="n">
        <f aca="false">C15*E15</f>
        <v>0.294684954993571</v>
      </c>
      <c r="G15" s="61"/>
      <c r="I15" s="63"/>
    </row>
    <row r="16" customFormat="false" ht="15.75" hidden="false" customHeight="false" outlineLevel="0" collapsed="false">
      <c r="A16" s="57" t="s">
        <v>1919</v>
      </c>
      <c r="B16" s="57" t="n">
        <v>0.06</v>
      </c>
      <c r="C16" s="58" t="n">
        <f aca="false">B16/B$22*B$24</f>
        <v>0.0942991855979426</v>
      </c>
      <c r="D16" s="57" t="s">
        <v>434</v>
      </c>
      <c r="E16" s="59" t="n">
        <f aca="false">IFERROR(INDEX(Correspondance!$D$2:$D$3000,MATCH(A16,Correspondance!$A$2:$A$3000,0)),0)</f>
        <v>2</v>
      </c>
      <c r="F16" s="60" t="n">
        <f aca="false">C16*E16</f>
        <v>0.188598371195885</v>
      </c>
      <c r="G16" s="61"/>
      <c r="I16" s="63"/>
    </row>
    <row r="17" customFormat="false" ht="15.75" hidden="false" customHeight="false" outlineLevel="0" collapsed="false">
      <c r="A17" s="57" t="s">
        <v>1796</v>
      </c>
      <c r="B17" s="57" t="n">
        <v>0.005</v>
      </c>
      <c r="C17" s="58" t="n">
        <f aca="false">B17/B$22*B$24</f>
        <v>0.00785826546649521</v>
      </c>
      <c r="D17" s="57" t="s">
        <v>434</v>
      </c>
      <c r="E17" s="59" t="n">
        <f aca="false">IFERROR(INDEX(Correspondance!$D$2:$D$3000,MATCH(A17,Correspondance!$A$2:$A$3000,0)),0)</f>
        <v>18</v>
      </c>
      <c r="F17" s="60" t="n">
        <f aca="false">C17*E17</f>
        <v>0.141448778396914</v>
      </c>
      <c r="G17" s="61"/>
      <c r="I17" s="63"/>
    </row>
    <row r="18" customFormat="false" ht="15.75" hidden="false" customHeight="false" outlineLevel="0" collapsed="false">
      <c r="A18" s="57" t="s">
        <v>1477</v>
      </c>
      <c r="B18" s="57"/>
      <c r="C18" s="58" t="n">
        <f aca="false">B18/B$22*B$24</f>
        <v>0</v>
      </c>
      <c r="D18" s="57" t="s">
        <v>434</v>
      </c>
      <c r="E18" s="59" t="n">
        <f aca="false">IFERROR(INDEX(Correspondance!$D$2:$D$3000,MATCH(A18,Correspondance!$A$2:$A$3000,0)),0)</f>
        <v>14</v>
      </c>
      <c r="F18" s="60" t="n">
        <f aca="false">C18*E18</f>
        <v>0</v>
      </c>
      <c r="G18" s="61"/>
      <c r="I18" s="63"/>
    </row>
    <row r="19" customFormat="false" ht="15.75" hidden="false" customHeight="false" outlineLevel="0" collapsed="false">
      <c r="C19" s="66"/>
      <c r="F19" s="67" t="n">
        <f aca="false">SUM(F4:F18)</f>
        <v>131.392713244749</v>
      </c>
      <c r="G19" s="61"/>
      <c r="I19" s="63"/>
    </row>
    <row r="20" customFormat="false" ht="18.75" hidden="false" customHeight="true" outlineLevel="0" collapsed="false">
      <c r="A20" s="68" t="s">
        <v>2628</v>
      </c>
      <c r="B20" s="69" t="n">
        <f aca="false">F19/B24</f>
        <v>1.1944792113159</v>
      </c>
      <c r="C20" s="70"/>
      <c r="G20" s="61"/>
      <c r="I20" s="63"/>
    </row>
    <row r="21" customFormat="false" ht="15.75" hidden="false" customHeight="false" outlineLevel="0" collapsed="false">
      <c r="A21" s="71" t="s">
        <v>2629</v>
      </c>
      <c r="B21" s="71" t="n">
        <f aca="false">SUM(B3:B18)</f>
        <v>13.998</v>
      </c>
      <c r="C21" s="66"/>
      <c r="G21" s="61"/>
      <c r="I21" s="63"/>
    </row>
    <row r="22" customFormat="false" ht="15.75" hidden="false" customHeight="false" outlineLevel="0" collapsed="false">
      <c r="A22" s="0" t="s">
        <v>2630</v>
      </c>
      <c r="B22" s="72" t="n">
        <f aca="false">B21/B23</f>
        <v>69.99</v>
      </c>
      <c r="C22" s="66"/>
      <c r="G22" s="61"/>
      <c r="I22" s="63"/>
    </row>
    <row r="23" customFormat="false" ht="15.75" hidden="false" customHeight="false" outlineLevel="0" collapsed="false">
      <c r="A23" s="0" t="s">
        <v>2631</v>
      </c>
      <c r="B23" s="0" t="n">
        <v>0.2</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206</v>
      </c>
      <c r="B1" s="50"/>
      <c r="C1" s="50"/>
      <c r="D1" s="50"/>
      <c r="E1" s="51" t="s">
        <v>2619</v>
      </c>
      <c r="F1" s="51"/>
      <c r="G1" s="52" t="s">
        <v>2877</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1836</v>
      </c>
      <c r="B4" s="57" t="n">
        <v>9.14</v>
      </c>
      <c r="C4" s="58" t="n">
        <f aca="false">B4/B$22*B$24</f>
        <v>14.3603953607953</v>
      </c>
      <c r="D4" s="57" t="s">
        <v>434</v>
      </c>
      <c r="E4" s="59" t="n">
        <f aca="false">IFERROR(INDEX(Correspondance!$D$2:$D$3000,MATCH(A4,Correspondance!$A$2:$A$3000,0)),0)</f>
        <v>2.2</v>
      </c>
      <c r="F4" s="60" t="n">
        <f aca="false">C4*E4</f>
        <v>31.5928697937496</v>
      </c>
      <c r="G4" s="61" t="s">
        <v>2878</v>
      </c>
    </row>
    <row r="5" customFormat="false" ht="15.75" hidden="false" customHeight="false" outlineLevel="0" collapsed="false">
      <c r="A5" s="57" t="s">
        <v>730</v>
      </c>
      <c r="B5" s="57" t="n">
        <v>2.74</v>
      </c>
      <c r="C5" s="58" t="n">
        <f aca="false">B5/B$22*B$24</f>
        <v>4.3049762897789</v>
      </c>
      <c r="D5" s="57" t="s">
        <v>434</v>
      </c>
      <c r="E5" s="59" t="n">
        <f aca="false">IFERROR(INDEX(Correspondance!$D$2:$D$3000,MATCH(A5,Correspondance!$A$2:$A$3000,0)),0)</f>
        <v>13</v>
      </c>
      <c r="F5" s="60" t="n">
        <f aca="false">C5*E5</f>
        <v>55.9646917671256</v>
      </c>
      <c r="G5" s="61"/>
      <c r="I5" s="62"/>
    </row>
    <row r="6" customFormat="false" ht="15.75" hidden="false" customHeight="false" outlineLevel="0" collapsed="false">
      <c r="A6" s="57" t="s">
        <v>587</v>
      </c>
      <c r="B6" s="57" t="n">
        <v>2.28</v>
      </c>
      <c r="C6" s="58" t="n">
        <f aca="false">B6/B$22*B$24</f>
        <v>3.58224304404959</v>
      </c>
      <c r="D6" s="57" t="s">
        <v>434</v>
      </c>
      <c r="E6" s="59" t="n">
        <f aca="false">IFERROR(INDEX(Correspondance!$D$2:$D$3000,MATCH(A6,Correspondance!$A$2:$A$3000,0)),0)</f>
        <v>8</v>
      </c>
      <c r="F6" s="60" t="n">
        <f aca="false">C6*E6</f>
        <v>28.6579443523967</v>
      </c>
      <c r="G6" s="61"/>
      <c r="I6" s="63"/>
    </row>
    <row r="7" customFormat="false" ht="15.75" hidden="false" customHeight="false" outlineLevel="0" collapsed="false">
      <c r="A7" s="57" t="s">
        <v>1003</v>
      </c>
      <c r="B7" s="57" t="n">
        <v>0.914</v>
      </c>
      <c r="C7" s="58" t="n">
        <f aca="false">B7/B$22*B$24</f>
        <v>1.43603953607953</v>
      </c>
      <c r="D7" s="57" t="s">
        <v>434</v>
      </c>
      <c r="E7" s="59" t="n">
        <f aca="false">IFERROR(INDEX(Correspondance!$D$2:$D$3000,MATCH(A7,Correspondance!$A$2:$A$3000,0)),0)</f>
        <v>1.9</v>
      </c>
      <c r="F7" s="60" t="n">
        <f aca="false">C7*E7</f>
        <v>2.72847511855111</v>
      </c>
      <c r="G7" s="61"/>
      <c r="I7" s="63"/>
    </row>
    <row r="8" customFormat="false" ht="15.75" hidden="false" customHeight="false" outlineLevel="0" collapsed="false">
      <c r="A8" s="57" t="s">
        <v>1576</v>
      </c>
      <c r="B8" s="57" t="n">
        <v>1.83</v>
      </c>
      <c r="C8" s="58" t="n">
        <f aca="false">B8/B$22*B$24</f>
        <v>2.87522139061875</v>
      </c>
      <c r="D8" s="57" t="s">
        <v>434</v>
      </c>
      <c r="E8" s="59" t="n">
        <f aca="false">IFERROR(INDEX(Correspondance!$D$2:$D$3000,MATCH(A8,Correspondance!$A$2:$A$3000,0)),0)</f>
        <v>5.5</v>
      </c>
      <c r="F8" s="60" t="n">
        <f aca="false">C8*E8</f>
        <v>15.8137176484031</v>
      </c>
      <c r="G8" s="61"/>
      <c r="I8" s="63"/>
    </row>
    <row r="9" customFormat="false" ht="15.75" hidden="false" customHeight="false" outlineLevel="0" collapsed="false">
      <c r="A9" s="57" t="s">
        <v>1973</v>
      </c>
      <c r="B9" s="57" t="n">
        <v>0.457</v>
      </c>
      <c r="C9" s="58" t="n">
        <f aca="false">B9/B$22*B$24</f>
        <v>0.718019768039765</v>
      </c>
      <c r="D9" s="57" t="s">
        <v>682</v>
      </c>
      <c r="E9" s="59" t="n">
        <f aca="false">IFERROR(INDEX(Correspondance!$D$2:$D$3000,MATCH(A9,Correspondance!$A$2:$A$3000,0)),0)</f>
        <v>2</v>
      </c>
      <c r="F9" s="60" t="n">
        <f aca="false">C9*E9</f>
        <v>1.43603953607953</v>
      </c>
      <c r="G9" s="61"/>
      <c r="I9" s="63"/>
    </row>
    <row r="10" customFormat="false" ht="15.75" hidden="false" customHeight="false" outlineLevel="0" collapsed="false">
      <c r="A10" s="57" t="s">
        <v>1675</v>
      </c>
      <c r="B10" s="57" t="n">
        <v>0.091</v>
      </c>
      <c r="C10" s="58" t="n">
        <f aca="false">B10/B$22*B$24</f>
        <v>0.142975489916014</v>
      </c>
      <c r="D10" s="57" t="s">
        <v>682</v>
      </c>
      <c r="E10" s="59" t="n">
        <f aca="false">IFERROR(INDEX(Correspondance!$D$2:$D$3000,MATCH(A10,Correspondance!$A$2:$A$3000,0)),0)</f>
        <v>2.2</v>
      </c>
      <c r="F10" s="60" t="n">
        <f aca="false">C10*E10</f>
        <v>0.314546077815232</v>
      </c>
      <c r="G10" s="61"/>
      <c r="I10" s="63"/>
    </row>
    <row r="11" customFormat="false" ht="15.75" hidden="false" customHeight="false" outlineLevel="0" collapsed="false">
      <c r="A11" s="57" t="s">
        <v>1919</v>
      </c>
      <c r="B11" s="57" t="n">
        <v>0.046</v>
      </c>
      <c r="C11" s="58" t="n">
        <f aca="false">B11/B$22*B$24</f>
        <v>0.0722733245729304</v>
      </c>
      <c r="D11" s="57" t="s">
        <v>434</v>
      </c>
      <c r="E11" s="59" t="n">
        <f aca="false">IFERROR(INDEX(Correspondance!$D$2:$D$3000,MATCH(A11,Correspondance!$A$2:$A$3000,0)),0)</f>
        <v>2</v>
      </c>
      <c r="F11" s="60" t="n">
        <f aca="false">C11*E11</f>
        <v>0.144546649145861</v>
      </c>
      <c r="G11" s="61"/>
      <c r="I11" s="63"/>
    </row>
    <row r="12" customFormat="false" ht="18.75" hidden="false" customHeight="true" outlineLevel="0" collapsed="false">
      <c r="A12" s="57" t="s">
        <v>1796</v>
      </c>
      <c r="B12" s="64" t="n">
        <v>0.005</v>
      </c>
      <c r="C12" s="58" t="n">
        <f aca="false">B12/B$22*B$24</f>
        <v>0.00785579614923156</v>
      </c>
      <c r="D12" s="57" t="s">
        <v>434</v>
      </c>
      <c r="E12" s="59" t="n">
        <f aca="false">IFERROR(INDEX(Correspondance!$D$2:$D$3000,MATCH(A12,Correspondance!$A$2:$A$3000,0)),0)</f>
        <v>18</v>
      </c>
      <c r="F12" s="60" t="n">
        <f aca="false">C12*E12</f>
        <v>0.141404330686168</v>
      </c>
      <c r="G12" s="61"/>
      <c r="I12" s="63"/>
    </row>
    <row r="13" customFormat="false" ht="18.75" hidden="false" customHeight="true" outlineLevel="0" collapsed="false">
      <c r="A13" s="57" t="s">
        <v>1733</v>
      </c>
      <c r="B13" s="64"/>
      <c r="C13" s="58" t="n">
        <f aca="false">B13/B$22*B$24</f>
        <v>0</v>
      </c>
      <c r="D13" s="57" t="s">
        <v>434</v>
      </c>
      <c r="E13" s="59" t="n">
        <f aca="false">IFERROR(INDEX(Correspondance!$D$2:$D$3000,MATCH(A13,Correspondance!$A$2:$A$3000,0)),0)</f>
        <v>30</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136.794235273953</v>
      </c>
      <c r="G19" s="61"/>
      <c r="I19" s="63"/>
    </row>
    <row r="20" customFormat="false" ht="18.75" hidden="false" customHeight="true" outlineLevel="0" collapsed="false">
      <c r="A20" s="68" t="s">
        <v>2628</v>
      </c>
      <c r="B20" s="69" t="n">
        <f aca="false">F19/B24</f>
        <v>1.24358395703594</v>
      </c>
      <c r="C20" s="70"/>
      <c r="G20" s="61"/>
      <c r="I20" s="63"/>
    </row>
    <row r="21" customFormat="false" ht="15.75" hidden="false" customHeight="false" outlineLevel="0" collapsed="false">
      <c r="A21" s="71" t="s">
        <v>2629</v>
      </c>
      <c r="B21" s="71" t="n">
        <f aca="false">SUM(B3:B18)</f>
        <v>17.503</v>
      </c>
      <c r="C21" s="66"/>
      <c r="G21" s="61"/>
      <c r="I21" s="63"/>
    </row>
    <row r="22" customFormat="false" ht="15.75" hidden="false" customHeight="false" outlineLevel="0" collapsed="false">
      <c r="A22" s="0" t="s">
        <v>2630</v>
      </c>
      <c r="B22" s="72" t="n">
        <f aca="false">B21/B23</f>
        <v>70.012</v>
      </c>
      <c r="C22" s="66"/>
      <c r="G22" s="61"/>
      <c r="I22" s="63"/>
    </row>
    <row r="23" customFormat="false" ht="15.75" hidden="false" customHeight="false" outlineLevel="0" collapsed="false">
      <c r="A23" s="0" t="s">
        <v>2631</v>
      </c>
      <c r="B23" s="0" t="n">
        <v>0.25</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207</v>
      </c>
      <c r="B1" s="50"/>
      <c r="C1" s="50"/>
      <c r="D1" s="50"/>
      <c r="E1" s="51" t="s">
        <v>2619</v>
      </c>
      <c r="F1" s="51"/>
      <c r="G1" s="52" t="s">
        <v>2877</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1078</v>
      </c>
      <c r="B4" s="57" t="n">
        <v>4.77</v>
      </c>
      <c r="C4" s="58" t="n">
        <f aca="false">B4/B$22*B$24</f>
        <v>7.50160840660519</v>
      </c>
      <c r="D4" s="57" t="s">
        <v>434</v>
      </c>
      <c r="E4" s="59" t="n">
        <f aca="false">IFERROR(INDEX(Correspondance!$D$2:$D$3000,MATCH(A4,Correspondance!$A$2:$A$3000,0)),0)</f>
        <v>4.5</v>
      </c>
      <c r="F4" s="60" t="n">
        <f aca="false">C4*E4</f>
        <v>33.7572378297234</v>
      </c>
      <c r="G4" s="61" t="s">
        <v>2879</v>
      </c>
    </row>
    <row r="5" customFormat="false" ht="15.75" hidden="false" customHeight="false" outlineLevel="0" collapsed="false">
      <c r="A5" s="57" t="s">
        <v>730</v>
      </c>
      <c r="B5" s="57" t="n">
        <v>2.86</v>
      </c>
      <c r="C5" s="58" t="n">
        <f aca="false">B5/B$22*B$24</f>
        <v>4.49781971549074</v>
      </c>
      <c r="D5" s="57" t="s">
        <v>434</v>
      </c>
      <c r="E5" s="59" t="n">
        <f aca="false">IFERROR(INDEX(Correspondance!$D$2:$D$3000,MATCH(A5,Correspondance!$A$2:$A$3000,0)),0)</f>
        <v>13</v>
      </c>
      <c r="F5" s="60" t="n">
        <f aca="false">C5*E5</f>
        <v>58.4716563013797</v>
      </c>
      <c r="G5" s="61"/>
      <c r="I5" s="62"/>
    </row>
    <row r="6" customFormat="false" ht="15.75" hidden="false" customHeight="false" outlineLevel="0" collapsed="false">
      <c r="A6" s="57" t="s">
        <v>587</v>
      </c>
      <c r="B6" s="57" t="n">
        <v>2.38</v>
      </c>
      <c r="C6" s="58" t="n">
        <f aca="false">B6/B$22*B$24</f>
        <v>3.74294088212167</v>
      </c>
      <c r="D6" s="57" t="s">
        <v>434</v>
      </c>
      <c r="E6" s="59" t="n">
        <f aca="false">IFERROR(INDEX(Correspondance!$D$2:$D$3000,MATCH(A6,Correspondance!$A$2:$A$3000,0)),0)</f>
        <v>8</v>
      </c>
      <c r="F6" s="60" t="n">
        <f aca="false">C6*E6</f>
        <v>29.9435270569733</v>
      </c>
      <c r="G6" s="61"/>
      <c r="I6" s="63"/>
    </row>
    <row r="7" customFormat="false" ht="15.75" hidden="false" customHeight="false" outlineLevel="0" collapsed="false">
      <c r="A7" s="57" t="s">
        <v>1003</v>
      </c>
      <c r="B7" s="57" t="n">
        <v>0.954</v>
      </c>
      <c r="C7" s="58" t="n">
        <f aca="false">B7/B$22*B$24</f>
        <v>1.50032168132104</v>
      </c>
      <c r="D7" s="57" t="s">
        <v>434</v>
      </c>
      <c r="E7" s="59" t="n">
        <f aca="false">IFERROR(INDEX(Correspondance!$D$2:$D$3000,MATCH(A7,Correspondance!$A$2:$A$3000,0)),0)</f>
        <v>1.9</v>
      </c>
      <c r="F7" s="60" t="n">
        <f aca="false">C7*E7</f>
        <v>2.85061119450997</v>
      </c>
      <c r="G7" s="61"/>
      <c r="I7" s="63"/>
    </row>
    <row r="8" customFormat="false" ht="15.75" hidden="false" customHeight="false" outlineLevel="0" collapsed="false">
      <c r="A8" s="57" t="s">
        <v>1576</v>
      </c>
      <c r="B8" s="57" t="n">
        <v>2.38</v>
      </c>
      <c r="C8" s="58" t="n">
        <f aca="false">B8/B$22*B$24</f>
        <v>3.74294088212167</v>
      </c>
      <c r="D8" s="57" t="s">
        <v>434</v>
      </c>
      <c r="E8" s="59" t="n">
        <f aca="false">IFERROR(INDEX(Correspondance!$D$2:$D$3000,MATCH(A8,Correspondance!$A$2:$A$3000,0)),0)</f>
        <v>5.5</v>
      </c>
      <c r="F8" s="60" t="n">
        <f aca="false">C8*E8</f>
        <v>20.5861748516692</v>
      </c>
      <c r="G8" s="61"/>
      <c r="I8" s="63"/>
    </row>
    <row r="9" customFormat="false" ht="15.75" hidden="false" customHeight="false" outlineLevel="0" collapsed="false">
      <c r="A9" s="57" t="s">
        <v>1973</v>
      </c>
      <c r="B9" s="57" t="n">
        <v>0.477</v>
      </c>
      <c r="C9" s="58" t="n">
        <f aca="false">B9/B$22*B$24</f>
        <v>0.750160840660519</v>
      </c>
      <c r="D9" s="57" t="s">
        <v>682</v>
      </c>
      <c r="E9" s="59" t="n">
        <f aca="false">IFERROR(INDEX(Correspondance!$D$2:$D$3000,MATCH(A9,Correspondance!$A$2:$A$3000,0)),0)</f>
        <v>2</v>
      </c>
      <c r="F9" s="60" t="n">
        <f aca="false">C9*E9</f>
        <v>1.50032168132104</v>
      </c>
      <c r="G9" s="61"/>
      <c r="I9" s="63"/>
    </row>
    <row r="10" customFormat="false" ht="15.75" hidden="false" customHeight="false" outlineLevel="0" collapsed="false">
      <c r="A10" s="57" t="s">
        <v>1675</v>
      </c>
      <c r="B10" s="57" t="n">
        <v>0.095</v>
      </c>
      <c r="C10" s="58" t="n">
        <f aca="false">B10/B$22*B$24</f>
        <v>0.14940310243763</v>
      </c>
      <c r="D10" s="57" t="s">
        <v>682</v>
      </c>
      <c r="E10" s="59" t="n">
        <f aca="false">IFERROR(INDEX(Correspondance!$D$2:$D$3000,MATCH(A10,Correspondance!$A$2:$A$3000,0)),0)</f>
        <v>2.2</v>
      </c>
      <c r="F10" s="60" t="n">
        <f aca="false">C10*E10</f>
        <v>0.328686825362785</v>
      </c>
      <c r="G10" s="61"/>
      <c r="I10" s="63"/>
    </row>
    <row r="11" customFormat="false" ht="15.75" hidden="false" customHeight="false" outlineLevel="0" collapsed="false">
      <c r="A11" s="57" t="s">
        <v>1919</v>
      </c>
      <c r="B11" s="57" t="n">
        <v>0.067</v>
      </c>
      <c r="C11" s="58" t="n">
        <f aca="false">B11/B$22*B$24</f>
        <v>0.105368503824434</v>
      </c>
      <c r="D11" s="57" t="s">
        <v>434</v>
      </c>
      <c r="E11" s="59" t="n">
        <f aca="false">IFERROR(INDEX(Correspondance!$D$2:$D$3000,MATCH(A11,Correspondance!$A$2:$A$3000,0)),0)</f>
        <v>2</v>
      </c>
      <c r="F11" s="60" t="n">
        <f aca="false">C11*E11</f>
        <v>0.210737007648867</v>
      </c>
      <c r="G11" s="61"/>
      <c r="I11" s="63"/>
    </row>
    <row r="12" customFormat="false" ht="18.75" hidden="false" customHeight="true" outlineLevel="0" collapsed="false">
      <c r="A12" s="57" t="s">
        <v>1796</v>
      </c>
      <c r="B12" s="64" t="n">
        <v>0.006</v>
      </c>
      <c r="C12" s="58" t="n">
        <f aca="false">B12/B$22*B$24</f>
        <v>0.00943598541711345</v>
      </c>
      <c r="D12" s="57" t="s">
        <v>434</v>
      </c>
      <c r="E12" s="59" t="n">
        <f aca="false">IFERROR(INDEX(Correspondance!$D$2:$D$3000,MATCH(A12,Correspondance!$A$2:$A$3000,0)),0)</f>
        <v>18</v>
      </c>
      <c r="F12" s="60" t="n">
        <f aca="false">C12*E12</f>
        <v>0.169847737508042</v>
      </c>
      <c r="G12" s="61"/>
      <c r="I12" s="63"/>
    </row>
    <row r="13" customFormat="false" ht="18.75" hidden="false" customHeight="true" outlineLevel="0" collapsed="false">
      <c r="A13" s="57" t="s">
        <v>1732</v>
      </c>
      <c r="B13" s="64"/>
      <c r="C13" s="58" t="n">
        <f aca="false">B13/B$22*B$24</f>
        <v>0</v>
      </c>
      <c r="D13" s="57" t="s">
        <v>434</v>
      </c>
      <c r="E13" s="59" t="n">
        <f aca="false">IFERROR(INDEX(Correspondance!$D$2:$D$3000,MATCH(A13,Correspondance!$A$2:$A$3000,0)),0)</f>
        <v>30</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147.818800486096</v>
      </c>
      <c r="G19" s="61"/>
      <c r="I19" s="63"/>
    </row>
    <row r="20" customFormat="false" ht="18.75" hidden="false" customHeight="true" outlineLevel="0" collapsed="false">
      <c r="A20" s="68" t="s">
        <v>2628</v>
      </c>
      <c r="B20" s="69" t="n">
        <f aca="false">F19/B24</f>
        <v>1.34380727714633</v>
      </c>
      <c r="C20" s="70"/>
      <c r="G20" s="61"/>
      <c r="I20" s="63"/>
    </row>
    <row r="21" customFormat="false" ht="15.75" hidden="false" customHeight="false" outlineLevel="0" collapsed="false">
      <c r="A21" s="71" t="s">
        <v>2629</v>
      </c>
      <c r="B21" s="71" t="n">
        <f aca="false">SUM(B3:B18)</f>
        <v>13.989</v>
      </c>
      <c r="C21" s="66"/>
      <c r="G21" s="61"/>
      <c r="I21" s="63"/>
    </row>
    <row r="22" customFormat="false" ht="15.75" hidden="false" customHeight="false" outlineLevel="0" collapsed="false">
      <c r="A22" s="0" t="s">
        <v>2630</v>
      </c>
      <c r="B22" s="72" t="n">
        <f aca="false">B21/B23</f>
        <v>69.945</v>
      </c>
      <c r="C22" s="66"/>
      <c r="G22" s="61"/>
      <c r="I22" s="63"/>
    </row>
    <row r="23" customFormat="false" ht="15.75" hidden="false" customHeight="false" outlineLevel="0" collapsed="false">
      <c r="A23" s="0" t="s">
        <v>2631</v>
      </c>
      <c r="B23" s="0" t="n">
        <v>0.2</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208</v>
      </c>
      <c r="B1" s="50"/>
      <c r="C1" s="50"/>
      <c r="D1" s="50"/>
      <c r="E1" s="51" t="s">
        <v>2619</v>
      </c>
      <c r="F1" s="51"/>
      <c r="G1" s="52" t="s">
        <v>2838</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1997</v>
      </c>
      <c r="B4" s="57" t="n">
        <v>6.92</v>
      </c>
      <c r="C4" s="58" t="n">
        <f aca="false">B4/B$22*B$24</f>
        <v>10.8802069153281</v>
      </c>
      <c r="D4" s="57" t="s">
        <v>434</v>
      </c>
      <c r="E4" s="59" t="n">
        <f aca="false">IFERROR(INDEX(Correspondance!$D$2:$D$3000,MATCH(A4,Correspondance!$A$2:$A$3000,0)),0)</f>
        <v>5.6</v>
      </c>
      <c r="F4" s="60" t="n">
        <f aca="false">C4*E4</f>
        <v>60.9291587258372</v>
      </c>
      <c r="G4" s="61" t="s">
        <v>2880</v>
      </c>
    </row>
    <row r="5" customFormat="false" ht="15.75" hidden="false" customHeight="false" outlineLevel="0" collapsed="false">
      <c r="A5" s="57" t="s">
        <v>1692</v>
      </c>
      <c r="B5" s="57" t="n">
        <v>5.19</v>
      </c>
      <c r="C5" s="58" t="n">
        <f aca="false">B5/B$22*B$24</f>
        <v>8.16015518649605</v>
      </c>
      <c r="D5" s="57" t="s">
        <v>682</v>
      </c>
      <c r="E5" s="59" t="n">
        <f aca="false">IFERROR(INDEX(Correspondance!$D$2:$D$3000,MATCH(A5,Correspondance!$A$2:$A$3000,0)),0)</f>
        <v>2.4</v>
      </c>
      <c r="F5" s="60" t="n">
        <f aca="false">C5*E5</f>
        <v>19.5843724475905</v>
      </c>
      <c r="G5" s="61"/>
      <c r="I5" s="62"/>
    </row>
    <row r="6" customFormat="false" ht="15.75" hidden="false" customHeight="false" outlineLevel="0" collapsed="false">
      <c r="A6" s="57" t="s">
        <v>1491</v>
      </c>
      <c r="B6" s="57" t="n">
        <v>0.389</v>
      </c>
      <c r="C6" s="58" t="n">
        <f aca="false">B6/B$22*B$24</f>
        <v>0.611618567928124</v>
      </c>
      <c r="D6" s="57" t="s">
        <v>434</v>
      </c>
      <c r="E6" s="59" t="n">
        <f aca="false">IFERROR(INDEX(Correspondance!$D$2:$D$3000,MATCH(A6,Correspondance!$A$2:$A$3000,0)),0)</f>
        <v>9</v>
      </c>
      <c r="F6" s="60" t="n">
        <f aca="false">C6*E6</f>
        <v>5.50456711135312</v>
      </c>
      <c r="G6" s="61"/>
      <c r="I6" s="63"/>
    </row>
    <row r="7" customFormat="false" ht="15.75" hidden="false" customHeight="false" outlineLevel="0" collapsed="false">
      <c r="A7" s="57" t="s">
        <v>1616</v>
      </c>
      <c r="B7" s="57" t="n">
        <v>0.389</v>
      </c>
      <c r="C7" s="58" t="n">
        <f aca="false">B7/B$22*B$24</f>
        <v>0.611618567928124</v>
      </c>
      <c r="D7" s="57" t="s">
        <v>434</v>
      </c>
      <c r="E7" s="59" t="n">
        <f aca="false">IFERROR(INDEX(Correspondance!$D$2:$D$3000,MATCH(A7,Correspondance!$A$2:$A$3000,0)),0)</f>
        <v>0.85</v>
      </c>
      <c r="F7" s="60" t="n">
        <f aca="false">C7*E7</f>
        <v>0.519875782738906</v>
      </c>
      <c r="G7" s="61"/>
      <c r="I7" s="63"/>
    </row>
    <row r="8" customFormat="false" ht="15.75" hidden="false" customHeight="false" outlineLevel="0" collapsed="false">
      <c r="A8" s="57" t="s">
        <v>1576</v>
      </c>
      <c r="B8" s="57" t="n">
        <v>0.865</v>
      </c>
      <c r="C8" s="58" t="n">
        <f aca="false">B8/B$22*B$24</f>
        <v>1.36002586441601</v>
      </c>
      <c r="D8" s="57" t="s">
        <v>434</v>
      </c>
      <c r="E8" s="59" t="n">
        <f aca="false">IFERROR(INDEX(Correspondance!$D$2:$D$3000,MATCH(A8,Correspondance!$A$2:$A$3000,0)),0)</f>
        <v>5.5</v>
      </c>
      <c r="F8" s="60" t="n">
        <f aca="false">C8*E8</f>
        <v>7.48014225428805</v>
      </c>
      <c r="G8" s="61"/>
      <c r="I8" s="63"/>
    </row>
    <row r="9" customFormat="false" ht="15.75" hidden="false" customHeight="false" outlineLevel="0" collapsed="false">
      <c r="A9" s="57" t="s">
        <v>706</v>
      </c>
      <c r="B9" s="57" t="n">
        <v>0.865</v>
      </c>
      <c r="C9" s="58" t="n">
        <f aca="false">B9/B$22*B$24</f>
        <v>1.36002586441601</v>
      </c>
      <c r="D9" s="57" t="s">
        <v>434</v>
      </c>
      <c r="E9" s="59" t="n">
        <f aca="false">IFERROR(INDEX(Correspondance!$D$2:$D$3000,MATCH(A9,Correspondance!$A$2:$A$3000,0)),0)</f>
        <v>7.5</v>
      </c>
      <c r="F9" s="60" t="n">
        <f aca="false">C9*E9</f>
        <v>10.2001939831201</v>
      </c>
      <c r="G9" s="61"/>
      <c r="I9" s="63"/>
    </row>
    <row r="10" customFormat="false" ht="15.75" hidden="false" customHeight="false" outlineLevel="0" collapsed="false">
      <c r="A10" s="57" t="s">
        <v>1919</v>
      </c>
      <c r="B10" s="57" t="n">
        <v>0.069</v>
      </c>
      <c r="C10" s="58" t="n">
        <f aca="false">B10/B$22*B$24</f>
        <v>0.108487612306017</v>
      </c>
      <c r="D10" s="57" t="s">
        <v>434</v>
      </c>
      <c r="E10" s="59" t="n">
        <f aca="false">IFERROR(INDEX(Correspondance!$D$2:$D$3000,MATCH(A10,Correspondance!$A$2:$A$3000,0)),0)</f>
        <v>2</v>
      </c>
      <c r="F10" s="60" t="n">
        <f aca="false">C10*E10</f>
        <v>0.216975224612034</v>
      </c>
      <c r="G10" s="61"/>
      <c r="I10" s="63"/>
    </row>
    <row r="11" customFormat="false" ht="15.75" hidden="false" customHeight="false" outlineLevel="0" collapsed="false">
      <c r="A11" s="57" t="s">
        <v>1796</v>
      </c>
      <c r="B11" s="57" t="n">
        <v>0.005</v>
      </c>
      <c r="C11" s="58" t="n">
        <f aca="false">B11/B$22*B$24</f>
        <v>0.00786142118159543</v>
      </c>
      <c r="D11" s="57" t="s">
        <v>434</v>
      </c>
      <c r="E11" s="59" t="n">
        <f aca="false">IFERROR(INDEX(Correspondance!$D$2:$D$3000,MATCH(A11,Correspondance!$A$2:$A$3000,0)),0)</f>
        <v>18</v>
      </c>
      <c r="F11" s="60" t="n">
        <f aca="false">C11*E11</f>
        <v>0.141505581268718</v>
      </c>
      <c r="G11" s="61"/>
      <c r="I11" s="63"/>
    </row>
    <row r="12" customFormat="false" ht="18.75" hidden="false" customHeight="true" outlineLevel="0" collapsed="false">
      <c r="A12" s="57" t="s">
        <v>1732</v>
      </c>
      <c r="B12" s="64"/>
      <c r="C12" s="58" t="n">
        <f aca="false">B12/B$22*B$24</f>
        <v>0</v>
      </c>
      <c r="D12" s="57" t="s">
        <v>434</v>
      </c>
      <c r="E12" s="59" t="n">
        <f aca="false">IFERROR(INDEX(Correspondance!$D$2:$D$3000,MATCH(A12,Correspondance!$A$2:$A$3000,0)),0)</f>
        <v>30</v>
      </c>
      <c r="F12" s="60" t="n">
        <f aca="false">C12*E12</f>
        <v>0</v>
      </c>
      <c r="G12" s="61"/>
      <c r="I12" s="63"/>
    </row>
    <row r="13" customFormat="false" ht="18.75" hidden="false" customHeight="true" outlineLevel="0" collapsed="false">
      <c r="A13" s="57"/>
      <c r="B13" s="64"/>
      <c r="C13" s="58" t="n">
        <f aca="false">B13/B$22*B$24</f>
        <v>0</v>
      </c>
      <c r="D13" s="57"/>
      <c r="E13" s="65" t="n">
        <f aca="false">IFERROR(INDEX(Correspondance!$D$2:$D$3000,MATCH(A13,Correspondance!$A$2:$A$3000,0)),0)</f>
        <v>0</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104.576791110809</v>
      </c>
      <c r="G19" s="61"/>
      <c r="I19" s="63"/>
    </row>
    <row r="20" customFormat="false" ht="18.75" hidden="false" customHeight="true" outlineLevel="0" collapsed="false">
      <c r="A20" s="68" t="s">
        <v>2628</v>
      </c>
      <c r="B20" s="69" t="n">
        <f aca="false">F19/B24</f>
        <v>0.950698101007351</v>
      </c>
      <c r="C20" s="70"/>
      <c r="G20" s="61"/>
      <c r="I20" s="63"/>
    </row>
    <row r="21" customFormat="false" ht="15.75" hidden="false" customHeight="false" outlineLevel="0" collapsed="false">
      <c r="A21" s="71" t="s">
        <v>2629</v>
      </c>
      <c r="B21" s="71" t="n">
        <f aca="false">SUM(B3:B18)</f>
        <v>14.692</v>
      </c>
      <c r="C21" s="66"/>
      <c r="G21" s="61"/>
      <c r="I21" s="63"/>
    </row>
    <row r="22" customFormat="false" ht="15.75" hidden="false" customHeight="false" outlineLevel="0" collapsed="false">
      <c r="A22" s="0" t="s">
        <v>2630</v>
      </c>
      <c r="B22" s="72" t="n">
        <f aca="false">B21/B23</f>
        <v>69.9619047619048</v>
      </c>
      <c r="C22" s="66"/>
      <c r="G22" s="61"/>
      <c r="I22" s="63"/>
    </row>
    <row r="23" customFormat="false" ht="15.75" hidden="false" customHeight="false" outlineLevel="0" collapsed="false">
      <c r="A23" s="0" t="s">
        <v>2631</v>
      </c>
      <c r="B23" s="0" t="n">
        <v>0.21</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209</v>
      </c>
      <c r="B1" s="50"/>
      <c r="C1" s="50"/>
      <c r="D1" s="50"/>
      <c r="E1" s="51" t="s">
        <v>2619</v>
      </c>
      <c r="F1" s="51"/>
      <c r="G1" s="52" t="s">
        <v>2881</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1998</v>
      </c>
      <c r="B4" s="57" t="n">
        <v>7.67</v>
      </c>
      <c r="C4" s="58" t="n">
        <f aca="false">B4/B$22*B$24</f>
        <v>12.0534311157674</v>
      </c>
      <c r="D4" s="57" t="s">
        <v>434</v>
      </c>
      <c r="E4" s="59" t="n">
        <f aca="false">IFERROR(INDEX(Correspondance!$D$2:$D$3000,MATCH(A4,Correspondance!$A$2:$A$3000,0)),0)</f>
        <v>5.6</v>
      </c>
      <c r="F4" s="60" t="n">
        <f aca="false">C4*E4</f>
        <v>67.4992142482975</v>
      </c>
      <c r="G4" s="61" t="s">
        <v>2882</v>
      </c>
    </row>
    <row r="5" customFormat="false" ht="15.75" hidden="false" customHeight="false" outlineLevel="0" collapsed="false">
      <c r="A5" s="57" t="s">
        <v>949</v>
      </c>
      <c r="B5" s="57" t="n">
        <v>6.71</v>
      </c>
      <c r="C5" s="58" t="n">
        <f aca="false">B5/B$22*B$24</f>
        <v>10.5447878470403</v>
      </c>
      <c r="D5" s="57" t="s">
        <v>434</v>
      </c>
      <c r="E5" s="59" t="n">
        <f aca="false">IFERROR(INDEX(Correspondance!$D$2:$D$3000,MATCH(A5,Correspondance!$A$2:$A$3000,0)),0)</f>
        <v>2.4</v>
      </c>
      <c r="F5" s="60" t="n">
        <f aca="false">C5*E5</f>
        <v>25.3074908328968</v>
      </c>
      <c r="G5" s="61"/>
      <c r="I5" s="62"/>
    </row>
    <row r="6" customFormat="false" ht="15.75" hidden="false" customHeight="false" outlineLevel="0" collapsed="false">
      <c r="A6" s="57" t="s">
        <v>1694</v>
      </c>
      <c r="B6" s="57" t="n">
        <v>3.83</v>
      </c>
      <c r="C6" s="58" t="n">
        <f aca="false">B6/B$22*B$24</f>
        <v>6.01885804085909</v>
      </c>
      <c r="D6" s="57" t="s">
        <v>682</v>
      </c>
      <c r="E6" s="59" t="n">
        <f aca="false">IFERROR(INDEX(Correspondance!$D$2:$D$3000,MATCH(A6,Correspondance!$A$2:$A$3000,0)),0)</f>
        <v>2.4</v>
      </c>
      <c r="F6" s="60" t="n">
        <f aca="false">C6*E6</f>
        <v>14.4452592980618</v>
      </c>
      <c r="G6" s="61"/>
      <c r="I6" s="63"/>
    </row>
    <row r="7" customFormat="false" ht="15.75" hidden="false" customHeight="false" outlineLevel="0" collapsed="false">
      <c r="A7" s="57" t="s">
        <v>1491</v>
      </c>
      <c r="B7" s="57" t="n">
        <v>0.288</v>
      </c>
      <c r="C7" s="58" t="n">
        <f aca="false">B7/B$22*B$24</f>
        <v>0.452592980618125</v>
      </c>
      <c r="D7" s="57" t="s">
        <v>434</v>
      </c>
      <c r="E7" s="59" t="n">
        <f aca="false">IFERROR(INDEX(Correspondance!$D$2:$D$3000,MATCH(A7,Correspondance!$A$2:$A$3000,0)),0)</f>
        <v>9</v>
      </c>
      <c r="F7" s="60" t="n">
        <f aca="false">C7*E7</f>
        <v>4.07333682556312</v>
      </c>
      <c r="G7" s="61"/>
      <c r="I7" s="63"/>
    </row>
    <row r="8" customFormat="false" ht="15.75" hidden="false" customHeight="false" outlineLevel="0" collapsed="false">
      <c r="A8" s="57" t="s">
        <v>1616</v>
      </c>
      <c r="B8" s="57" t="n">
        <v>0.288</v>
      </c>
      <c r="C8" s="58" t="n">
        <f aca="false">B8/B$22*B$24</f>
        <v>0.452592980618125</v>
      </c>
      <c r="D8" s="57" t="s">
        <v>434</v>
      </c>
      <c r="E8" s="59" t="n">
        <f aca="false">IFERROR(INDEX(Correspondance!$D$2:$D$3000,MATCH(A8,Correspondance!$A$2:$A$3000,0)),0)</f>
        <v>0.85</v>
      </c>
      <c r="F8" s="60" t="n">
        <f aca="false">C8*E8</f>
        <v>0.384704033525406</v>
      </c>
      <c r="G8" s="61"/>
      <c r="I8" s="63"/>
    </row>
    <row r="9" customFormat="false" ht="15.75" hidden="false" customHeight="false" outlineLevel="0" collapsed="false">
      <c r="A9" s="57" t="s">
        <v>1576</v>
      </c>
      <c r="B9" s="57" t="n">
        <v>0.959</v>
      </c>
      <c r="C9" s="58" t="n">
        <f aca="false">B9/B$22*B$24</f>
        <v>1.50707176532216</v>
      </c>
      <c r="D9" s="57" t="s">
        <v>434</v>
      </c>
      <c r="E9" s="59" t="n">
        <f aca="false">IFERROR(INDEX(Correspondance!$D$2:$D$3000,MATCH(A9,Correspondance!$A$2:$A$3000,0)),0)</f>
        <v>5.5</v>
      </c>
      <c r="F9" s="60" t="n">
        <f aca="false">C9*E9</f>
        <v>8.28889470927187</v>
      </c>
      <c r="G9" s="61"/>
      <c r="I9" s="63"/>
    </row>
    <row r="10" customFormat="false" ht="15.75" hidden="false" customHeight="false" outlineLevel="0" collapsed="false">
      <c r="A10" s="57" t="s">
        <v>706</v>
      </c>
      <c r="B10" s="57" t="n">
        <v>0.767</v>
      </c>
      <c r="C10" s="58" t="n">
        <f aca="false">B10/B$22*B$24</f>
        <v>1.20534311157674</v>
      </c>
      <c r="D10" s="57" t="s">
        <v>434</v>
      </c>
      <c r="E10" s="59" t="n">
        <f aca="false">IFERROR(INDEX(Correspondance!$D$2:$D$3000,MATCH(A10,Correspondance!$A$2:$A$3000,0)),0)</f>
        <v>7.5</v>
      </c>
      <c r="F10" s="60" t="n">
        <f aca="false">C10*E10</f>
        <v>9.04007333682556</v>
      </c>
      <c r="G10" s="61"/>
      <c r="I10" s="63"/>
    </row>
    <row r="11" customFormat="false" ht="15.75" hidden="false" customHeight="false" outlineLevel="0" collapsed="false">
      <c r="A11" s="57" t="s">
        <v>1001</v>
      </c>
      <c r="B11" s="57" t="n">
        <v>0.383</v>
      </c>
      <c r="C11" s="58" t="n">
        <f aca="false">B11/B$22*B$24</f>
        <v>0.601885804085909</v>
      </c>
      <c r="D11" s="57" t="s">
        <v>434</v>
      </c>
      <c r="E11" s="59" t="n">
        <f aca="false">IFERROR(INDEX(Correspondance!$D$2:$D$3000,MATCH(A11,Correspondance!$A$2:$A$3000,0)),0)</f>
        <v>1.8</v>
      </c>
      <c r="F11" s="60" t="n">
        <f aca="false">C11*E11</f>
        <v>1.08339444735464</v>
      </c>
      <c r="G11" s="61"/>
      <c r="I11" s="63"/>
    </row>
    <row r="12" customFormat="false" ht="18.75" hidden="false" customHeight="true" outlineLevel="0" collapsed="false">
      <c r="A12" s="57" t="s">
        <v>894</v>
      </c>
      <c r="B12" s="64" t="n">
        <v>0.038</v>
      </c>
      <c r="C12" s="58" t="n">
        <f aca="false">B12/B$22*B$24</f>
        <v>0.0597171293871137</v>
      </c>
      <c r="D12" s="57" t="s">
        <v>434</v>
      </c>
      <c r="E12" s="59" t="n">
        <f aca="false">IFERROR(INDEX(Correspondance!$D$2:$D$3000,MATCH(A12,Correspondance!$A$2:$A$3000,0)),0)</f>
        <v>5.5</v>
      </c>
      <c r="F12" s="60" t="n">
        <f aca="false">C12*E12</f>
        <v>0.328444211629125</v>
      </c>
      <c r="G12" s="61"/>
      <c r="I12" s="63"/>
    </row>
    <row r="13" customFormat="false" ht="18.75" hidden="false" customHeight="true" outlineLevel="0" collapsed="false">
      <c r="A13" s="57" t="s">
        <v>1919</v>
      </c>
      <c r="B13" s="64" t="n">
        <v>0.058</v>
      </c>
      <c r="C13" s="58" t="n">
        <f aca="false">B13/B$22*B$24</f>
        <v>0.0911471974855946</v>
      </c>
      <c r="D13" s="57" t="s">
        <v>434</v>
      </c>
      <c r="E13" s="59" t="n">
        <f aca="false">IFERROR(INDEX(Correspondance!$D$2:$D$3000,MATCH(A13,Correspondance!$A$2:$A$3000,0)),0)</f>
        <v>2</v>
      </c>
      <c r="F13" s="60" t="n">
        <f aca="false">C13*E13</f>
        <v>0.182294394971189</v>
      </c>
      <c r="G13" s="61"/>
      <c r="I13" s="63"/>
    </row>
    <row r="14" customFormat="false" ht="15.75" hidden="false" customHeight="false" outlineLevel="0" collapsed="false">
      <c r="A14" s="57" t="s">
        <v>1796</v>
      </c>
      <c r="B14" s="57" t="n">
        <v>0.008</v>
      </c>
      <c r="C14" s="58" t="n">
        <f aca="false">B14/B$22*B$24</f>
        <v>0.0125720272393924</v>
      </c>
      <c r="D14" s="57" t="s">
        <v>434</v>
      </c>
      <c r="E14" s="59" t="n">
        <f aca="false">IFERROR(INDEX(Correspondance!$D$2:$D$3000,MATCH(A14,Correspondance!$A$2:$A$3000,0)),0)</f>
        <v>18</v>
      </c>
      <c r="F14" s="60" t="n">
        <f aca="false">C14*E14</f>
        <v>0.226296490309062</v>
      </c>
      <c r="G14" s="61"/>
      <c r="I14" s="63"/>
    </row>
    <row r="15" customFormat="false" ht="15.75" hidden="false" customHeight="false" outlineLevel="0" collapsed="false">
      <c r="A15" s="57" t="s">
        <v>1732</v>
      </c>
      <c r="B15" s="57"/>
      <c r="C15" s="58" t="n">
        <f aca="false">B15/B$22*B$24</f>
        <v>0</v>
      </c>
      <c r="D15" s="57" t="s">
        <v>434</v>
      </c>
      <c r="E15" s="59" t="n">
        <f aca="false">IFERROR(INDEX(Correspondance!$D$2:$D$3000,MATCH(A15,Correspondance!$A$2:$A$3000,0)),0)</f>
        <v>30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130.859402828706</v>
      </c>
      <c r="G19" s="61"/>
      <c r="I19" s="63"/>
    </row>
    <row r="20" customFormat="false" ht="18.75" hidden="false" customHeight="true" outlineLevel="0" collapsed="false">
      <c r="A20" s="68" t="s">
        <v>2628</v>
      </c>
      <c r="B20" s="69" t="n">
        <f aca="false">F19/B24</f>
        <v>1.18963093480642</v>
      </c>
      <c r="C20" s="70"/>
      <c r="G20" s="61"/>
      <c r="I20" s="63"/>
    </row>
    <row r="21" customFormat="false" ht="15.75" hidden="false" customHeight="false" outlineLevel="0" collapsed="false">
      <c r="A21" s="71" t="s">
        <v>2629</v>
      </c>
      <c r="B21" s="71" t="n">
        <f aca="false">SUM(B3:B18)</f>
        <v>20.999</v>
      </c>
      <c r="C21" s="66"/>
      <c r="G21" s="61"/>
      <c r="I21" s="63"/>
    </row>
    <row r="22" customFormat="false" ht="15.75" hidden="false" customHeight="false" outlineLevel="0" collapsed="false">
      <c r="A22" s="0" t="s">
        <v>2630</v>
      </c>
      <c r="B22" s="72" t="n">
        <f aca="false">B21/B23</f>
        <v>69.9966666666667</v>
      </c>
      <c r="C22" s="66"/>
      <c r="G22" s="61"/>
      <c r="I22" s="63"/>
    </row>
    <row r="23" customFormat="false" ht="15.75" hidden="false" customHeight="false" outlineLevel="0" collapsed="false">
      <c r="A23" s="0" t="s">
        <v>2631</v>
      </c>
      <c r="B23" s="0" t="n">
        <v>0.3</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2883</v>
      </c>
      <c r="B1" s="50"/>
      <c r="C1" s="50"/>
      <c r="D1" s="50"/>
      <c r="E1" s="51" t="s">
        <v>2619</v>
      </c>
      <c r="F1" s="51"/>
      <c r="G1" s="75" t="s">
        <v>2884</v>
      </c>
    </row>
    <row r="2" customFormat="false" ht="24.75" hidden="false" customHeight="true" outlineLevel="0" collapsed="false">
      <c r="A2" s="50"/>
      <c r="B2" s="50"/>
      <c r="C2" s="50"/>
      <c r="D2" s="50"/>
      <c r="E2" s="53" t="s">
        <v>2636</v>
      </c>
      <c r="F2" s="53"/>
      <c r="G2" s="75"/>
    </row>
    <row r="3" customFormat="false" ht="51.75" hidden="false" customHeight="true" outlineLevel="0" collapsed="false">
      <c r="A3" s="54" t="s">
        <v>2588</v>
      </c>
      <c r="B3" s="55" t="s">
        <v>2622</v>
      </c>
      <c r="C3" s="55" t="s">
        <v>2623</v>
      </c>
      <c r="D3" s="56" t="s">
        <v>2624</v>
      </c>
      <c r="E3" s="56" t="s">
        <v>2625</v>
      </c>
      <c r="F3" s="56" t="s">
        <v>2626</v>
      </c>
      <c r="G3" s="75"/>
    </row>
    <row r="4" customFormat="false" ht="16.5" hidden="false" customHeight="true" outlineLevel="0" collapsed="false">
      <c r="A4" s="57" t="s">
        <v>1660</v>
      </c>
      <c r="B4" s="57" t="n">
        <v>1.46</v>
      </c>
      <c r="C4" s="58" t="n">
        <f aca="false">B4/B$23*B$25</f>
        <v>2.29313914471336</v>
      </c>
      <c r="D4" s="57" t="s">
        <v>434</v>
      </c>
      <c r="E4" s="59" t="n">
        <f aca="false">IFERROR(INDEX(Correspondance!$D$2:$D$3000,MATCH(A4,Correspondance!$A$2:$A$3000,0)),0)</f>
        <v>4</v>
      </c>
      <c r="F4" s="77" t="n">
        <f aca="false">C4*E4</f>
        <v>9.17255657885343</v>
      </c>
      <c r="G4" s="78" t="s">
        <v>2885</v>
      </c>
    </row>
    <row r="5" customFormat="false" ht="15.75" hidden="false" customHeight="false" outlineLevel="0" collapsed="false">
      <c r="A5" s="57" t="s">
        <v>1712</v>
      </c>
      <c r="B5" s="57" t="n">
        <v>0.719</v>
      </c>
      <c r="C5" s="58" t="n">
        <f aca="false">B5/B$23*B$25</f>
        <v>1.12929249660884</v>
      </c>
      <c r="D5" s="57" t="s">
        <v>434</v>
      </c>
      <c r="E5" s="59" t="n">
        <f aca="false">IFERROR(INDEX(Correspondance!$D$2:$D$3000,MATCH(A5,Correspondance!$A$2:$A$3000,0)),0)</f>
        <v>2.2</v>
      </c>
      <c r="F5" s="77" t="n">
        <f aca="false">C5*E5</f>
        <v>2.48444349253945</v>
      </c>
      <c r="G5" s="78"/>
      <c r="I5" s="62"/>
    </row>
    <row r="6" customFormat="false" ht="15.75" hidden="false" customHeight="false" outlineLevel="0" collapsed="false">
      <c r="A6" s="57" t="s">
        <v>1822</v>
      </c>
      <c r="B6" s="57" t="n">
        <v>0.911</v>
      </c>
      <c r="C6" s="58" t="n">
        <f aca="false">B6/B$23*B$25</f>
        <v>1.43085600057114</v>
      </c>
      <c r="D6" s="57" t="s">
        <v>434</v>
      </c>
      <c r="E6" s="59" t="n">
        <f aca="false">IFERROR(INDEX(Correspondance!$D$2:$D$3000,MATCH(A6,Correspondance!$A$2:$A$3000,0)),0)</f>
        <v>3</v>
      </c>
      <c r="F6" s="77" t="n">
        <f aca="false">C6*E6</f>
        <v>4.29256800171343</v>
      </c>
      <c r="G6" s="78"/>
      <c r="I6" s="63"/>
    </row>
    <row r="7" customFormat="false" ht="15.75" hidden="false" customHeight="false" outlineLevel="0" collapsed="false">
      <c r="A7" s="57" t="s">
        <v>1744</v>
      </c>
      <c r="B7" s="57" t="n">
        <v>0.425</v>
      </c>
      <c r="C7" s="58" t="n">
        <f aca="false">B7/B$23*B$25</f>
        <v>0.66752338116656</v>
      </c>
      <c r="D7" s="57" t="s">
        <v>434</v>
      </c>
      <c r="E7" s="59" t="n">
        <f aca="false">IFERROR(INDEX(Correspondance!$D$2:$D$3000,MATCH(A7,Correspondance!$A$2:$A$3000,0)),0)</f>
        <v>2.5</v>
      </c>
      <c r="F7" s="77" t="n">
        <f aca="false">C7*E7</f>
        <v>1.6688084529164</v>
      </c>
      <c r="G7" s="78"/>
      <c r="I7" s="63"/>
    </row>
    <row r="8" customFormat="false" ht="15.75" hidden="false" customHeight="false" outlineLevel="0" collapsed="false">
      <c r="A8" s="57" t="s">
        <v>894</v>
      </c>
      <c r="B8" s="57" t="n">
        <v>0.071</v>
      </c>
      <c r="C8" s="58" t="n">
        <f aca="false">B8/B$23*B$25</f>
        <v>0.111515670736061</v>
      </c>
      <c r="D8" s="57" t="s">
        <v>434</v>
      </c>
      <c r="E8" s="59" t="n">
        <f aca="false">IFERROR(INDEX(Correspondance!$D$2:$D$3000,MATCH(A8,Correspondance!$A$2:$A$3000,0)),0)</f>
        <v>5.5</v>
      </c>
      <c r="F8" s="77" t="n">
        <f aca="false">C8*E8</f>
        <v>0.613336189048333</v>
      </c>
      <c r="G8" s="78"/>
      <c r="I8" s="63"/>
    </row>
    <row r="9" customFormat="false" ht="15.75" hidden="false" customHeight="false" outlineLevel="0" collapsed="false">
      <c r="A9" s="57" t="s">
        <v>1558</v>
      </c>
      <c r="B9" s="57" t="n">
        <v>3.32</v>
      </c>
      <c r="C9" s="58" t="n">
        <f aca="false">B9/B$23*B$25</f>
        <v>5.21453558934818</v>
      </c>
      <c r="D9" s="57" t="s">
        <v>434</v>
      </c>
      <c r="E9" s="59" t="n">
        <f aca="false">IFERROR(INDEX(Correspondance!$D$2:$D$3000,MATCH(A9,Correspondance!$A$2:$A$3000,0)),0)</f>
        <v>1.6</v>
      </c>
      <c r="F9" s="77" t="n">
        <f aca="false">C9*E9</f>
        <v>8.34325694295709</v>
      </c>
      <c r="G9" s="78"/>
      <c r="I9" s="63"/>
    </row>
    <row r="10" customFormat="false" ht="15.75" hidden="false" customHeight="false" outlineLevel="0" collapsed="false">
      <c r="A10" s="57" t="s">
        <v>1197</v>
      </c>
      <c r="B10" s="57" t="n">
        <v>0.293</v>
      </c>
      <c r="C10" s="58" t="n">
        <f aca="false">B10/B$23*B$25</f>
        <v>0.460198472192475</v>
      </c>
      <c r="D10" s="57" t="s">
        <v>434</v>
      </c>
      <c r="E10" s="59" t="n">
        <f aca="false">IFERROR(INDEX(Correspondance!$D$2:$D$3000,MATCH(A10,Correspondance!$A$2:$A$3000,0)),0)</f>
        <v>2.6</v>
      </c>
      <c r="F10" s="77" t="n">
        <f aca="false">C10*E10</f>
        <v>1.19651602770044</v>
      </c>
      <c r="G10" s="78"/>
      <c r="I10" s="63"/>
    </row>
    <row r="11" customFormat="false" ht="15.75" hidden="false" customHeight="false" outlineLevel="0" collapsed="false">
      <c r="A11" s="57" t="s">
        <v>1990</v>
      </c>
      <c r="B11" s="57" t="n">
        <v>4.05</v>
      </c>
      <c r="C11" s="58" t="n">
        <f aca="false">B11/B$23*B$25</f>
        <v>6.36110516170486</v>
      </c>
      <c r="D11" s="57" t="s">
        <v>434</v>
      </c>
      <c r="E11" s="59" t="n">
        <f aca="false">IFERROR(INDEX(Correspondance!$D$2:$D$3000,MATCH(A11,Correspondance!$A$2:$A$3000,0)),0)</f>
        <v>8</v>
      </c>
      <c r="F11" s="77" t="n">
        <f aca="false">C11*E11</f>
        <v>50.8888412936389</v>
      </c>
      <c r="G11" s="78"/>
      <c r="I11" s="63"/>
    </row>
    <row r="12" customFormat="false" ht="15.75" hidden="false" customHeight="false" outlineLevel="0" collapsed="false">
      <c r="A12" s="57" t="s">
        <v>1919</v>
      </c>
      <c r="B12" s="57" t="n">
        <v>0.061</v>
      </c>
      <c r="C12" s="58" t="n">
        <f aca="false">B12/B$23*B$25</f>
        <v>0.0958092382380238</v>
      </c>
      <c r="D12" s="57" t="s">
        <v>434</v>
      </c>
      <c r="E12" s="59" t="n">
        <f aca="false">IFERROR(INDEX(Correspondance!$D$2:$D$3000,MATCH(A12,Correspondance!$A$2:$A$3000,0)),0)</f>
        <v>2</v>
      </c>
      <c r="F12" s="77" t="n">
        <f aca="false">C12*E12</f>
        <v>0.191618476476048</v>
      </c>
      <c r="G12" s="78"/>
      <c r="I12" s="63"/>
    </row>
    <row r="13" customFormat="false" ht="18.75" hidden="false" customHeight="true" outlineLevel="0" collapsed="false">
      <c r="A13" s="57" t="s">
        <v>1608</v>
      </c>
      <c r="B13" s="64" t="n">
        <v>0.024</v>
      </c>
      <c r="C13" s="58" t="n">
        <f aca="false">B13/B$23*B$25</f>
        <v>0.0376954379952881</v>
      </c>
      <c r="D13" s="57"/>
      <c r="E13" s="59" t="n">
        <f aca="false">IFERROR(INDEX(Correspondance!$D$2:$D$3000,MATCH(A13,Correspondance!$A$2:$A$3000,0)),0)</f>
        <v>13</v>
      </c>
      <c r="F13" s="77" t="n">
        <f aca="false">C13*E13</f>
        <v>0.490040693938745</v>
      </c>
      <c r="G13" s="78"/>
      <c r="I13" s="63"/>
    </row>
    <row r="14" customFormat="false" ht="18.75" hidden="false" customHeight="true" outlineLevel="0" collapsed="false">
      <c r="A14" s="57" t="s">
        <v>1459</v>
      </c>
      <c r="B14" s="64" t="n">
        <v>2.39</v>
      </c>
      <c r="C14" s="58" t="n">
        <f aca="false">B14/B$23*B$25</f>
        <v>3.75383736703077</v>
      </c>
      <c r="D14" s="57"/>
      <c r="E14" s="59" t="n">
        <f aca="false">IFERROR(INDEX(Correspondance!$D$2:$D$3000,MATCH(A14,Correspondance!$A$2:$A$3000,0)),0)</f>
        <v>0</v>
      </c>
      <c r="F14" s="77" t="n">
        <f aca="false">C14*E14</f>
        <v>0</v>
      </c>
      <c r="G14" s="78"/>
      <c r="I14" s="63"/>
    </row>
    <row r="15" customFormat="false" ht="15.75" hidden="false" customHeight="false" outlineLevel="0" collapsed="false">
      <c r="A15" s="57" t="s">
        <v>1645</v>
      </c>
      <c r="B15" s="57" t="n">
        <v>0.101</v>
      </c>
      <c r="C15" s="58" t="n">
        <f aca="false">B15/B$23*B$25</f>
        <v>0.158634968230171</v>
      </c>
      <c r="D15" s="57"/>
      <c r="E15" s="59" t="n">
        <f aca="false">IFERROR(INDEX(Correspondance!$D$2:$D$3000,MATCH(A15,Correspondance!$A$2:$A$3000,0)),0)</f>
        <v>2.2</v>
      </c>
      <c r="F15" s="77" t="n">
        <f aca="false">C15*E15</f>
        <v>0.348996930106375</v>
      </c>
      <c r="G15" s="78"/>
      <c r="I15" s="63"/>
    </row>
    <row r="16" customFormat="false" ht="15.75" hidden="false" customHeight="false" outlineLevel="0" collapsed="false">
      <c r="A16" s="57" t="s">
        <v>1120</v>
      </c>
      <c r="B16" s="57" t="n">
        <v>0.182</v>
      </c>
      <c r="C16" s="58" t="n">
        <f aca="false">B16/B$23*B$25</f>
        <v>0.285857071464268</v>
      </c>
      <c r="D16" s="57"/>
      <c r="E16" s="59" t="n">
        <f aca="false">IFERROR(INDEX(Correspondance!$D$2:$D$3000,MATCH(A16,Correspondance!$A$2:$A$3000,0)),0)</f>
        <v>7.5</v>
      </c>
      <c r="F16" s="77" t="n">
        <f aca="false">C16*E16</f>
        <v>2.14392803598201</v>
      </c>
      <c r="G16" s="78"/>
      <c r="I16" s="63"/>
    </row>
    <row r="17" customFormat="false" ht="15.75" hidden="false" customHeight="false" outlineLevel="0" collapsed="false">
      <c r="A17" s="57"/>
      <c r="B17" s="57"/>
      <c r="C17" s="58" t="n">
        <f aca="false">B17/B$23*B$25</f>
        <v>0</v>
      </c>
      <c r="D17" s="57"/>
      <c r="E17" s="65"/>
      <c r="F17" s="77" t="n">
        <f aca="false">C17*E17</f>
        <v>0</v>
      </c>
      <c r="G17" s="78"/>
      <c r="I17" s="63"/>
    </row>
    <row r="18" customFormat="false" ht="15.75" hidden="false" customHeight="false" outlineLevel="0" collapsed="false">
      <c r="A18" s="57"/>
      <c r="B18" s="57"/>
      <c r="C18" s="58" t="n">
        <f aca="false">B18/B$23*B$25</f>
        <v>0</v>
      </c>
      <c r="D18" s="57"/>
      <c r="E18" s="65"/>
      <c r="F18" s="77" t="n">
        <f aca="false">C18*E18</f>
        <v>0</v>
      </c>
      <c r="G18" s="78"/>
      <c r="I18" s="63"/>
    </row>
    <row r="19" customFormat="false" ht="15.75" hidden="false" customHeight="false" outlineLevel="0" collapsed="false">
      <c r="A19" s="57"/>
      <c r="B19" s="57"/>
      <c r="C19" s="58" t="n">
        <f aca="false">B19/B$23*B$25</f>
        <v>0</v>
      </c>
      <c r="D19" s="57"/>
      <c r="E19" s="65"/>
      <c r="F19" s="77" t="n">
        <f aca="false">C19*E19</f>
        <v>0</v>
      </c>
      <c r="G19" s="78"/>
      <c r="I19" s="63"/>
    </row>
    <row r="20" customFormat="false" ht="15.75" hidden="false" customHeight="false" outlineLevel="0" collapsed="false">
      <c r="C20" s="66"/>
      <c r="F20" s="67" t="n">
        <f aca="false">SUM(F4:F19)</f>
        <v>81.8349111158706</v>
      </c>
      <c r="G20" s="78"/>
      <c r="I20" s="63"/>
    </row>
    <row r="21" customFormat="false" ht="18.75" hidden="false" customHeight="true" outlineLevel="0" collapsed="false">
      <c r="A21" s="68" t="s">
        <v>2628</v>
      </c>
      <c r="B21" s="69" t="n">
        <f aca="false">F20/B25</f>
        <v>0.743953737417006</v>
      </c>
      <c r="C21" s="70"/>
      <c r="G21" s="78"/>
      <c r="I21" s="63"/>
    </row>
    <row r="22" customFormat="false" ht="15.75" hidden="false" customHeight="false" outlineLevel="0" collapsed="false">
      <c r="A22" s="71" t="s">
        <v>2629</v>
      </c>
      <c r="B22" s="71" t="n">
        <f aca="false">SUM(B4:B19)</f>
        <v>14.007</v>
      </c>
      <c r="C22" s="66"/>
      <c r="G22" s="78"/>
      <c r="I22" s="63"/>
    </row>
    <row r="23" customFormat="false" ht="15.75" hidden="false" customHeight="false" outlineLevel="0" collapsed="false">
      <c r="A23" s="0" t="s">
        <v>2630</v>
      </c>
      <c r="B23" s="72" t="n">
        <f aca="false">B22/B24</f>
        <v>70.035</v>
      </c>
      <c r="C23" s="66"/>
      <c r="G23" s="78"/>
      <c r="I23" s="63"/>
    </row>
    <row r="24" customFormat="false" ht="15.75" hidden="false" customHeight="false" outlineLevel="0" collapsed="false">
      <c r="A24" s="0" t="s">
        <v>2631</v>
      </c>
      <c r="B24" s="0" t="n">
        <v>0.2</v>
      </c>
      <c r="C24" s="79" t="s">
        <v>2632</v>
      </c>
      <c r="G24" s="78"/>
      <c r="I24" s="63"/>
    </row>
    <row r="25" customFormat="false" ht="18.75" hidden="false" customHeight="true" outlineLevel="0" collapsed="false">
      <c r="A25" s="74" t="s">
        <v>2633</v>
      </c>
      <c r="B25" s="74" t="n">
        <f aca="false">Paramètres!$B$5</f>
        <v>110</v>
      </c>
      <c r="C25" s="79" t="s">
        <v>2634</v>
      </c>
      <c r="G25" s="78"/>
      <c r="I25" s="63"/>
    </row>
    <row r="26" customFormat="false" ht="15.75" hidden="false" customHeight="false" outlineLevel="0" collapsed="false">
      <c r="I26" s="63"/>
    </row>
  </sheetData>
  <mergeCells count="5">
    <mergeCell ref="A1:D2"/>
    <mergeCell ref="E1:F1"/>
    <mergeCell ref="G1:G3"/>
    <mergeCell ref="E2:F2"/>
    <mergeCell ref="G4:G2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212</v>
      </c>
      <c r="B1" s="50"/>
      <c r="C1" s="50"/>
      <c r="D1" s="50"/>
      <c r="E1" s="51" t="s">
        <v>2619</v>
      </c>
      <c r="F1" s="51"/>
      <c r="G1" s="52" t="s">
        <v>2886</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1864</v>
      </c>
      <c r="B4" s="57" t="n">
        <v>5.33</v>
      </c>
      <c r="C4" s="58" t="n">
        <f aca="false">B4/B$22*B$24</f>
        <v>8.37571428571429</v>
      </c>
      <c r="D4" s="57" t="s">
        <v>434</v>
      </c>
      <c r="E4" s="59" t="n">
        <f aca="false">IFERROR(INDEX(Correspondance!$D$2:$D$3000,MATCH(A4,Correspondance!$A$2:$A$3000,0)),0)</f>
        <v>4.17</v>
      </c>
      <c r="F4" s="60" t="n">
        <f aca="false">C4*E4</f>
        <v>34.9267285714286</v>
      </c>
      <c r="G4" s="61" t="s">
        <v>2887</v>
      </c>
    </row>
    <row r="5" customFormat="false" ht="15.75" hidden="false" customHeight="false" outlineLevel="0" collapsed="false">
      <c r="A5" s="57" t="s">
        <v>1640</v>
      </c>
      <c r="B5" s="57" t="n">
        <v>2.66</v>
      </c>
      <c r="C5" s="58" t="n">
        <f aca="false">B5/B$22*B$24</f>
        <v>4.18</v>
      </c>
      <c r="D5" s="57" t="s">
        <v>434</v>
      </c>
      <c r="E5" s="59" t="n">
        <f aca="false">IFERROR(INDEX(Correspondance!$D$2:$D$3000,MATCH(A5,Correspondance!$A$2:$A$3000,0)),0)</f>
        <v>2.8</v>
      </c>
      <c r="F5" s="60" t="n">
        <f aca="false">C5*E5</f>
        <v>11.704</v>
      </c>
      <c r="G5" s="61"/>
      <c r="I5" s="62"/>
    </row>
    <row r="6" customFormat="false" ht="15.75" hidden="false" customHeight="false" outlineLevel="0" collapsed="false">
      <c r="A6" s="57" t="s">
        <v>1580</v>
      </c>
      <c r="B6" s="57" t="n">
        <v>1.78</v>
      </c>
      <c r="C6" s="58" t="n">
        <f aca="false">B6/B$22*B$24</f>
        <v>2.79714285714286</v>
      </c>
      <c r="D6" s="57" t="s">
        <v>434</v>
      </c>
      <c r="E6" s="59" t="n">
        <f aca="false">IFERROR(INDEX(Correspondance!$D$2:$D$3000,MATCH(A6,Correspondance!$A$2:$A$3000,0)),0)</f>
        <v>5</v>
      </c>
      <c r="F6" s="60" t="n">
        <f aca="false">C6*E6</f>
        <v>13.9857142857143</v>
      </c>
      <c r="G6" s="61"/>
      <c r="I6" s="63"/>
    </row>
    <row r="7" customFormat="false" ht="15.75" hidden="false" customHeight="false" outlineLevel="0" collapsed="false">
      <c r="A7" s="57" t="s">
        <v>1003</v>
      </c>
      <c r="B7" s="57" t="n">
        <v>2.66</v>
      </c>
      <c r="C7" s="58" t="n">
        <f aca="false">B7/B$22*B$24</f>
        <v>4.18</v>
      </c>
      <c r="D7" s="57" t="s">
        <v>434</v>
      </c>
      <c r="E7" s="59" t="n">
        <f aca="false">IFERROR(INDEX(Correspondance!$D$2:$D$3000,MATCH(A7,Correspondance!$A$2:$A$3000,0)),0)</f>
        <v>1.9</v>
      </c>
      <c r="F7" s="60" t="n">
        <f aca="false">C7*E7</f>
        <v>7.942</v>
      </c>
      <c r="G7" s="61"/>
      <c r="I7" s="63"/>
    </row>
    <row r="8" customFormat="false" ht="15.75" hidden="false" customHeight="false" outlineLevel="0" collapsed="false">
      <c r="A8" s="57" t="s">
        <v>587</v>
      </c>
      <c r="B8" s="57" t="n">
        <v>2.66</v>
      </c>
      <c r="C8" s="58" t="n">
        <f aca="false">B8/B$22*B$24</f>
        <v>4.18</v>
      </c>
      <c r="D8" s="57" t="s">
        <v>434</v>
      </c>
      <c r="E8" s="59" t="n">
        <f aca="false">IFERROR(INDEX(Correspondance!$D$2:$D$3000,MATCH(A8,Correspondance!$A$2:$A$3000,0)),0)</f>
        <v>8</v>
      </c>
      <c r="F8" s="60" t="n">
        <f aca="false">C8*E8</f>
        <v>33.44</v>
      </c>
      <c r="G8" s="61"/>
      <c r="I8" s="63"/>
    </row>
    <row r="9" customFormat="false" ht="15.75" hidden="false" customHeight="false" outlineLevel="0" collapsed="false">
      <c r="A9" s="57" t="s">
        <v>1617</v>
      </c>
      <c r="B9" s="57" t="n">
        <v>0.178</v>
      </c>
      <c r="C9" s="58" t="n">
        <f aca="false">B9/B$22*B$24</f>
        <v>0.279714285714286</v>
      </c>
      <c r="D9" s="57" t="s">
        <v>434</v>
      </c>
      <c r="E9" s="59" t="n">
        <f aca="false">IFERROR(INDEX(Correspondance!$D$2:$D$3000,MATCH(A9,Correspondance!$A$2:$A$3000,0)),0)</f>
        <v>0.85</v>
      </c>
      <c r="F9" s="60" t="n">
        <f aca="false">C9*E9</f>
        <v>0.237757142857143</v>
      </c>
      <c r="G9" s="61"/>
      <c r="I9" s="63"/>
    </row>
    <row r="10" customFormat="false" ht="15.75" hidden="false" customHeight="false" outlineLevel="0" collapsed="false">
      <c r="A10" s="57" t="s">
        <v>1675</v>
      </c>
      <c r="B10" s="57" t="n">
        <v>0.089</v>
      </c>
      <c r="C10" s="58" t="n">
        <f aca="false">B10/B$22*B$24</f>
        <v>0.139857142857143</v>
      </c>
      <c r="D10" s="57" t="s">
        <v>682</v>
      </c>
      <c r="E10" s="59" t="n">
        <f aca="false">IFERROR(INDEX(Correspondance!$D$2:$D$3000,MATCH(A10,Correspondance!$A$2:$A$3000,0)),0)</f>
        <v>2.2</v>
      </c>
      <c r="F10" s="60" t="n">
        <f aca="false">C10*E10</f>
        <v>0.307685714285714</v>
      </c>
      <c r="G10" s="61"/>
      <c r="I10" s="63"/>
    </row>
    <row r="11" customFormat="false" ht="15.75" hidden="false" customHeight="false" outlineLevel="0" collapsed="false">
      <c r="A11" s="57" t="s">
        <v>1919</v>
      </c>
      <c r="B11" s="57" t="n">
        <v>0.036</v>
      </c>
      <c r="C11" s="58" t="n">
        <f aca="false">B11/B$22*B$24</f>
        <v>0.0565714285714286</v>
      </c>
      <c r="D11" s="57" t="s">
        <v>434</v>
      </c>
      <c r="E11" s="59" t="n">
        <f aca="false">IFERROR(INDEX(Correspondance!$D$2:$D$3000,MATCH(A11,Correspondance!$A$2:$A$3000,0)),0)</f>
        <v>2</v>
      </c>
      <c r="F11" s="60" t="n">
        <f aca="false">C11*E11</f>
        <v>0.113142857142857</v>
      </c>
      <c r="G11" s="61"/>
      <c r="I11" s="63"/>
    </row>
    <row r="12" customFormat="false" ht="18.75" hidden="false" customHeight="true" outlineLevel="0" collapsed="false">
      <c r="A12" s="57" t="s">
        <v>1796</v>
      </c>
      <c r="B12" s="64" t="n">
        <v>0.007</v>
      </c>
      <c r="C12" s="58" t="n">
        <f aca="false">B12/B$22*B$24</f>
        <v>0.011</v>
      </c>
      <c r="D12" s="57" t="s">
        <v>434</v>
      </c>
      <c r="E12" s="59" t="n">
        <f aca="false">IFERROR(INDEX(Correspondance!$D$2:$D$3000,MATCH(A12,Correspondance!$A$2:$A$3000,0)),0)</f>
        <v>18</v>
      </c>
      <c r="F12" s="60" t="n">
        <f aca="false">C12*E12</f>
        <v>0.198</v>
      </c>
      <c r="G12" s="61"/>
      <c r="I12" s="63"/>
    </row>
    <row r="13" customFormat="false" ht="18.75" hidden="false" customHeight="true" outlineLevel="0" collapsed="false">
      <c r="A13" s="57" t="s">
        <v>1732</v>
      </c>
      <c r="B13" s="64"/>
      <c r="C13" s="58" t="n">
        <f aca="false">B13/B$22*B$24</f>
        <v>0</v>
      </c>
      <c r="D13" s="57" t="s">
        <v>434</v>
      </c>
      <c r="E13" s="59" t="n">
        <f aca="false">IFERROR(INDEX(Correspondance!$D$2:$D$3000,MATCH(A13,Correspondance!$A$2:$A$3000,0)),0)</f>
        <v>30</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102.855028571429</v>
      </c>
      <c r="G19" s="61"/>
      <c r="I19" s="63"/>
    </row>
    <row r="20" customFormat="false" ht="18.75" hidden="false" customHeight="true" outlineLevel="0" collapsed="false">
      <c r="A20" s="68" t="s">
        <v>2628</v>
      </c>
      <c r="B20" s="69" t="n">
        <f aca="false">F19/B24</f>
        <v>0.935045714285714</v>
      </c>
      <c r="C20" s="70"/>
      <c r="G20" s="61"/>
      <c r="I20" s="63"/>
    </row>
    <row r="21" customFormat="false" ht="15.75" hidden="false" customHeight="false" outlineLevel="0" collapsed="false">
      <c r="A21" s="71" t="s">
        <v>2629</v>
      </c>
      <c r="B21" s="71" t="n">
        <f aca="false">SUM(B3:B18)</f>
        <v>15.4</v>
      </c>
      <c r="C21" s="66"/>
      <c r="G21" s="61"/>
      <c r="I21" s="63"/>
    </row>
    <row r="22" customFormat="false" ht="15.75" hidden="false" customHeight="false" outlineLevel="0" collapsed="false">
      <c r="A22" s="0" t="s">
        <v>2630</v>
      </c>
      <c r="B22" s="72" t="n">
        <f aca="false">B21/B23</f>
        <v>70</v>
      </c>
      <c r="C22" s="66"/>
      <c r="G22" s="61"/>
      <c r="I22" s="63"/>
    </row>
    <row r="23" customFormat="false" ht="15.75" hidden="false" customHeight="false" outlineLevel="0" collapsed="false">
      <c r="A23" s="0" t="s">
        <v>2631</v>
      </c>
      <c r="B23" s="0" t="n">
        <v>0.22</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214</v>
      </c>
      <c r="B1" s="50"/>
      <c r="C1" s="50"/>
      <c r="D1" s="50"/>
      <c r="E1" s="51" t="s">
        <v>2619</v>
      </c>
      <c r="F1" s="51"/>
      <c r="G1" s="52" t="s">
        <v>2858</v>
      </c>
    </row>
    <row r="2" customFormat="false" ht="24.75" hidden="false" customHeight="true" outlineLevel="0" collapsed="false">
      <c r="A2" s="50"/>
      <c r="B2" s="50"/>
      <c r="C2" s="50"/>
      <c r="D2" s="50"/>
      <c r="E2" s="53" t="s">
        <v>2692</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1887</v>
      </c>
      <c r="B4" s="57" t="n">
        <v>7.21</v>
      </c>
      <c r="C4" s="58" t="n">
        <f aca="false">B4/B$22*B$24</f>
        <v>11.3326982614908</v>
      </c>
      <c r="D4" s="57" t="s">
        <v>434</v>
      </c>
      <c r="E4" s="59" t="n">
        <f aca="false">IFERROR(INDEX(Correspondance!$D$2:$D$3000,MATCH(A4,Correspondance!$A$2:$A$3000,0)),0)</f>
        <v>8.5</v>
      </c>
      <c r="F4" s="60" t="n">
        <f aca="false">C4*E4</f>
        <v>96.3279352226721</v>
      </c>
      <c r="G4" s="61" t="s">
        <v>2888</v>
      </c>
    </row>
    <row r="5" customFormat="false" ht="15.75" hidden="false" customHeight="false" outlineLevel="0" collapsed="false">
      <c r="A5" s="57" t="s">
        <v>1919</v>
      </c>
      <c r="B5" s="57" t="n">
        <v>0.072</v>
      </c>
      <c r="C5" s="58" t="n">
        <f aca="false">B5/B$22*B$24</f>
        <v>0.113169802333889</v>
      </c>
      <c r="D5" s="57" t="s">
        <v>434</v>
      </c>
      <c r="E5" s="59" t="n">
        <f aca="false">IFERROR(INDEX(Correspondance!$D$2:$D$3000,MATCH(A5,Correspondance!$A$2:$A$3000,0)),0)</f>
        <v>2</v>
      </c>
      <c r="F5" s="60" t="n">
        <f aca="false">C5*E5</f>
        <v>0.226339604667778</v>
      </c>
      <c r="G5" s="61"/>
      <c r="I5" s="62"/>
    </row>
    <row r="6" customFormat="false" ht="15.75" hidden="false" customHeight="false" outlineLevel="0" collapsed="false">
      <c r="A6" s="57" t="s">
        <v>1796</v>
      </c>
      <c r="B6" s="57" t="n">
        <v>0.006</v>
      </c>
      <c r="C6" s="58" t="n">
        <f aca="false">B6/B$22*B$24</f>
        <v>0.00943081686115742</v>
      </c>
      <c r="D6" s="57" t="s">
        <v>434</v>
      </c>
      <c r="E6" s="59" t="n">
        <f aca="false">IFERROR(INDEX(Correspondance!$D$2:$D$3000,MATCH(A6,Correspondance!$A$2:$A$3000,0)),0)</f>
        <v>18</v>
      </c>
      <c r="F6" s="60" t="n">
        <f aca="false">C6*E6</f>
        <v>0.169754703500834</v>
      </c>
      <c r="G6" s="61"/>
      <c r="I6" s="63"/>
    </row>
    <row r="7" customFormat="false" ht="15.75" hidden="false" customHeight="false" outlineLevel="0" collapsed="false">
      <c r="A7" s="57" t="s">
        <v>1675</v>
      </c>
      <c r="B7" s="57" t="n">
        <v>0.108</v>
      </c>
      <c r="C7" s="58" t="n">
        <f aca="false">B7/B$22*B$24</f>
        <v>0.169754703500834</v>
      </c>
      <c r="D7" s="57" t="s">
        <v>682</v>
      </c>
      <c r="E7" s="59" t="n">
        <f aca="false">IFERROR(INDEX(Correspondance!$D$2:$D$3000,MATCH(A7,Correspondance!$A$2:$A$3000,0)),0)</f>
        <v>2.2</v>
      </c>
      <c r="F7" s="60" t="n">
        <f aca="false">C7*E7</f>
        <v>0.373460347701834</v>
      </c>
      <c r="G7" s="61"/>
      <c r="I7" s="63"/>
    </row>
    <row r="8" customFormat="false" ht="15.75" hidden="false" customHeight="false" outlineLevel="0" collapsed="false">
      <c r="A8" s="57" t="s">
        <v>1954</v>
      </c>
      <c r="B8" s="57"/>
      <c r="C8" s="58" t="n">
        <f aca="false">B8/B$22*B$24</f>
        <v>0</v>
      </c>
      <c r="D8" s="57" t="s">
        <v>434</v>
      </c>
      <c r="E8" s="59" t="n">
        <f aca="false">IFERROR(INDEX(Correspondance!$D$2:$D$3000,MATCH(A8,Correspondance!$A$2:$A$3000,0)),0)</f>
        <v>16</v>
      </c>
      <c r="F8" s="60" t="n">
        <f aca="false">C8*E8</f>
        <v>0</v>
      </c>
      <c r="G8" s="61"/>
      <c r="I8" s="63"/>
    </row>
    <row r="9" customFormat="false" ht="15.75" hidden="false" customHeight="false" outlineLevel="0" collapsed="false">
      <c r="A9" s="57" t="s">
        <v>1001</v>
      </c>
      <c r="B9" s="57" t="n">
        <v>0.216</v>
      </c>
      <c r="C9" s="58" t="n">
        <f aca="false">B9/B$22*B$24</f>
        <v>0.339509407001667</v>
      </c>
      <c r="D9" s="57" t="s">
        <v>434</v>
      </c>
      <c r="E9" s="59" t="n">
        <f aca="false">IFERROR(INDEX(Correspondance!$D$2:$D$3000,MATCH(A9,Correspondance!$A$2:$A$3000,0)),0)</f>
        <v>1.8</v>
      </c>
      <c r="F9" s="60" t="n">
        <f aca="false">C9*E9</f>
        <v>0.611116932603001</v>
      </c>
      <c r="G9" s="61"/>
      <c r="I9" s="63"/>
    </row>
    <row r="10" customFormat="false" ht="15.75" hidden="false" customHeight="false" outlineLevel="0" collapsed="false">
      <c r="A10" s="57" t="s">
        <v>1100</v>
      </c>
      <c r="B10" s="57" t="n">
        <v>0.029</v>
      </c>
      <c r="C10" s="58" t="n">
        <f aca="false">B10/B$22*B$24</f>
        <v>0.0455822814955942</v>
      </c>
      <c r="D10" s="57" t="s">
        <v>434</v>
      </c>
      <c r="E10" s="59" t="n">
        <f aca="false">IFERROR(INDEX(Correspondance!$D$2:$D$3000,MATCH(A10,Correspondance!$A$2:$A$3000,0)),0)</f>
        <v>10</v>
      </c>
      <c r="F10" s="60" t="n">
        <f aca="false">C10*E10</f>
        <v>0.455822814955942</v>
      </c>
      <c r="G10" s="61"/>
      <c r="I10" s="63"/>
    </row>
    <row r="11" customFormat="false" ht="15.75" hidden="false" customHeight="false" outlineLevel="0" collapsed="false">
      <c r="A11" s="57" t="s">
        <v>1459</v>
      </c>
      <c r="B11" s="57" t="n">
        <v>0.721</v>
      </c>
      <c r="C11" s="58" t="n">
        <f aca="false">B11/B$22*B$24</f>
        <v>1.13326982614908</v>
      </c>
      <c r="D11" s="57" t="s">
        <v>682</v>
      </c>
      <c r="E11" s="59" t="n">
        <f aca="false">IFERROR(INDEX(Correspondance!$D$2:$D$3000,MATCH(A11,Correspondance!$A$2:$A$3000,0)),0)</f>
        <v>0</v>
      </c>
      <c r="F11" s="60" t="n">
        <f aca="false">C11*E11</f>
        <v>0</v>
      </c>
      <c r="G11" s="61"/>
      <c r="I11" s="63"/>
    </row>
    <row r="12" customFormat="false" ht="18.75" hidden="false" customHeight="true" outlineLevel="0" collapsed="false">
      <c r="A12" s="57" t="s">
        <v>1084</v>
      </c>
      <c r="B12" s="64" t="n">
        <v>0.036</v>
      </c>
      <c r="C12" s="58" t="n">
        <f aca="false">B12/B$22*B$24</f>
        <v>0.0565849011669445</v>
      </c>
      <c r="D12" s="57" t="s">
        <v>434</v>
      </c>
      <c r="E12" s="59" t="n">
        <f aca="false">IFERROR(INDEX(Correspondance!$D$2:$D$3000,MATCH(A12,Correspondance!$A$2:$A$3000,0)),0)</f>
        <v>2.2</v>
      </c>
      <c r="F12" s="60" t="n">
        <f aca="false">C12*E12</f>
        <v>0.124486782567278</v>
      </c>
      <c r="G12" s="61"/>
      <c r="I12" s="63"/>
    </row>
    <row r="13" customFormat="false" ht="18.75" hidden="false" customHeight="true" outlineLevel="0" collapsed="false">
      <c r="A13" s="57"/>
      <c r="B13" s="64"/>
      <c r="C13" s="58" t="n">
        <f aca="false">B13/B$22*B$24</f>
        <v>0</v>
      </c>
      <c r="D13" s="57"/>
      <c r="E13" s="65" t="n">
        <f aca="false">IFERROR(INDEX(Correspondance!$D$2:$D$3000,MATCH(A13,Correspondance!$A$2:$A$3000,0)),0)</f>
        <v>0</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98.2889164086687</v>
      </c>
      <c r="G19" s="61"/>
      <c r="I19" s="63"/>
    </row>
    <row r="20" customFormat="false" ht="18.75" hidden="false" customHeight="true" outlineLevel="0" collapsed="false">
      <c r="A20" s="68" t="s">
        <v>2628</v>
      </c>
      <c r="B20" s="69" t="n">
        <f aca="false">F19/B24</f>
        <v>0.89353560371517</v>
      </c>
      <c r="C20" s="70"/>
      <c r="G20" s="61"/>
      <c r="I20" s="63"/>
    </row>
    <row r="21" customFormat="false" ht="15.75" hidden="false" customHeight="false" outlineLevel="0" collapsed="false">
      <c r="A21" s="71" t="s">
        <v>2629</v>
      </c>
      <c r="B21" s="71" t="n">
        <f aca="false">SUM(B3:B18)</f>
        <v>8.398</v>
      </c>
      <c r="C21" s="66"/>
      <c r="G21" s="61"/>
      <c r="I21" s="63"/>
    </row>
    <row r="22" customFormat="false" ht="15.75" hidden="false" customHeight="false" outlineLevel="0" collapsed="false">
      <c r="A22" s="0" t="s">
        <v>2630</v>
      </c>
      <c r="B22" s="72" t="n">
        <f aca="false">B21/B23</f>
        <v>69.9833333333333</v>
      </c>
      <c r="C22" s="66"/>
      <c r="G22" s="61"/>
      <c r="I22" s="63"/>
    </row>
    <row r="23" customFormat="false" ht="15.75" hidden="false" customHeight="false" outlineLevel="0" collapsed="false">
      <c r="A23" s="0" t="s">
        <v>2631</v>
      </c>
      <c r="B23" s="0" t="n">
        <v>0.12</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216</v>
      </c>
      <c r="B1" s="50"/>
      <c r="C1" s="50"/>
      <c r="D1" s="50"/>
      <c r="E1" s="51" t="s">
        <v>2619</v>
      </c>
      <c r="F1" s="51"/>
      <c r="G1" s="52" t="s">
        <v>2889</v>
      </c>
    </row>
    <row r="2" customFormat="false" ht="24.75" hidden="false" customHeight="true" outlineLevel="0" collapsed="false">
      <c r="A2" s="50"/>
      <c r="B2" s="50"/>
      <c r="C2" s="50"/>
      <c r="D2" s="50"/>
      <c r="E2" s="53" t="s">
        <v>2636</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1965</v>
      </c>
      <c r="B4" s="57" t="n">
        <v>9.45</v>
      </c>
      <c r="C4" s="58" t="n">
        <f aca="false">B4/B$22*B$24</f>
        <v>14.8559423769508</v>
      </c>
      <c r="D4" s="57" t="s">
        <v>434</v>
      </c>
      <c r="E4" s="59" t="n">
        <f aca="false">IFERROR(INDEX(Correspondance!$D$2:$D$3000,MATCH(A4,Correspondance!$A$2:$A$3000,0)),0)</f>
        <v>9</v>
      </c>
      <c r="F4" s="60" t="n">
        <f aca="false">C4*E4</f>
        <v>133.703481392557</v>
      </c>
      <c r="G4" s="61" t="s">
        <v>2890</v>
      </c>
    </row>
    <row r="5" customFormat="false" ht="15.75" hidden="false" customHeight="false" outlineLevel="0" collapsed="false">
      <c r="A5" s="57" t="s">
        <v>1973</v>
      </c>
      <c r="B5" s="57" t="n">
        <v>1.89</v>
      </c>
      <c r="C5" s="58" t="n">
        <f aca="false">B5/B$22*B$24</f>
        <v>2.97118847539016</v>
      </c>
      <c r="D5" s="57" t="s">
        <v>682</v>
      </c>
      <c r="E5" s="59" t="n">
        <f aca="false">IFERROR(INDEX(Correspondance!$D$2:$D$3000,MATCH(A5,Correspondance!$A$2:$A$3000,0)),0)</f>
        <v>2</v>
      </c>
      <c r="F5" s="60" t="n">
        <f aca="false">C5*E5</f>
        <v>5.94237695078031</v>
      </c>
      <c r="G5" s="61"/>
      <c r="I5" s="62"/>
    </row>
    <row r="6" customFormat="false" ht="15.75" hidden="false" customHeight="false" outlineLevel="0" collapsed="false">
      <c r="A6" s="57" t="s">
        <v>1459</v>
      </c>
      <c r="B6" s="57" t="n">
        <v>1.89</v>
      </c>
      <c r="C6" s="58" t="n">
        <f aca="false">B6/B$22*B$24</f>
        <v>2.97118847539016</v>
      </c>
      <c r="D6" s="57" t="s">
        <v>682</v>
      </c>
      <c r="E6" s="59" t="n">
        <f aca="false">IFERROR(INDEX(Correspondance!$D$2:$D$3000,MATCH(A6,Correspondance!$A$2:$A$3000,0)),0)</f>
        <v>0</v>
      </c>
      <c r="F6" s="60" t="n">
        <f aca="false">C6*E6</f>
        <v>0</v>
      </c>
      <c r="G6" s="61"/>
      <c r="I6" s="63"/>
    </row>
    <row r="7" customFormat="false" ht="15.75" hidden="false" customHeight="false" outlineLevel="0" collapsed="false">
      <c r="A7" s="57" t="s">
        <v>1098</v>
      </c>
      <c r="B7" s="57" t="n">
        <v>0.095</v>
      </c>
      <c r="C7" s="58" t="n">
        <f aca="false">B7/B$22*B$24</f>
        <v>0.149345452466701</v>
      </c>
      <c r="D7" s="57" t="s">
        <v>434</v>
      </c>
      <c r="E7" s="59" t="n">
        <f aca="false">IFERROR(INDEX(Correspondance!$D$2:$D$3000,MATCH(A7,Correspondance!$A$2:$A$3000,0)),0)</f>
        <v>12</v>
      </c>
      <c r="F7" s="60" t="n">
        <f aca="false">C7*E7</f>
        <v>1.79214542960041</v>
      </c>
      <c r="G7" s="61"/>
      <c r="I7" s="63"/>
    </row>
    <row r="8" customFormat="false" ht="15.75" hidden="false" customHeight="false" outlineLevel="0" collapsed="false">
      <c r="A8" s="57" t="s">
        <v>917</v>
      </c>
      <c r="B8" s="57" t="n">
        <v>0.945</v>
      </c>
      <c r="C8" s="58" t="n">
        <f aca="false">B8/B$22*B$24</f>
        <v>1.48559423769508</v>
      </c>
      <c r="D8" s="57" t="s">
        <v>434</v>
      </c>
      <c r="E8" s="59" t="n">
        <f aca="false">IFERROR(INDEX(Correspondance!$D$2:$D$3000,MATCH(A8,Correspondance!$A$2:$A$3000,0)),0)</f>
        <v>1.8</v>
      </c>
      <c r="F8" s="60" t="n">
        <f aca="false">C8*E8</f>
        <v>2.67406962785114</v>
      </c>
      <c r="G8" s="61"/>
      <c r="I8" s="63"/>
    </row>
    <row r="9" customFormat="false" ht="15.75" hidden="false" customHeight="false" outlineLevel="0" collapsed="false">
      <c r="A9" s="57" t="s">
        <v>1001</v>
      </c>
      <c r="B9" s="57" t="n">
        <v>0.945</v>
      </c>
      <c r="C9" s="58" t="n">
        <f aca="false">B9/B$22*B$24</f>
        <v>1.48559423769508</v>
      </c>
      <c r="D9" s="57" t="s">
        <v>434</v>
      </c>
      <c r="E9" s="59" t="n">
        <f aca="false">IFERROR(INDEX(Correspondance!$D$2:$D$3000,MATCH(A9,Correspondance!$A$2:$A$3000,0)),0)</f>
        <v>1.8</v>
      </c>
      <c r="F9" s="60" t="n">
        <f aca="false">C9*E9</f>
        <v>2.67406962785114</v>
      </c>
      <c r="G9" s="61"/>
      <c r="I9" s="63"/>
    </row>
    <row r="10" customFormat="false" ht="15.75" hidden="false" customHeight="false" outlineLevel="0" collapsed="false">
      <c r="A10" s="57" t="s">
        <v>1957</v>
      </c>
      <c r="B10" s="57" t="n">
        <v>1.89</v>
      </c>
      <c r="C10" s="58" t="n">
        <f aca="false">B10/B$22*B$24</f>
        <v>2.97118847539016</v>
      </c>
      <c r="D10" s="57" t="s">
        <v>434</v>
      </c>
      <c r="E10" s="59" t="n">
        <f aca="false">IFERROR(INDEX(Correspondance!$D$2:$D$3000,MATCH(A10,Correspondance!$A$2:$A$3000,0)),0)</f>
        <v>1.6</v>
      </c>
      <c r="F10" s="60" t="n">
        <f aca="false">C10*E10</f>
        <v>4.75390156062425</v>
      </c>
      <c r="G10" s="61"/>
      <c r="I10" s="63"/>
    </row>
    <row r="11" customFormat="false" ht="15.75" hidden="false" customHeight="false" outlineLevel="0" collapsed="false">
      <c r="A11" s="57" t="s">
        <v>894</v>
      </c>
      <c r="B11" s="57" t="n">
        <v>0.076</v>
      </c>
      <c r="C11" s="58" t="n">
        <f aca="false">B11/B$22*B$24</f>
        <v>0.119476361973361</v>
      </c>
      <c r="D11" s="57" t="s">
        <v>434</v>
      </c>
      <c r="E11" s="59" t="n">
        <f aca="false">IFERROR(INDEX(Correspondance!$D$2:$D$3000,MATCH(A11,Correspondance!$A$2:$A$3000,0)),0)</f>
        <v>5.5</v>
      </c>
      <c r="F11" s="60" t="n">
        <f aca="false">C11*E11</f>
        <v>0.657119990853484</v>
      </c>
      <c r="G11" s="61"/>
      <c r="I11" s="63"/>
    </row>
    <row r="12" customFormat="false" ht="18.75" hidden="false" customHeight="true" outlineLevel="0" collapsed="false">
      <c r="A12" s="57" t="s">
        <v>1084</v>
      </c>
      <c r="B12" s="64" t="n">
        <v>0.142</v>
      </c>
      <c r="C12" s="58" t="n">
        <f aca="false">B12/B$22*B$24</f>
        <v>0.223232150002858</v>
      </c>
      <c r="D12" s="57" t="s">
        <v>434</v>
      </c>
      <c r="E12" s="59" t="n">
        <f aca="false">IFERROR(INDEX(Correspondance!$D$2:$D$3000,MATCH(A12,Correspondance!$A$2:$A$3000,0)),0)</f>
        <v>2.2</v>
      </c>
      <c r="F12" s="60" t="n">
        <f aca="false">C12*E12</f>
        <v>0.491110730006288</v>
      </c>
      <c r="G12" s="61"/>
      <c r="I12" s="63"/>
    </row>
    <row r="13" customFormat="false" ht="18.75" hidden="false" customHeight="true" outlineLevel="0" collapsed="false">
      <c r="A13" s="57" t="s">
        <v>1675</v>
      </c>
      <c r="B13" s="64" t="n">
        <v>0.095</v>
      </c>
      <c r="C13" s="58" t="n">
        <f aca="false">B13/B$22*B$24</f>
        <v>0.149345452466701</v>
      </c>
      <c r="D13" s="57" t="s">
        <v>682</v>
      </c>
      <c r="E13" s="59" t="n">
        <f aca="false">IFERROR(INDEX(Correspondance!$D$2:$D$3000,MATCH(A13,Correspondance!$A$2:$A$3000,0)),0)</f>
        <v>2.2</v>
      </c>
      <c r="F13" s="60" t="n">
        <f aca="false">C13*E13</f>
        <v>0.328559995426742</v>
      </c>
      <c r="G13" s="61"/>
      <c r="I13" s="63"/>
    </row>
    <row r="14" customFormat="false" ht="15.75" hidden="false" customHeight="false" outlineLevel="0" collapsed="false">
      <c r="A14" s="57" t="s">
        <v>1919</v>
      </c>
      <c r="B14" s="57" t="n">
        <v>0.066</v>
      </c>
      <c r="C14" s="58" t="n">
        <f aca="false">B14/B$22*B$24</f>
        <v>0.103755788029498</v>
      </c>
      <c r="D14" s="57" t="s">
        <v>434</v>
      </c>
      <c r="E14" s="59" t="n">
        <f aca="false">IFERROR(INDEX(Correspondance!$D$2:$D$3000,MATCH(A14,Correspondance!$A$2:$A$3000,0)),0)</f>
        <v>2</v>
      </c>
      <c r="F14" s="60" t="n">
        <f aca="false">C14*E14</f>
        <v>0.207511576058995</v>
      </c>
      <c r="G14" s="61"/>
      <c r="I14" s="63"/>
    </row>
    <row r="15" customFormat="false" ht="15.75" hidden="false" customHeight="false" outlineLevel="0" collapsed="false">
      <c r="A15" s="57" t="s">
        <v>1796</v>
      </c>
      <c r="B15" s="57" t="n">
        <v>0.009</v>
      </c>
      <c r="C15" s="58" t="n">
        <f aca="false">B15/B$22*B$24</f>
        <v>0.0141485165494769</v>
      </c>
      <c r="D15" s="57" t="s">
        <v>434</v>
      </c>
      <c r="E15" s="59" t="n">
        <f aca="false">IFERROR(INDEX(Correspondance!$D$2:$D$3000,MATCH(A15,Correspondance!$A$2:$A$3000,0)),0)</f>
        <v>18</v>
      </c>
      <c r="F15" s="60" t="n">
        <f aca="false">C15*E15</f>
        <v>0.254673297890585</v>
      </c>
      <c r="G15" s="61"/>
      <c r="I15" s="63"/>
    </row>
    <row r="16" customFormat="false" ht="15.75" hidden="false" customHeight="false" outlineLevel="0" collapsed="false">
      <c r="A16" s="57" t="s">
        <v>1550</v>
      </c>
      <c r="B16" s="57"/>
      <c r="C16" s="58" t="n">
        <f aca="false">B16/B$22*B$24</f>
        <v>0</v>
      </c>
      <c r="D16" s="57" t="s">
        <v>434</v>
      </c>
      <c r="E16" s="59" t="n">
        <f aca="false">IFERROR(INDEX(Correspondance!$D$2:$D$3000,MATCH(A16,Correspondance!$A$2:$A$3000,0)),0)</f>
        <v>25</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153.4790201795</v>
      </c>
      <c r="G19" s="61"/>
      <c r="I19" s="63"/>
    </row>
    <row r="20" customFormat="false" ht="18.75" hidden="false" customHeight="true" outlineLevel="0" collapsed="false">
      <c r="A20" s="68" t="s">
        <v>2628</v>
      </c>
      <c r="B20" s="69" t="n">
        <f aca="false">F19/B24</f>
        <v>1.39526381981364</v>
      </c>
      <c r="C20" s="70"/>
      <c r="G20" s="61"/>
      <c r="I20" s="63"/>
    </row>
    <row r="21" customFormat="false" ht="15.75" hidden="false" customHeight="false" outlineLevel="0" collapsed="false">
      <c r="A21" s="71" t="s">
        <v>2629</v>
      </c>
      <c r="B21" s="71" t="n">
        <f aca="false">SUM(B3:B18)</f>
        <v>17.493</v>
      </c>
      <c r="C21" s="66"/>
      <c r="G21" s="61"/>
      <c r="I21" s="63"/>
    </row>
    <row r="22" customFormat="false" ht="15.75" hidden="false" customHeight="false" outlineLevel="0" collapsed="false">
      <c r="A22" s="0" t="s">
        <v>2630</v>
      </c>
      <c r="B22" s="72" t="n">
        <f aca="false">B21/B23</f>
        <v>69.972</v>
      </c>
      <c r="C22" s="66"/>
      <c r="G22" s="61"/>
      <c r="I22" s="63"/>
    </row>
    <row r="23" customFormat="false" ht="15.75" hidden="false" customHeight="false" outlineLevel="0" collapsed="false">
      <c r="A23" s="0" t="s">
        <v>2631</v>
      </c>
      <c r="B23" s="0" t="n">
        <v>0.25</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218</v>
      </c>
      <c r="B1" s="50"/>
      <c r="C1" s="50"/>
      <c r="D1" s="50"/>
      <c r="E1" s="51" t="s">
        <v>2619</v>
      </c>
      <c r="F1" s="51"/>
      <c r="G1" s="52" t="s">
        <v>2836</v>
      </c>
    </row>
    <row r="2" customFormat="false" ht="24.75" hidden="false" customHeight="true" outlineLevel="0" collapsed="false">
      <c r="A2" s="50"/>
      <c r="B2" s="50"/>
      <c r="C2" s="50"/>
      <c r="D2" s="50"/>
      <c r="E2" s="53" t="s">
        <v>2636</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513</v>
      </c>
      <c r="B4" s="57" t="n">
        <v>9.78</v>
      </c>
      <c r="C4" s="58" t="n">
        <f aca="false">B4/B$22*B$24</f>
        <v>15.3597944031982</v>
      </c>
      <c r="D4" s="57" t="s">
        <v>434</v>
      </c>
      <c r="E4" s="59" t="n">
        <f aca="false">IFERROR(INDEX(Correspondance!$D$2:$D$3000,MATCH(A4,Correspondance!$A$2:$A$3000,0)),0)</f>
        <v>6.5</v>
      </c>
      <c r="F4" s="60" t="n">
        <f aca="false">C4*E4</f>
        <v>99.8386636207881</v>
      </c>
      <c r="G4" s="61" t="s">
        <v>2891</v>
      </c>
    </row>
    <row r="5" customFormat="false" ht="15.75" hidden="false" customHeight="false" outlineLevel="0" collapsed="false">
      <c r="A5" s="57" t="s">
        <v>479</v>
      </c>
      <c r="B5" s="57" t="n">
        <v>1.96</v>
      </c>
      <c r="C5" s="58" t="n">
        <f aca="false">B5/B$22*B$24</f>
        <v>3.07824100513992</v>
      </c>
      <c r="D5" s="57" t="s">
        <v>434</v>
      </c>
      <c r="E5" s="59" t="n">
        <f aca="false">IFERROR(INDEX(Correspondance!$D$2:$D$3000,MATCH(A5,Correspondance!$A$2:$A$3000,0)),0)</f>
        <v>4.5</v>
      </c>
      <c r="F5" s="60" t="n">
        <f aca="false">C5*E5</f>
        <v>13.8520845231296</v>
      </c>
      <c r="G5" s="61"/>
      <c r="I5" s="62"/>
    </row>
    <row r="6" customFormat="false" ht="15.75" hidden="false" customHeight="false" outlineLevel="0" collapsed="false">
      <c r="A6" s="57" t="s">
        <v>917</v>
      </c>
      <c r="B6" s="57" t="n">
        <v>1.47</v>
      </c>
      <c r="C6" s="58" t="n">
        <f aca="false">B6/B$22*B$24</f>
        <v>2.30868075385494</v>
      </c>
      <c r="D6" s="57" t="s">
        <v>434</v>
      </c>
      <c r="E6" s="59" t="n">
        <f aca="false">IFERROR(INDEX(Correspondance!$D$2:$D$3000,MATCH(A6,Correspondance!$A$2:$A$3000,0)),0)</f>
        <v>1.8</v>
      </c>
      <c r="F6" s="60" t="n">
        <f aca="false">C6*E6</f>
        <v>4.15562535693889</v>
      </c>
      <c r="G6" s="61"/>
      <c r="I6" s="63"/>
    </row>
    <row r="7" customFormat="false" ht="15.75" hidden="false" customHeight="false" outlineLevel="0" collapsed="false">
      <c r="A7" s="57" t="s">
        <v>1001</v>
      </c>
      <c r="B7" s="57" t="n">
        <v>1.47</v>
      </c>
      <c r="C7" s="58" t="n">
        <f aca="false">B7/B$22*B$24</f>
        <v>2.30868075385494</v>
      </c>
      <c r="D7" s="57" t="s">
        <v>434</v>
      </c>
      <c r="E7" s="59" t="n">
        <f aca="false">IFERROR(INDEX(Correspondance!$D$2:$D$3000,MATCH(A7,Correspondance!$A$2:$A$3000,0)),0)</f>
        <v>1.8</v>
      </c>
      <c r="F7" s="60" t="n">
        <f aca="false">C7*E7</f>
        <v>4.15562535693889</v>
      </c>
      <c r="G7" s="61"/>
      <c r="I7" s="63"/>
    </row>
    <row r="8" customFormat="false" ht="15.75" hidden="false" customHeight="false" outlineLevel="0" collapsed="false">
      <c r="A8" s="57" t="s">
        <v>1016</v>
      </c>
      <c r="B8" s="57" t="n">
        <v>0.783</v>
      </c>
      <c r="C8" s="58" t="n">
        <f aca="false">B8/B$22*B$24</f>
        <v>1.2297258709309</v>
      </c>
      <c r="D8" s="57" t="s">
        <v>434</v>
      </c>
      <c r="E8" s="59" t="n">
        <f aca="false">IFERROR(INDEX(Correspondance!$D$2:$D$3000,MATCH(A8,Correspondance!$A$2:$A$3000,0)),0)</f>
        <v>2.6</v>
      </c>
      <c r="F8" s="60" t="n">
        <f aca="false">C8*E8</f>
        <v>3.19728726442033</v>
      </c>
      <c r="G8" s="61"/>
      <c r="I8" s="63"/>
    </row>
    <row r="9" customFormat="false" ht="15.75" hidden="false" customHeight="false" outlineLevel="0" collapsed="false">
      <c r="A9" s="57" t="s">
        <v>1358</v>
      </c>
      <c r="B9" s="57" t="n">
        <v>2.94</v>
      </c>
      <c r="C9" s="58" t="n">
        <f aca="false">B9/B$22*B$24</f>
        <v>4.61736150770988</v>
      </c>
      <c r="D9" s="57" t="s">
        <v>682</v>
      </c>
      <c r="E9" s="59" t="n">
        <f aca="false">IFERROR(INDEX(Correspondance!$D$2:$D$3000,MATCH(A9,Correspondance!$A$2:$A$3000,0)),0)</f>
        <v>2.5</v>
      </c>
      <c r="F9" s="60" t="n">
        <f aca="false">C9*E9</f>
        <v>11.5434037692747</v>
      </c>
      <c r="G9" s="61"/>
      <c r="I9" s="63"/>
    </row>
    <row r="10" customFormat="false" ht="15.75" hidden="false" customHeight="false" outlineLevel="0" collapsed="false">
      <c r="A10" s="57" t="s">
        <v>1459</v>
      </c>
      <c r="B10" s="57" t="n">
        <v>1.96</v>
      </c>
      <c r="C10" s="58" t="n">
        <f aca="false">B10/B$22*B$24</f>
        <v>3.07824100513992</v>
      </c>
      <c r="D10" s="57" t="s">
        <v>682</v>
      </c>
      <c r="E10" s="59" t="n">
        <f aca="false">IFERROR(INDEX(Correspondance!$D$2:$D$3000,MATCH(A10,Correspondance!$A$2:$A$3000,0)),0)</f>
        <v>0</v>
      </c>
      <c r="F10" s="60" t="n">
        <f aca="false">C10*E10</f>
        <v>0</v>
      </c>
      <c r="G10" s="61"/>
      <c r="I10" s="63"/>
    </row>
    <row r="11" customFormat="false" ht="15.75" hidden="false" customHeight="false" outlineLevel="0" collapsed="false">
      <c r="A11" s="57" t="s">
        <v>1356</v>
      </c>
      <c r="B11" s="57" t="n">
        <v>0.196</v>
      </c>
      <c r="C11" s="58" t="n">
        <f aca="false">B11/B$22*B$24</f>
        <v>0.307824100513992</v>
      </c>
      <c r="D11" s="57" t="s">
        <v>682</v>
      </c>
      <c r="E11" s="59" t="n">
        <f aca="false">IFERROR(INDEX(Correspondance!$D$2:$D$3000,MATCH(A11,Correspondance!$A$2:$A$3000,0)),0)</f>
        <v>18</v>
      </c>
      <c r="F11" s="60" t="n">
        <f aca="false">C11*E11</f>
        <v>5.54083380925186</v>
      </c>
      <c r="G11" s="61"/>
      <c r="I11" s="63"/>
    </row>
    <row r="12" customFormat="false" ht="18.75" hidden="false" customHeight="true" outlineLevel="0" collapsed="false">
      <c r="A12" s="57" t="s">
        <v>1098</v>
      </c>
      <c r="B12" s="64" t="n">
        <v>0.098</v>
      </c>
      <c r="C12" s="58" t="n">
        <f aca="false">B12/B$22*B$24</f>
        <v>0.153912050256996</v>
      </c>
      <c r="D12" s="57" t="s">
        <v>434</v>
      </c>
      <c r="E12" s="59" t="n">
        <f aca="false">IFERROR(INDEX(Correspondance!$D$2:$D$3000,MATCH(A12,Correspondance!$A$2:$A$3000,0)),0)</f>
        <v>12</v>
      </c>
      <c r="F12" s="60" t="n">
        <f aca="false">C12*E12</f>
        <v>1.84694460308395</v>
      </c>
      <c r="G12" s="61"/>
      <c r="I12" s="63"/>
    </row>
    <row r="13" customFormat="false" ht="18.75" hidden="false" customHeight="true" outlineLevel="0" collapsed="false">
      <c r="A13" s="57" t="s">
        <v>894</v>
      </c>
      <c r="B13" s="64" t="n">
        <v>0.049</v>
      </c>
      <c r="C13" s="58" t="n">
        <f aca="false">B13/B$22*B$24</f>
        <v>0.076956025128498</v>
      </c>
      <c r="D13" s="57" t="s">
        <v>434</v>
      </c>
      <c r="E13" s="59" t="n">
        <f aca="false">IFERROR(INDEX(Correspondance!$D$2:$D$3000,MATCH(A13,Correspondance!$A$2:$A$3000,0)),0)</f>
        <v>5.5</v>
      </c>
      <c r="F13" s="60" t="n">
        <f aca="false">C13*E13</f>
        <v>0.423258138206739</v>
      </c>
      <c r="G13" s="61"/>
      <c r="I13" s="63"/>
    </row>
    <row r="14" customFormat="false" ht="15.75" hidden="false" customHeight="false" outlineLevel="0" collapsed="false">
      <c r="A14" s="57" t="s">
        <v>1084</v>
      </c>
      <c r="B14" s="57" t="n">
        <v>0.196</v>
      </c>
      <c r="C14" s="58" t="n">
        <f aca="false">B14/B$22*B$24</f>
        <v>0.307824100513992</v>
      </c>
      <c r="D14" s="57" t="s">
        <v>434</v>
      </c>
      <c r="E14" s="59" t="n">
        <f aca="false">IFERROR(INDEX(Correspondance!$D$2:$D$3000,MATCH(A14,Correspondance!$A$2:$A$3000,0)),0)</f>
        <v>2.2</v>
      </c>
      <c r="F14" s="60" t="n">
        <f aca="false">C14*E14</f>
        <v>0.677213021130782</v>
      </c>
      <c r="G14" s="61"/>
      <c r="I14" s="63"/>
    </row>
    <row r="15" customFormat="false" ht="15.75" hidden="false" customHeight="false" outlineLevel="0" collapsed="false">
      <c r="A15" s="57" t="s">
        <v>1919</v>
      </c>
      <c r="B15" s="57" t="n">
        <v>0.098</v>
      </c>
      <c r="C15" s="58" t="n">
        <f aca="false">B15/B$22*B$24</f>
        <v>0.153912050256996</v>
      </c>
      <c r="D15" s="57" t="s">
        <v>434</v>
      </c>
      <c r="E15" s="59" t="n">
        <f aca="false">IFERROR(INDEX(Correspondance!$D$2:$D$3000,MATCH(A15,Correspondance!$A$2:$A$3000,0)),0)</f>
        <v>2</v>
      </c>
      <c r="F15" s="60" t="n">
        <f aca="false">C15*E15</f>
        <v>0.307824100513992</v>
      </c>
      <c r="G15" s="61"/>
      <c r="I15" s="63"/>
    </row>
    <row r="16" customFormat="false" ht="15.75" hidden="false" customHeight="false" outlineLevel="0" collapsed="false">
      <c r="A16" s="57" t="s">
        <v>1796</v>
      </c>
      <c r="B16" s="57" t="n">
        <v>0.012</v>
      </c>
      <c r="C16" s="58" t="n">
        <f aca="false">B16/B$22*B$24</f>
        <v>0.0188463735008567</v>
      </c>
      <c r="D16" s="57" t="s">
        <v>434</v>
      </c>
      <c r="E16" s="59" t="n">
        <f aca="false">IFERROR(INDEX(Correspondance!$D$2:$D$3000,MATCH(A16,Correspondance!$A$2:$A$3000,0)),0)</f>
        <v>18</v>
      </c>
      <c r="F16" s="60" t="n">
        <f aca="false">C16*E16</f>
        <v>0.33923472301542</v>
      </c>
      <c r="G16" s="61"/>
      <c r="I16" s="63"/>
    </row>
    <row r="17" customFormat="false" ht="15.75" hidden="false" customHeight="false" outlineLevel="0" collapsed="false">
      <c r="A17" s="57" t="s">
        <v>1508</v>
      </c>
      <c r="B17" s="57"/>
      <c r="C17" s="58" t="n">
        <f aca="false">B17/B$22*B$24</f>
        <v>0</v>
      </c>
      <c r="D17" s="57" t="s">
        <v>434</v>
      </c>
      <c r="E17" s="59" t="n">
        <f aca="false">IFERROR(INDEX(Correspondance!$D$2:$D$3000,MATCH(A17,Correspondance!$A$2:$A$3000,0)),0)</f>
        <v>16</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145.877998286693</v>
      </c>
      <c r="G19" s="61"/>
      <c r="I19" s="63"/>
    </row>
    <row r="20" customFormat="false" ht="18.75" hidden="false" customHeight="true" outlineLevel="0" collapsed="false">
      <c r="A20" s="68" t="s">
        <v>2628</v>
      </c>
      <c r="B20" s="69" t="n">
        <f aca="false">F19/B24</f>
        <v>1.32616362078812</v>
      </c>
      <c r="C20" s="70"/>
      <c r="G20" s="61"/>
      <c r="I20" s="63"/>
    </row>
    <row r="21" customFormat="false" ht="15.75" hidden="false" customHeight="false" outlineLevel="0" collapsed="false">
      <c r="A21" s="71" t="s">
        <v>2629</v>
      </c>
      <c r="B21" s="71" t="n">
        <f aca="false">SUM(B3:B18)</f>
        <v>21.012</v>
      </c>
      <c r="C21" s="66"/>
      <c r="G21" s="61"/>
      <c r="I21" s="63"/>
    </row>
    <row r="22" customFormat="false" ht="15.75" hidden="false" customHeight="false" outlineLevel="0" collapsed="false">
      <c r="A22" s="0" t="s">
        <v>2630</v>
      </c>
      <c r="B22" s="72" t="n">
        <f aca="false">B21/B23</f>
        <v>70.04</v>
      </c>
      <c r="C22" s="66"/>
      <c r="G22" s="61"/>
      <c r="I22" s="63"/>
    </row>
    <row r="23" customFormat="false" ht="15.75" hidden="false" customHeight="false" outlineLevel="0" collapsed="false">
      <c r="A23" s="0" t="s">
        <v>2631</v>
      </c>
      <c r="B23" s="0" t="n">
        <v>0.3</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220</v>
      </c>
      <c r="B1" s="50"/>
      <c r="C1" s="50"/>
      <c r="D1" s="50"/>
      <c r="E1" s="51" t="s">
        <v>2619</v>
      </c>
      <c r="F1" s="51"/>
      <c r="G1" s="52" t="s">
        <v>2889</v>
      </c>
    </row>
    <row r="2" customFormat="false" ht="24.75" hidden="false" customHeight="true" outlineLevel="0" collapsed="false">
      <c r="A2" s="50"/>
      <c r="B2" s="50"/>
      <c r="C2" s="50"/>
      <c r="D2" s="50"/>
      <c r="E2" s="53" t="s">
        <v>2636</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1506</v>
      </c>
      <c r="B4" s="57" t="n">
        <v>8.83</v>
      </c>
      <c r="C4" s="58" t="n">
        <f aca="false">B4/B$22*B$24</f>
        <v>13.8796799085453</v>
      </c>
      <c r="D4" s="57" t="s">
        <v>434</v>
      </c>
      <c r="E4" s="59" t="n">
        <f aca="false">IFERROR(INDEX(Correspondance!$D$2:$D$3000,MATCH(A4,Correspondance!$A$2:$A$3000,0)),0)</f>
        <v>8.5</v>
      </c>
      <c r="F4" s="60" t="n">
        <f aca="false">C4*E4</f>
        <v>117.977279222635</v>
      </c>
      <c r="G4" s="61" t="s">
        <v>2892</v>
      </c>
    </row>
    <row r="5" customFormat="false" ht="15.75" hidden="false" customHeight="false" outlineLevel="0" collapsed="false">
      <c r="A5" s="57" t="s">
        <v>1957</v>
      </c>
      <c r="B5" s="57" t="n">
        <v>4.41</v>
      </c>
      <c r="C5" s="58" t="n">
        <f aca="false">B5/B$22*B$24</f>
        <v>6.93198056587597</v>
      </c>
      <c r="D5" s="57" t="s">
        <v>434</v>
      </c>
      <c r="E5" s="59" t="n">
        <f aca="false">IFERROR(INDEX(Correspondance!$D$2:$D$3000,MATCH(A5,Correspondance!$A$2:$A$3000,0)),0)</f>
        <v>1.6</v>
      </c>
      <c r="F5" s="60" t="n">
        <f aca="false">C5*E5</f>
        <v>11.0911689054015</v>
      </c>
      <c r="G5" s="61"/>
      <c r="I5" s="62"/>
    </row>
    <row r="6" customFormat="false" ht="15.75" hidden="false" customHeight="false" outlineLevel="0" collapsed="false">
      <c r="A6" s="57" t="s">
        <v>1197</v>
      </c>
      <c r="B6" s="57" t="n">
        <v>0.441</v>
      </c>
      <c r="C6" s="58" t="n">
        <f aca="false">B6/B$22*B$24</f>
        <v>0.693198056587597</v>
      </c>
      <c r="D6" s="57" t="s">
        <v>434</v>
      </c>
      <c r="E6" s="59" t="n">
        <f aca="false">IFERROR(INDEX(Correspondance!$D$2:$D$3000,MATCH(A6,Correspondance!$A$2:$A$3000,0)),0)</f>
        <v>2.6</v>
      </c>
      <c r="F6" s="60" t="n">
        <f aca="false">C6*E6</f>
        <v>1.80231494712775</v>
      </c>
      <c r="G6" s="61"/>
      <c r="I6" s="63"/>
    </row>
    <row r="7" customFormat="false" ht="15.75" hidden="false" customHeight="false" outlineLevel="0" collapsed="false">
      <c r="A7" s="57" t="s">
        <v>1001</v>
      </c>
      <c r="B7" s="57" t="n">
        <v>1.32</v>
      </c>
      <c r="C7" s="58" t="n">
        <f aca="false">B7/B$22*B$24</f>
        <v>2.07487853672478</v>
      </c>
      <c r="D7" s="57" t="s">
        <v>434</v>
      </c>
      <c r="E7" s="59" t="n">
        <f aca="false">IFERROR(INDEX(Correspondance!$D$2:$D$3000,MATCH(A7,Correspondance!$A$2:$A$3000,0)),0)</f>
        <v>1.8</v>
      </c>
      <c r="F7" s="60" t="n">
        <f aca="false">C7*E7</f>
        <v>3.7347813661046</v>
      </c>
      <c r="G7" s="61"/>
      <c r="I7" s="63"/>
    </row>
    <row r="8" customFormat="false" ht="15.75" hidden="false" customHeight="false" outlineLevel="0" collapsed="false">
      <c r="A8" s="57" t="s">
        <v>894</v>
      </c>
      <c r="B8" s="57" t="n">
        <v>0.088</v>
      </c>
      <c r="C8" s="58" t="n">
        <f aca="false">B8/B$22*B$24</f>
        <v>0.138325235781652</v>
      </c>
      <c r="D8" s="57" t="s">
        <v>434</v>
      </c>
      <c r="E8" s="59" t="n">
        <f aca="false">IFERROR(INDEX(Correspondance!$D$2:$D$3000,MATCH(A8,Correspondance!$A$2:$A$3000,0)),0)</f>
        <v>5.5</v>
      </c>
      <c r="F8" s="60" t="n">
        <f aca="false">C8*E8</f>
        <v>0.760788796799085</v>
      </c>
      <c r="G8" s="61"/>
      <c r="I8" s="63"/>
    </row>
    <row r="9" customFormat="false" ht="15.75" hidden="false" customHeight="false" outlineLevel="0" collapsed="false">
      <c r="A9" s="57" t="s">
        <v>1459</v>
      </c>
      <c r="B9" s="57" t="n">
        <v>1.77</v>
      </c>
      <c r="C9" s="58" t="n">
        <f aca="false">B9/B$22*B$24</f>
        <v>2.78222349242641</v>
      </c>
      <c r="D9" s="57" t="s">
        <v>682</v>
      </c>
      <c r="E9" s="59" t="n">
        <f aca="false">IFERROR(INDEX(Correspondance!$D$2:$D$3000,MATCH(A9,Correspondance!$A$2:$A$3000,0)),0)</f>
        <v>0</v>
      </c>
      <c r="F9" s="60" t="n">
        <f aca="false">C9*E9</f>
        <v>0</v>
      </c>
      <c r="G9" s="61"/>
      <c r="I9" s="63"/>
    </row>
    <row r="10" customFormat="false" ht="15.75" hidden="false" customHeight="false" outlineLevel="0" collapsed="false">
      <c r="A10" s="57" t="s">
        <v>1633</v>
      </c>
      <c r="B10" s="57" t="n">
        <v>0.071</v>
      </c>
      <c r="C10" s="58" t="n">
        <f aca="false">B10/B$22*B$24</f>
        <v>0.111603315232924</v>
      </c>
      <c r="D10" s="57" t="s">
        <v>434</v>
      </c>
      <c r="E10" s="59" t="n">
        <f aca="false">IFERROR(INDEX(Correspondance!$D$2:$D$3000,MATCH(A10,Correspondance!$A$2:$A$3000,0)),0)</f>
        <v>9</v>
      </c>
      <c r="F10" s="60" t="n">
        <f aca="false">C10*E10</f>
        <v>1.00442983709631</v>
      </c>
      <c r="G10" s="61"/>
      <c r="I10" s="63"/>
    </row>
    <row r="11" customFormat="false" ht="15.75" hidden="false" customHeight="false" outlineLevel="0" collapsed="false">
      <c r="A11" s="57" t="s">
        <v>1120</v>
      </c>
      <c r="B11" s="57" t="n">
        <v>0.265</v>
      </c>
      <c r="C11" s="58" t="n">
        <f aca="false">B11/B$22*B$24</f>
        <v>0.416547585024293</v>
      </c>
      <c r="D11" s="57" t="s">
        <v>682</v>
      </c>
      <c r="E11" s="59" t="n">
        <f aca="false">IFERROR(INDEX(Correspondance!$D$2:$D$3000,MATCH(A11,Correspondance!$A$2:$A$3000,0)),0)</f>
        <v>7.5</v>
      </c>
      <c r="F11" s="60" t="n">
        <f aca="false">C11*E11</f>
        <v>3.12410688768219</v>
      </c>
      <c r="G11" s="61"/>
      <c r="I11" s="63"/>
    </row>
    <row r="12" customFormat="false" ht="18.75" hidden="false" customHeight="true" outlineLevel="0" collapsed="false">
      <c r="A12" s="57" t="s">
        <v>1084</v>
      </c>
      <c r="B12" s="64" t="n">
        <v>0.132</v>
      </c>
      <c r="C12" s="58" t="n">
        <f aca="false">B12/B$22*B$24</f>
        <v>0.207487853672478</v>
      </c>
      <c r="D12" s="57" t="s">
        <v>434</v>
      </c>
      <c r="E12" s="59" t="n">
        <f aca="false">IFERROR(INDEX(Correspondance!$D$2:$D$3000,MATCH(A12,Correspondance!$A$2:$A$3000,0)),0)</f>
        <v>2.2</v>
      </c>
      <c r="F12" s="60" t="n">
        <f aca="false">C12*E12</f>
        <v>0.456473278079451</v>
      </c>
      <c r="G12" s="61"/>
      <c r="I12" s="63"/>
    </row>
    <row r="13" customFormat="false" ht="18.75" hidden="false" customHeight="true" outlineLevel="0" collapsed="false">
      <c r="A13" s="57" t="s">
        <v>1937</v>
      </c>
      <c r="B13" s="64" t="n">
        <v>0.088</v>
      </c>
      <c r="C13" s="58" t="n">
        <f aca="false">B13/B$22*B$24</f>
        <v>0.138325235781652</v>
      </c>
      <c r="D13" s="57" t="s">
        <v>434</v>
      </c>
      <c r="E13" s="59" t="n">
        <f aca="false">IFERROR(INDEX(Correspondance!$D$2:$D$3000,MATCH(A13,Correspondance!$A$2:$A$3000,0)),0)</f>
        <v>1.3</v>
      </c>
      <c r="F13" s="60" t="n">
        <f aca="false">C13*E13</f>
        <v>0.179822806516147</v>
      </c>
      <c r="G13" s="61"/>
      <c r="I13" s="63"/>
    </row>
    <row r="14" customFormat="false" ht="15.75" hidden="false" customHeight="false" outlineLevel="0" collapsed="false">
      <c r="A14" s="57" t="s">
        <v>1919</v>
      </c>
      <c r="B14" s="57" t="n">
        <v>0.071</v>
      </c>
      <c r="C14" s="58" t="n">
        <f aca="false">B14/B$22*B$24</f>
        <v>0.111603315232924</v>
      </c>
      <c r="D14" s="57" t="s">
        <v>434</v>
      </c>
      <c r="E14" s="59" t="n">
        <f aca="false">IFERROR(INDEX(Correspondance!$D$2:$D$3000,MATCH(A14,Correspondance!$A$2:$A$3000,0)),0)</f>
        <v>2</v>
      </c>
      <c r="F14" s="60" t="n">
        <f aca="false">C14*E14</f>
        <v>0.223206630465847</v>
      </c>
      <c r="G14" s="61"/>
      <c r="I14" s="63"/>
    </row>
    <row r="15" customFormat="false" ht="15.75" hidden="false" customHeight="false" outlineLevel="0" collapsed="false">
      <c r="A15" s="57" t="s">
        <v>1796</v>
      </c>
      <c r="B15" s="57" t="n">
        <v>0.009</v>
      </c>
      <c r="C15" s="58" t="n">
        <f aca="false">B15/B$22*B$24</f>
        <v>0.0141468991140326</v>
      </c>
      <c r="D15" s="57" t="s">
        <v>434</v>
      </c>
      <c r="E15" s="59" t="n">
        <f aca="false">IFERROR(INDEX(Correspondance!$D$2:$D$3000,MATCH(A15,Correspondance!$A$2:$A$3000,0)),0)</f>
        <v>18</v>
      </c>
      <c r="F15" s="60" t="n">
        <f aca="false">C15*E15</f>
        <v>0.254644184052586</v>
      </c>
      <c r="G15" s="61"/>
      <c r="I15" s="63"/>
    </row>
    <row r="16" customFormat="false" ht="15.75" hidden="false" customHeight="false" outlineLevel="0" collapsed="false">
      <c r="A16" s="57" t="s">
        <v>1668</v>
      </c>
      <c r="B16" s="57"/>
      <c r="C16" s="58" t="n">
        <f aca="false">B16/B$22*B$24</f>
        <v>0</v>
      </c>
      <c r="D16" s="57" t="s">
        <v>434</v>
      </c>
      <c r="E16" s="59" t="n">
        <f aca="false">IFERROR(INDEX(Correspondance!$D$2:$D$3000,MATCH(A16,Correspondance!$A$2:$A$3000,0)),0)</f>
        <v>11</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140.609016861961</v>
      </c>
      <c r="G19" s="61"/>
      <c r="I19" s="63"/>
    </row>
    <row r="20" customFormat="false" ht="18.75" hidden="false" customHeight="true" outlineLevel="0" collapsed="false">
      <c r="A20" s="68" t="s">
        <v>2628</v>
      </c>
      <c r="B20" s="69" t="n">
        <f aca="false">F19/B24</f>
        <v>1.27826378965419</v>
      </c>
      <c r="C20" s="70"/>
      <c r="G20" s="61"/>
      <c r="I20" s="63"/>
    </row>
    <row r="21" customFormat="false" ht="15.75" hidden="false" customHeight="false" outlineLevel="0" collapsed="false">
      <c r="A21" s="71" t="s">
        <v>2629</v>
      </c>
      <c r="B21" s="71" t="n">
        <f aca="false">SUM(B3:B18)</f>
        <v>17.495</v>
      </c>
      <c r="C21" s="66"/>
      <c r="G21" s="61"/>
      <c r="I21" s="63"/>
    </row>
    <row r="22" customFormat="false" ht="15.75" hidden="false" customHeight="false" outlineLevel="0" collapsed="false">
      <c r="A22" s="0" t="s">
        <v>2630</v>
      </c>
      <c r="B22" s="72" t="n">
        <f aca="false">B21/B23</f>
        <v>69.98</v>
      </c>
      <c r="C22" s="66"/>
      <c r="G22" s="61"/>
      <c r="I22" s="63"/>
    </row>
    <row r="23" customFormat="false" ht="15.75" hidden="false" customHeight="false" outlineLevel="0" collapsed="false">
      <c r="A23" s="0" t="s">
        <v>2631</v>
      </c>
      <c r="B23" s="0" t="n">
        <v>0.25</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222</v>
      </c>
      <c r="B1" s="50"/>
      <c r="C1" s="50"/>
      <c r="D1" s="50"/>
      <c r="E1" s="51" t="s">
        <v>2619</v>
      </c>
      <c r="F1" s="51"/>
      <c r="G1" s="52" t="s">
        <v>2893</v>
      </c>
    </row>
    <row r="2" customFormat="false" ht="24.75" hidden="false" customHeight="true" outlineLevel="0" collapsed="false">
      <c r="A2" s="50"/>
      <c r="B2" s="50"/>
      <c r="C2" s="50"/>
      <c r="D2" s="50"/>
      <c r="E2" s="53" t="s">
        <v>2636</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1586</v>
      </c>
      <c r="B4" s="57" t="n">
        <v>14.19</v>
      </c>
      <c r="C4" s="58" t="n">
        <f aca="false">B4/B$22*B$24</f>
        <v>22.2998457054689</v>
      </c>
      <c r="D4" s="57" t="s">
        <v>434</v>
      </c>
      <c r="E4" s="59" t="n">
        <f aca="false">IFERROR(INDEX(Correspondance!$D$2:$D$3000,MATCH(A4,Correspondance!$A$2:$A$3000,0)),0)</f>
        <v>4.5</v>
      </c>
      <c r="F4" s="60" t="n">
        <f aca="false">C4*E4</f>
        <v>100.34930567461</v>
      </c>
      <c r="G4" s="61" t="s">
        <v>2894</v>
      </c>
    </row>
    <row r="5" customFormat="false" ht="15.75" hidden="false" customHeight="false" outlineLevel="0" collapsed="false">
      <c r="A5" s="57" t="s">
        <v>1675</v>
      </c>
      <c r="B5" s="57" t="n">
        <v>0.284</v>
      </c>
      <c r="C5" s="58" t="n">
        <f aca="false">B5/B$22*B$24</f>
        <v>0.446311217783873</v>
      </c>
      <c r="D5" s="57" t="s">
        <v>682</v>
      </c>
      <c r="E5" s="59" t="n">
        <f aca="false">IFERROR(INDEX(Correspondance!$D$2:$D$3000,MATCH(A5,Correspondance!$A$2:$A$3000,0)),0)</f>
        <v>2.2</v>
      </c>
      <c r="F5" s="60" t="n">
        <f aca="false">C5*E5</f>
        <v>0.981884679124521</v>
      </c>
      <c r="G5" s="61"/>
      <c r="I5" s="62"/>
    </row>
    <row r="6" customFormat="false" ht="15.75" hidden="false" customHeight="false" outlineLevel="0" collapsed="false">
      <c r="A6" s="57" t="s">
        <v>1919</v>
      </c>
      <c r="B6" s="57" t="n">
        <v>0.142</v>
      </c>
      <c r="C6" s="58" t="n">
        <f aca="false">B6/B$22*B$24</f>
        <v>0.223155608891937</v>
      </c>
      <c r="D6" s="57" t="s">
        <v>434</v>
      </c>
      <c r="E6" s="59" t="n">
        <f aca="false">IFERROR(INDEX(Correspondance!$D$2:$D$3000,MATCH(A6,Correspondance!$A$2:$A$3000,0)),0)</f>
        <v>2</v>
      </c>
      <c r="F6" s="60" t="n">
        <f aca="false">C6*E6</f>
        <v>0.446311217783873</v>
      </c>
      <c r="G6" s="61"/>
      <c r="I6" s="63"/>
    </row>
    <row r="7" customFormat="false" ht="15.75" hidden="false" customHeight="false" outlineLevel="0" collapsed="false">
      <c r="A7" s="57" t="s">
        <v>1796</v>
      </c>
      <c r="B7" s="57" t="n">
        <v>0.014</v>
      </c>
      <c r="C7" s="58" t="n">
        <f aca="false">B7/B$22*B$24</f>
        <v>0.022001257214698</v>
      </c>
      <c r="D7" s="57" t="s">
        <v>434</v>
      </c>
      <c r="E7" s="59" t="n">
        <f aca="false">IFERROR(INDEX(Correspondance!$D$2:$D$3000,MATCH(A7,Correspondance!$A$2:$A$3000,0)),0)</f>
        <v>18</v>
      </c>
      <c r="F7" s="60" t="n">
        <f aca="false">C7*E7</f>
        <v>0.396022629864564</v>
      </c>
      <c r="G7" s="61"/>
      <c r="I7" s="63"/>
    </row>
    <row r="8" customFormat="false" ht="15.75" hidden="false" customHeight="false" outlineLevel="0" collapsed="false">
      <c r="A8" s="57" t="s">
        <v>1762</v>
      </c>
      <c r="B8" s="57" t="n">
        <v>0.043</v>
      </c>
      <c r="C8" s="58" t="n">
        <f aca="false">B8/B$22*B$24</f>
        <v>0.0675752900165724</v>
      </c>
      <c r="D8" s="57" t="s">
        <v>434</v>
      </c>
      <c r="E8" s="59" t="n">
        <f aca="false">IFERROR(INDEX(Correspondance!$D$2:$D$3000,MATCH(A8,Correspondance!$A$2:$A$3000,0)),0)</f>
        <v>11</v>
      </c>
      <c r="F8" s="60" t="n">
        <f aca="false">C8*E8</f>
        <v>0.743328190182296</v>
      </c>
      <c r="G8" s="61"/>
      <c r="I8" s="63"/>
    </row>
    <row r="9" customFormat="false" ht="15.75" hidden="false" customHeight="false" outlineLevel="0" collapsed="false">
      <c r="A9" s="57" t="s">
        <v>894</v>
      </c>
      <c r="B9" s="57" t="n">
        <v>0.071</v>
      </c>
      <c r="C9" s="58" t="n">
        <f aca="false">B9/B$22*B$24</f>
        <v>0.111577804445968</v>
      </c>
      <c r="D9" s="57" t="s">
        <v>434</v>
      </c>
      <c r="E9" s="59" t="n">
        <f aca="false">IFERROR(INDEX(Correspondance!$D$2:$D$3000,MATCH(A9,Correspondance!$A$2:$A$3000,0)),0)</f>
        <v>5.5</v>
      </c>
      <c r="F9" s="60" t="n">
        <f aca="false">C9*E9</f>
        <v>0.613677924452826</v>
      </c>
      <c r="G9" s="61"/>
      <c r="I9" s="63"/>
    </row>
    <row r="10" customFormat="false" ht="15.75" hidden="false" customHeight="false" outlineLevel="0" collapsed="false">
      <c r="A10" s="57" t="s">
        <v>1664</v>
      </c>
      <c r="B10" s="57"/>
      <c r="C10" s="58" t="n">
        <f aca="false">B10/B$22*B$24</f>
        <v>0</v>
      </c>
      <c r="D10" s="57" t="s">
        <v>434</v>
      </c>
      <c r="E10" s="59" t="n">
        <f aca="false">IFERROR(INDEX(Correspondance!$D$2:$D$3000,MATCH(A10,Correspondance!$A$2:$A$3000,0)),0)</f>
        <v>11</v>
      </c>
      <c r="F10" s="60" t="n">
        <f aca="false">C10*E10</f>
        <v>0</v>
      </c>
      <c r="G10" s="61"/>
      <c r="I10" s="63"/>
    </row>
    <row r="11" customFormat="false" ht="15.75" hidden="false" customHeight="false" outlineLevel="0" collapsed="false">
      <c r="A11" s="57" t="s">
        <v>1001</v>
      </c>
      <c r="B11" s="57" t="n">
        <v>0.426</v>
      </c>
      <c r="C11" s="58" t="n">
        <f aca="false">B11/B$22*B$24</f>
        <v>0.66946682667581</v>
      </c>
      <c r="D11" s="57" t="s">
        <v>434</v>
      </c>
      <c r="E11" s="59" t="n">
        <f aca="false">IFERROR(INDEX(Correspondance!$D$2:$D$3000,MATCH(A11,Correspondance!$A$2:$A$3000,0)),0)</f>
        <v>1.8</v>
      </c>
      <c r="F11" s="60" t="n">
        <f aca="false">C11*E11</f>
        <v>1.20504028801646</v>
      </c>
      <c r="G11" s="61"/>
      <c r="I11" s="63"/>
    </row>
    <row r="12" customFormat="false" ht="18.75" hidden="false" customHeight="true" outlineLevel="0" collapsed="false">
      <c r="A12" s="57" t="s">
        <v>1100</v>
      </c>
      <c r="B12" s="64" t="n">
        <v>0.085</v>
      </c>
      <c r="C12" s="58" t="n">
        <f aca="false">B12/B$22*B$24</f>
        <v>0.133579061660666</v>
      </c>
      <c r="D12" s="57" t="s">
        <v>434</v>
      </c>
      <c r="E12" s="59" t="n">
        <f aca="false">IFERROR(INDEX(Correspondance!$D$2:$D$3000,MATCH(A12,Correspondance!$A$2:$A$3000,0)),0)</f>
        <v>10</v>
      </c>
      <c r="F12" s="60" t="n">
        <f aca="false">C12*E12</f>
        <v>1.33579061660666</v>
      </c>
      <c r="G12" s="61"/>
      <c r="I12" s="63"/>
    </row>
    <row r="13" customFormat="false" ht="18.75" hidden="false" customHeight="true" outlineLevel="0" collapsed="false">
      <c r="A13" s="57" t="s">
        <v>1459</v>
      </c>
      <c r="B13" s="64" t="n">
        <v>2.13</v>
      </c>
      <c r="C13" s="58" t="n">
        <f aca="false">B13/B$22*B$24</f>
        <v>3.34733413337905</v>
      </c>
      <c r="D13" s="57" t="s">
        <v>682</v>
      </c>
      <c r="E13" s="59" t="n">
        <f aca="false">IFERROR(INDEX(Correspondance!$D$2:$D$3000,MATCH(A13,Correspondance!$A$2:$A$3000,0)),0)</f>
        <v>0</v>
      </c>
      <c r="F13" s="60" t="n">
        <f aca="false">C13*E13</f>
        <v>0</v>
      </c>
      <c r="G13" s="61"/>
      <c r="I13" s="63"/>
    </row>
    <row r="14" customFormat="false" ht="15.75" hidden="false" customHeight="false" outlineLevel="0" collapsed="false">
      <c r="A14" s="57" t="s">
        <v>1084</v>
      </c>
      <c r="B14" s="57" t="n">
        <v>0.114</v>
      </c>
      <c r="C14" s="58" t="n">
        <f aca="false">B14/B$22*B$24</f>
        <v>0.179153094462541</v>
      </c>
      <c r="D14" s="57" t="s">
        <v>434</v>
      </c>
      <c r="E14" s="59" t="n">
        <f aca="false">IFERROR(INDEX(Correspondance!$D$2:$D$3000,MATCH(A14,Correspondance!$A$2:$A$3000,0)),0)</f>
        <v>2.2</v>
      </c>
      <c r="F14" s="60" t="n">
        <f aca="false">C14*E14</f>
        <v>0.39413680781759</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106.465498028459</v>
      </c>
      <c r="G19" s="61"/>
      <c r="I19" s="63"/>
    </row>
    <row r="20" customFormat="false" ht="18.75" hidden="false" customHeight="true" outlineLevel="0" collapsed="false">
      <c r="A20" s="68" t="s">
        <v>2628</v>
      </c>
      <c r="B20" s="69" t="n">
        <f aca="false">F19/B24</f>
        <v>0.96786816389508</v>
      </c>
      <c r="C20" s="70"/>
      <c r="G20" s="61"/>
      <c r="I20" s="63"/>
    </row>
    <row r="21" customFormat="false" ht="15.75" hidden="false" customHeight="false" outlineLevel="0" collapsed="false">
      <c r="A21" s="71" t="s">
        <v>2629</v>
      </c>
      <c r="B21" s="71" t="n">
        <f aca="false">SUM(B3:B18)</f>
        <v>17.499</v>
      </c>
      <c r="C21" s="66"/>
      <c r="G21" s="61"/>
      <c r="I21" s="63"/>
    </row>
    <row r="22" customFormat="false" ht="15.75" hidden="false" customHeight="false" outlineLevel="0" collapsed="false">
      <c r="A22" s="0" t="s">
        <v>2630</v>
      </c>
      <c r="B22" s="72" t="n">
        <f aca="false">B21/B23</f>
        <v>69.996</v>
      </c>
      <c r="C22" s="66"/>
      <c r="G22" s="61"/>
      <c r="I22" s="63"/>
    </row>
    <row r="23" customFormat="false" ht="15.75" hidden="false" customHeight="false" outlineLevel="0" collapsed="false">
      <c r="A23" s="0" t="s">
        <v>2631</v>
      </c>
      <c r="B23" s="0" t="n">
        <v>0.25</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224</v>
      </c>
      <c r="B1" s="50"/>
      <c r="C1" s="50"/>
      <c r="D1" s="50"/>
      <c r="E1" s="51" t="s">
        <v>2619</v>
      </c>
      <c r="F1" s="51"/>
      <c r="G1" s="52" t="s">
        <v>2895</v>
      </c>
    </row>
    <row r="2" customFormat="false" ht="24.75" hidden="false" customHeight="true" outlineLevel="0" collapsed="false">
      <c r="A2" s="50"/>
      <c r="B2" s="50"/>
      <c r="C2" s="50"/>
      <c r="D2" s="50"/>
      <c r="E2" s="53" t="s">
        <v>2636</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1585</v>
      </c>
      <c r="B4" s="57" t="n">
        <v>11.32</v>
      </c>
      <c r="C4" s="58" t="n">
        <f aca="false">B4/B$22*B$24</f>
        <v>17.8038318558765</v>
      </c>
      <c r="D4" s="57" t="s">
        <v>434</v>
      </c>
      <c r="E4" s="59" t="n">
        <f aca="false">IFERROR(INDEX(Correspondance!$D$2:$D$3000,MATCH(A4,Correspondance!$A$2:$A$3000,0)),0)</f>
        <v>9</v>
      </c>
      <c r="F4" s="60" t="n">
        <f aca="false">C4*E4</f>
        <v>160.234486702888</v>
      </c>
      <c r="G4" s="61" t="s">
        <v>2896</v>
      </c>
    </row>
    <row r="5" customFormat="false" ht="15.75" hidden="false" customHeight="false" outlineLevel="0" collapsed="false">
      <c r="A5" s="57" t="s">
        <v>1530</v>
      </c>
      <c r="B5" s="57" t="n">
        <v>2.26</v>
      </c>
      <c r="C5" s="58" t="n">
        <f aca="false">B5/B$22*B$24</f>
        <v>3.55447526451244</v>
      </c>
      <c r="D5" s="57" t="s">
        <v>434</v>
      </c>
      <c r="E5" s="59" t="n">
        <f aca="false">IFERROR(INDEX(Correspondance!$D$2:$D$3000,MATCH(A5,Correspondance!$A$2:$A$3000,0)),0)</f>
        <v>3.8</v>
      </c>
      <c r="F5" s="60" t="n">
        <f aca="false">C5*E5</f>
        <v>13.5070060051473</v>
      </c>
      <c r="G5" s="61"/>
      <c r="I5" s="62"/>
    </row>
    <row r="6" customFormat="false" ht="15.75" hidden="false" customHeight="false" outlineLevel="0" collapsed="false">
      <c r="A6" s="57" t="s">
        <v>1001</v>
      </c>
      <c r="B6" s="57" t="n">
        <v>1.13</v>
      </c>
      <c r="C6" s="58" t="n">
        <f aca="false">B6/B$22*B$24</f>
        <v>1.77723763225622</v>
      </c>
      <c r="D6" s="57" t="s">
        <v>434</v>
      </c>
      <c r="E6" s="59" t="n">
        <f aca="false">IFERROR(INDEX(Correspondance!$D$2:$D$3000,MATCH(A6,Correspondance!$A$2:$A$3000,0)),0)</f>
        <v>1.8</v>
      </c>
      <c r="F6" s="60" t="n">
        <f aca="false">C6*E6</f>
        <v>3.1990277380612</v>
      </c>
      <c r="G6" s="61"/>
      <c r="I6" s="63"/>
    </row>
    <row r="7" customFormat="false" ht="15.75" hidden="false" customHeight="false" outlineLevel="0" collapsed="false">
      <c r="A7" s="57" t="s">
        <v>587</v>
      </c>
      <c r="B7" s="57" t="n">
        <v>1.13</v>
      </c>
      <c r="C7" s="58" t="n">
        <f aca="false">B7/B$22*B$24</f>
        <v>1.77723763225622</v>
      </c>
      <c r="D7" s="57" t="s">
        <v>434</v>
      </c>
      <c r="E7" s="59" t="n">
        <f aca="false">IFERROR(INDEX(Correspondance!$D$2:$D$3000,MATCH(A7,Correspondance!$A$2:$A$3000,0)),0)</f>
        <v>8</v>
      </c>
      <c r="F7" s="60" t="n">
        <f aca="false">C7*E7</f>
        <v>14.2179010580498</v>
      </c>
      <c r="G7" s="61"/>
      <c r="I7" s="63"/>
    </row>
    <row r="8" customFormat="false" ht="15.75" hidden="false" customHeight="false" outlineLevel="0" collapsed="false">
      <c r="A8" s="57" t="s">
        <v>1973</v>
      </c>
      <c r="B8" s="57" t="n">
        <v>1.13</v>
      </c>
      <c r="C8" s="58" t="n">
        <f aca="false">B8/B$22*B$24</f>
        <v>1.77723763225622</v>
      </c>
      <c r="D8" s="57" t="s">
        <v>682</v>
      </c>
      <c r="E8" s="59" t="n">
        <f aca="false">IFERROR(INDEX(Correspondance!$D$2:$D$3000,MATCH(A8,Correspondance!$A$2:$A$3000,0)),0)</f>
        <v>2</v>
      </c>
      <c r="F8" s="60" t="n">
        <f aca="false">C8*E8</f>
        <v>3.55447526451244</v>
      </c>
      <c r="G8" s="61"/>
      <c r="I8" s="63"/>
    </row>
    <row r="9" customFormat="false" ht="15.75" hidden="false" customHeight="false" outlineLevel="0" collapsed="false">
      <c r="A9" s="57" t="s">
        <v>1459</v>
      </c>
      <c r="B9" s="57" t="n">
        <v>2.26</v>
      </c>
      <c r="C9" s="58" t="n">
        <f aca="false">B9/B$22*B$24</f>
        <v>3.55447526451244</v>
      </c>
      <c r="D9" s="57" t="s">
        <v>682</v>
      </c>
      <c r="E9" s="59" t="n">
        <f aca="false">IFERROR(INDEX(Correspondance!$D$2:$D$3000,MATCH(A9,Correspondance!$A$2:$A$3000,0)),0)</f>
        <v>0</v>
      </c>
      <c r="F9" s="60" t="n">
        <f aca="false">C9*E9</f>
        <v>0</v>
      </c>
      <c r="G9" s="61"/>
      <c r="I9" s="63"/>
    </row>
    <row r="10" customFormat="false" ht="15.75" hidden="false" customHeight="false" outlineLevel="0" collapsed="false">
      <c r="A10" s="57" t="s">
        <v>1100</v>
      </c>
      <c r="B10" s="57" t="n">
        <v>0.113</v>
      </c>
      <c r="C10" s="58" t="n">
        <f aca="false">B10/B$22*B$24</f>
        <v>0.177723763225622</v>
      </c>
      <c r="D10" s="57" t="s">
        <v>434</v>
      </c>
      <c r="E10" s="59" t="n">
        <f aca="false">IFERROR(INDEX(Correspondance!$D$2:$D$3000,MATCH(A10,Correspondance!$A$2:$A$3000,0)),0)</f>
        <v>10</v>
      </c>
      <c r="F10" s="60" t="n">
        <f aca="false">C10*E10</f>
        <v>1.77723763225622</v>
      </c>
      <c r="G10" s="61"/>
      <c r="I10" s="63"/>
    </row>
    <row r="11" customFormat="false" ht="15.75" hidden="false" customHeight="false" outlineLevel="0" collapsed="false">
      <c r="A11" s="57" t="s">
        <v>1576</v>
      </c>
      <c r="B11" s="57" t="n">
        <v>1.13</v>
      </c>
      <c r="C11" s="58" t="n">
        <f aca="false">B11/B$22*B$24</f>
        <v>1.77723763225622</v>
      </c>
      <c r="D11" s="57" t="s">
        <v>434</v>
      </c>
      <c r="E11" s="59" t="n">
        <f aca="false">IFERROR(INDEX(Correspondance!$D$2:$D$3000,MATCH(A11,Correspondance!$A$2:$A$3000,0)),0)</f>
        <v>5.5</v>
      </c>
      <c r="F11" s="60" t="n">
        <f aca="false">C11*E11</f>
        <v>9.77480697740921</v>
      </c>
      <c r="G11" s="61"/>
      <c r="I11" s="63"/>
    </row>
    <row r="12" customFormat="false" ht="18.75" hidden="false" customHeight="true" outlineLevel="0" collapsed="false">
      <c r="A12" s="57" t="s">
        <v>1084</v>
      </c>
      <c r="B12" s="64" t="n">
        <v>0.17</v>
      </c>
      <c r="C12" s="58" t="n">
        <f aca="false">B12/B$22*B$24</f>
        <v>0.26737203317129</v>
      </c>
      <c r="D12" s="57" t="s">
        <v>434</v>
      </c>
      <c r="E12" s="59" t="n">
        <f aca="false">IFERROR(INDEX(Correspondance!$D$2:$D$3000,MATCH(A12,Correspondance!$A$2:$A$3000,0)),0)</f>
        <v>2.2</v>
      </c>
      <c r="F12" s="60" t="n">
        <f aca="false">C12*E12</f>
        <v>0.588218472976837</v>
      </c>
      <c r="G12" s="61"/>
      <c r="I12" s="63"/>
    </row>
    <row r="13" customFormat="false" ht="18.75" hidden="false" customHeight="true" outlineLevel="0" collapsed="false">
      <c r="A13" s="57" t="s">
        <v>1675</v>
      </c>
      <c r="B13" s="64" t="n">
        <v>0.226</v>
      </c>
      <c r="C13" s="58" t="n">
        <f aca="false">B13/B$22*B$24</f>
        <v>0.355447526451244</v>
      </c>
      <c r="D13" s="57" t="s">
        <v>682</v>
      </c>
      <c r="E13" s="59" t="n">
        <f aca="false">IFERROR(INDEX(Correspondance!$D$2:$D$3000,MATCH(A13,Correspondance!$A$2:$A$3000,0)),0)</f>
        <v>2.2</v>
      </c>
      <c r="F13" s="60" t="n">
        <f aca="false">C13*E13</f>
        <v>0.781984558192737</v>
      </c>
      <c r="G13" s="61"/>
      <c r="I13" s="63"/>
    </row>
    <row r="14" customFormat="false" ht="15.75" hidden="false" customHeight="false" outlineLevel="0" collapsed="false">
      <c r="A14" s="57" t="s">
        <v>1919</v>
      </c>
      <c r="B14" s="57" t="n">
        <v>0.102</v>
      </c>
      <c r="C14" s="58" t="n">
        <f aca="false">B14/B$22*B$24</f>
        <v>0.160423219902774</v>
      </c>
      <c r="D14" s="57" t="s">
        <v>434</v>
      </c>
      <c r="E14" s="59" t="n">
        <f aca="false">IFERROR(INDEX(Correspondance!$D$2:$D$3000,MATCH(A14,Correspondance!$A$2:$A$3000,0)),0)</f>
        <v>2</v>
      </c>
      <c r="F14" s="60" t="n">
        <f aca="false">C14*E14</f>
        <v>0.320846439805548</v>
      </c>
      <c r="G14" s="61"/>
      <c r="I14" s="63"/>
    </row>
    <row r="15" customFormat="false" ht="15.75" hidden="false" customHeight="false" outlineLevel="0" collapsed="false">
      <c r="A15" s="57" t="s">
        <v>1796</v>
      </c>
      <c r="B15" s="57" t="n">
        <v>0.011</v>
      </c>
      <c r="C15" s="58" t="n">
        <f aca="false">B15/B$22*B$24</f>
        <v>0.0173005433228482</v>
      </c>
      <c r="D15" s="57" t="s">
        <v>434</v>
      </c>
      <c r="E15" s="59" t="n">
        <f aca="false">IFERROR(INDEX(Correspondance!$D$2:$D$3000,MATCH(A15,Correspondance!$A$2:$A$3000,0)),0)</f>
        <v>18</v>
      </c>
      <c r="F15" s="60" t="n">
        <f aca="false">C15*E15</f>
        <v>0.311409779811267</v>
      </c>
      <c r="G15" s="61"/>
      <c r="I15" s="63"/>
    </row>
    <row r="16" customFormat="false" ht="15.75" hidden="false" customHeight="false" outlineLevel="0" collapsed="false">
      <c r="A16" s="57" t="s">
        <v>1948</v>
      </c>
      <c r="B16" s="57"/>
      <c r="C16" s="58" t="n">
        <f aca="false">B16/B$22*B$24</f>
        <v>0</v>
      </c>
      <c r="D16" s="57" t="s">
        <v>434</v>
      </c>
      <c r="E16" s="59" t="n">
        <f aca="false">IFERROR(INDEX(Correspondance!$D$2:$D$3000,MATCH(A16,Correspondance!$A$2:$A$3000,0)),0)</f>
        <v>16</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208.267400629111</v>
      </c>
      <c r="G19" s="61"/>
      <c r="I19" s="63"/>
    </row>
    <row r="20" customFormat="false" ht="18.75" hidden="false" customHeight="true" outlineLevel="0" collapsed="false">
      <c r="A20" s="68" t="s">
        <v>2628</v>
      </c>
      <c r="B20" s="69" t="n">
        <f aca="false">F19/B24</f>
        <v>1.89334000571919</v>
      </c>
      <c r="C20" s="70"/>
      <c r="G20" s="61"/>
      <c r="I20" s="63"/>
    </row>
    <row r="21" customFormat="false" ht="15.75" hidden="false" customHeight="false" outlineLevel="0" collapsed="false">
      <c r="A21" s="71" t="s">
        <v>2629</v>
      </c>
      <c r="B21" s="71" t="n">
        <f aca="false">SUM(B3:B18)</f>
        <v>20.982</v>
      </c>
      <c r="C21" s="66"/>
      <c r="G21" s="61"/>
      <c r="I21" s="63"/>
    </row>
    <row r="22" customFormat="false" ht="15.75" hidden="false" customHeight="false" outlineLevel="0" collapsed="false">
      <c r="A22" s="0" t="s">
        <v>2630</v>
      </c>
      <c r="B22" s="72" t="n">
        <f aca="false">B21/B23</f>
        <v>69.94</v>
      </c>
      <c r="C22" s="66"/>
      <c r="G22" s="61"/>
      <c r="I22" s="63"/>
    </row>
    <row r="23" customFormat="false" ht="15.75" hidden="false" customHeight="false" outlineLevel="0" collapsed="false">
      <c r="A23" s="0" t="s">
        <v>2631</v>
      </c>
      <c r="B23" s="0" t="n">
        <v>0.3</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225</v>
      </c>
      <c r="B1" s="50"/>
      <c r="C1" s="50"/>
      <c r="D1" s="50"/>
      <c r="E1" s="51" t="s">
        <v>2619</v>
      </c>
      <c r="F1" s="51"/>
      <c r="G1" s="52" t="s">
        <v>2897</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1935</v>
      </c>
      <c r="B4" s="57" t="n">
        <v>7.05</v>
      </c>
      <c r="C4" s="58" t="n">
        <f aca="false">B4/B$22*B$24</f>
        <v>11.0750555379245</v>
      </c>
      <c r="D4" s="57" t="s">
        <v>434</v>
      </c>
      <c r="E4" s="59" t="n">
        <f aca="false">IFERROR(INDEX(Correspondance!$D$2:$D$3000,MATCH(A4,Correspondance!$A$2:$A$3000,0)),0)</f>
        <v>10.5</v>
      </c>
      <c r="F4" s="60" t="n">
        <f aca="false">C4*E4</f>
        <v>116.288083148207</v>
      </c>
      <c r="G4" s="61" t="s">
        <v>2898</v>
      </c>
    </row>
    <row r="5" customFormat="false" ht="15.75" hidden="false" customHeight="false" outlineLevel="0" collapsed="false">
      <c r="A5" s="57" t="s">
        <v>1758</v>
      </c>
      <c r="B5" s="57" t="n">
        <v>3.88</v>
      </c>
      <c r="C5" s="58" t="n">
        <f aca="false">B5/B$22*B$24</f>
        <v>6.0952078705173</v>
      </c>
      <c r="D5" s="57" t="s">
        <v>434</v>
      </c>
      <c r="E5" s="59" t="n">
        <f aca="false">IFERROR(INDEX(Correspondance!$D$2:$D$3000,MATCH(A5,Correspondance!$A$2:$A$3000,0)),0)</f>
        <v>4.55</v>
      </c>
      <c r="F5" s="60" t="n">
        <f aca="false">C5*E5</f>
        <v>27.7331958108537</v>
      </c>
      <c r="G5" s="61"/>
      <c r="I5" s="62"/>
    </row>
    <row r="6" customFormat="false" ht="15.75" hidden="false" customHeight="false" outlineLevel="0" collapsed="false">
      <c r="A6" s="57" t="s">
        <v>1532</v>
      </c>
      <c r="B6" s="57" t="n">
        <v>1.41</v>
      </c>
      <c r="C6" s="58" t="n">
        <f aca="false">B6/B$22*B$24</f>
        <v>2.21501110758489</v>
      </c>
      <c r="D6" s="57" t="s">
        <v>434</v>
      </c>
      <c r="E6" s="59" t="n">
        <f aca="false">IFERROR(INDEX(Correspondance!$D$2:$D$3000,MATCH(A6,Correspondance!$A$2:$A$3000,0)),0)</f>
        <v>9.5</v>
      </c>
      <c r="F6" s="60" t="n">
        <f aca="false">C6*E6</f>
        <v>21.0426055220565</v>
      </c>
      <c r="G6" s="61"/>
      <c r="I6" s="63"/>
    </row>
    <row r="7" customFormat="false" ht="15.75" hidden="false" customHeight="false" outlineLevel="0" collapsed="false">
      <c r="A7" s="57" t="s">
        <v>1960</v>
      </c>
      <c r="B7" s="57" t="n">
        <v>2.2</v>
      </c>
      <c r="C7" s="58" t="n">
        <f aca="false">B7/B$22*B$24</f>
        <v>3.45604569977785</v>
      </c>
      <c r="D7" s="57" t="s">
        <v>434</v>
      </c>
      <c r="E7" s="59" t="n">
        <f aca="false">IFERROR(INDEX(Correspondance!$D$2:$D$3000,MATCH(A7,Correspondance!$A$2:$A$3000,0)),0)</f>
        <v>2.4</v>
      </c>
      <c r="F7" s="60" t="n">
        <f aca="false">C7*E7</f>
        <v>8.29450967946684</v>
      </c>
      <c r="G7" s="61"/>
      <c r="I7" s="63"/>
    </row>
    <row r="8" customFormat="false" ht="15.75" hidden="false" customHeight="false" outlineLevel="0" collapsed="false">
      <c r="A8" s="57" t="s">
        <v>882</v>
      </c>
      <c r="B8" s="57" t="n">
        <v>1.32</v>
      </c>
      <c r="C8" s="58" t="n">
        <f aca="false">B8/B$22*B$24</f>
        <v>2.07362741986671</v>
      </c>
      <c r="D8" s="57" t="s">
        <v>434</v>
      </c>
      <c r="E8" s="59" t="n">
        <f aca="false">IFERROR(INDEX(Correspondance!$D$2:$D$3000,MATCH(A8,Correspondance!$A$2:$A$3000,0)),0)</f>
        <v>2.6</v>
      </c>
      <c r="F8" s="60" t="n">
        <f aca="false">C8*E8</f>
        <v>5.39143129165345</v>
      </c>
      <c r="G8" s="61"/>
      <c r="I8" s="63"/>
    </row>
    <row r="9" customFormat="false" ht="15.75" hidden="false" customHeight="false" outlineLevel="0" collapsed="false">
      <c r="A9" s="57" t="s">
        <v>835</v>
      </c>
      <c r="B9" s="57" t="n">
        <v>0.881</v>
      </c>
      <c r="C9" s="58" t="n">
        <f aca="false">B9/B$22*B$24</f>
        <v>1.38398920977467</v>
      </c>
      <c r="D9" s="57" t="s">
        <v>434</v>
      </c>
      <c r="E9" s="59" t="n">
        <f aca="false">IFERROR(INDEX(Correspondance!$D$2:$D$3000,MATCH(A9,Correspondance!$A$2:$A$3000,0)),0)</f>
        <v>1.8</v>
      </c>
      <c r="F9" s="60" t="n">
        <f aca="false">C9*E9</f>
        <v>2.49118057759442</v>
      </c>
      <c r="G9" s="61"/>
      <c r="I9" s="63"/>
    </row>
    <row r="10" customFormat="false" ht="15.75" hidden="false" customHeight="false" outlineLevel="0" collapsed="false">
      <c r="A10" s="57" t="s">
        <v>1213</v>
      </c>
      <c r="B10" s="57" t="n">
        <v>0.881</v>
      </c>
      <c r="C10" s="58" t="n">
        <f aca="false">B10/B$22*B$24</f>
        <v>1.38398920977467</v>
      </c>
      <c r="D10" s="57" t="s">
        <v>434</v>
      </c>
      <c r="E10" s="59" t="n">
        <f aca="false">IFERROR(INDEX(Correspondance!$D$2:$D$3000,MATCH(A10,Correspondance!$A$2:$A$3000,0)),0)</f>
        <v>3</v>
      </c>
      <c r="F10" s="60" t="n">
        <f aca="false">C10*E10</f>
        <v>4.15196762932403</v>
      </c>
      <c r="G10" s="61"/>
      <c r="I10" s="63"/>
    </row>
    <row r="11" customFormat="false" ht="15.75" hidden="false" customHeight="false" outlineLevel="0" collapsed="false">
      <c r="A11" s="57" t="s">
        <v>1709</v>
      </c>
      <c r="B11" s="57" t="n">
        <v>0.705</v>
      </c>
      <c r="C11" s="58" t="n">
        <f aca="false">B11/B$22*B$24</f>
        <v>1.10750555379245</v>
      </c>
      <c r="D11" s="57" t="s">
        <v>434</v>
      </c>
      <c r="E11" s="59" t="n">
        <f aca="false">IFERROR(INDEX(Correspondance!$D$2:$D$3000,MATCH(A11,Correspondance!$A$2:$A$3000,0)),0)</f>
        <v>4.5</v>
      </c>
      <c r="F11" s="60" t="n">
        <f aca="false">C11*E11</f>
        <v>4.98377499206601</v>
      </c>
      <c r="G11" s="61"/>
      <c r="I11" s="63"/>
    </row>
    <row r="12" customFormat="false" ht="18.75" hidden="false" customHeight="true" outlineLevel="0" collapsed="false">
      <c r="A12" s="57" t="s">
        <v>1569</v>
      </c>
      <c r="B12" s="64" t="n">
        <v>0.44</v>
      </c>
      <c r="C12" s="58" t="n">
        <f aca="false">B12/B$22*B$24</f>
        <v>0.69120913995557</v>
      </c>
      <c r="D12" s="57" t="s">
        <v>434</v>
      </c>
      <c r="E12" s="59" t="n">
        <f aca="false">IFERROR(INDEX(Correspondance!$D$2:$D$3000,MATCH(A12,Correspondance!$A$2:$A$3000,0)),0)</f>
        <v>6</v>
      </c>
      <c r="F12" s="60" t="n">
        <f aca="false">C12*E12</f>
        <v>4.14725483973342</v>
      </c>
      <c r="G12" s="61"/>
      <c r="I12" s="63"/>
    </row>
    <row r="13" customFormat="false" ht="18.75" hidden="false" customHeight="true" outlineLevel="0" collapsed="false">
      <c r="A13" s="57" t="s">
        <v>1675</v>
      </c>
      <c r="B13" s="64" t="n">
        <v>0.088</v>
      </c>
      <c r="C13" s="58" t="n">
        <f aca="false">B13/B$22*B$24</f>
        <v>0.138241827991114</v>
      </c>
      <c r="D13" s="57" t="s">
        <v>682</v>
      </c>
      <c r="E13" s="59" t="n">
        <f aca="false">IFERROR(INDEX(Correspondance!$D$2:$D$3000,MATCH(A13,Correspondance!$A$2:$A$3000,0)),0)</f>
        <v>2.2</v>
      </c>
      <c r="F13" s="60" t="n">
        <f aca="false">C13*E13</f>
        <v>0.304132021580451</v>
      </c>
      <c r="G13" s="61"/>
      <c r="I13" s="63"/>
    </row>
    <row r="14" customFormat="false" ht="15.75" hidden="false" customHeight="false" outlineLevel="0" collapsed="false">
      <c r="A14" s="57" t="s">
        <v>1919</v>
      </c>
      <c r="B14" s="57" t="n">
        <v>0.044</v>
      </c>
      <c r="C14" s="58" t="n">
        <f aca="false">B14/B$22*B$24</f>
        <v>0.069120913995557</v>
      </c>
      <c r="D14" s="57" t="s">
        <v>434</v>
      </c>
      <c r="E14" s="59" t="n">
        <f aca="false">IFERROR(INDEX(Correspondance!$D$2:$D$3000,MATCH(A14,Correspondance!$A$2:$A$3000,0)),0)</f>
        <v>2</v>
      </c>
      <c r="F14" s="60" t="n">
        <f aca="false">C14*E14</f>
        <v>0.138241827991114</v>
      </c>
      <c r="G14" s="61"/>
      <c r="I14" s="63"/>
    </row>
    <row r="15" customFormat="false" ht="15.75" hidden="false" customHeight="false" outlineLevel="0" collapsed="false">
      <c r="A15" s="57" t="s">
        <v>1796</v>
      </c>
      <c r="B15" s="57" t="n">
        <v>0.007</v>
      </c>
      <c r="C15" s="58" t="n">
        <f aca="false">B15/B$22*B$24</f>
        <v>0.0109965090447477</v>
      </c>
      <c r="D15" s="57" t="s">
        <v>434</v>
      </c>
      <c r="E15" s="59" t="n">
        <f aca="false">IFERROR(INDEX(Correspondance!$D$2:$D$3000,MATCH(A15,Correspondance!$A$2:$A$3000,0)),0)</f>
        <v>18</v>
      </c>
      <c r="F15" s="60" t="n">
        <f aca="false">C15*E15</f>
        <v>0.197937162805459</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195.164314503332</v>
      </c>
      <c r="G19" s="61"/>
      <c r="I19" s="63"/>
    </row>
    <row r="20" customFormat="false" ht="18.75" hidden="false" customHeight="true" outlineLevel="0" collapsed="false">
      <c r="A20" s="68" t="s">
        <v>2628</v>
      </c>
      <c r="B20" s="69" t="n">
        <f aca="false">F19/B24</f>
        <v>1.77422104093938</v>
      </c>
      <c r="C20" s="70"/>
      <c r="G20" s="61"/>
      <c r="I20" s="63"/>
    </row>
    <row r="21" customFormat="false" ht="15.75" hidden="false" customHeight="false" outlineLevel="0" collapsed="false">
      <c r="A21" s="71" t="s">
        <v>2629</v>
      </c>
      <c r="B21" s="71" t="n">
        <f aca="false">SUM(B3:B18)</f>
        <v>18.906</v>
      </c>
      <c r="C21" s="66"/>
      <c r="G21" s="61"/>
      <c r="I21" s="63"/>
    </row>
    <row r="22" customFormat="false" ht="15.75" hidden="false" customHeight="false" outlineLevel="0" collapsed="false">
      <c r="A22" s="0" t="s">
        <v>2630</v>
      </c>
      <c r="B22" s="72" t="n">
        <f aca="false">B21/B23</f>
        <v>70.0222222222222</v>
      </c>
      <c r="C22" s="66"/>
      <c r="G22" s="61"/>
      <c r="I22" s="63"/>
    </row>
    <row r="23" customFormat="false" ht="15.75" hidden="false" customHeight="false" outlineLevel="0" collapsed="false">
      <c r="A23" s="0" t="s">
        <v>2631</v>
      </c>
      <c r="B23" s="0" t="n">
        <v>0.27</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226</v>
      </c>
      <c r="B1" s="50"/>
      <c r="C1" s="50"/>
      <c r="D1" s="50"/>
      <c r="E1" s="51" t="s">
        <v>2619</v>
      </c>
      <c r="F1" s="51"/>
      <c r="G1" s="52" t="s">
        <v>2899</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1972</v>
      </c>
      <c r="B4" s="57" t="n">
        <v>7.25</v>
      </c>
      <c r="C4" s="58" t="n">
        <f aca="false">B4/B$22*B$24</f>
        <v>11.3928571428571</v>
      </c>
      <c r="D4" s="57" t="s">
        <v>434</v>
      </c>
      <c r="E4" s="59" t="n">
        <f aca="false">IFERROR(INDEX(Correspondance!$D$2:$D$3000,MATCH(A4,Correspondance!$A$2:$A$3000,0)),0)</f>
        <v>9</v>
      </c>
      <c r="F4" s="60" t="n">
        <f aca="false">C4*E4</f>
        <v>102.535714285714</v>
      </c>
      <c r="G4" s="61" t="s">
        <v>2900</v>
      </c>
    </row>
    <row r="5" customFormat="false" ht="15.75" hidden="false" customHeight="false" outlineLevel="0" collapsed="false">
      <c r="A5" s="57" t="s">
        <v>1759</v>
      </c>
      <c r="B5" s="57" t="n">
        <v>5.07</v>
      </c>
      <c r="C5" s="58" t="n">
        <f aca="false">B5/B$22*B$24</f>
        <v>7.96714285714286</v>
      </c>
      <c r="D5" s="57" t="s">
        <v>434</v>
      </c>
      <c r="E5" s="59" t="n">
        <f aca="false">IFERROR(INDEX(Correspondance!$D$2:$D$3000,MATCH(A5,Correspondance!$A$2:$A$3000,0)),0)</f>
        <v>4.29</v>
      </c>
      <c r="F5" s="60" t="n">
        <f aca="false">C5*E5</f>
        <v>34.1790428571429</v>
      </c>
      <c r="G5" s="61"/>
      <c r="I5" s="62"/>
    </row>
    <row r="6" customFormat="false" ht="15.75" hidden="false" customHeight="false" outlineLevel="0" collapsed="false">
      <c r="A6" s="57" t="s">
        <v>1960</v>
      </c>
      <c r="B6" s="57" t="n">
        <v>2.26</v>
      </c>
      <c r="C6" s="58" t="n">
        <f aca="false">B6/B$22*B$24</f>
        <v>3.55142857142857</v>
      </c>
      <c r="D6" s="57" t="s">
        <v>434</v>
      </c>
      <c r="E6" s="59" t="n">
        <f aca="false">IFERROR(INDEX(Correspondance!$D$2:$D$3000,MATCH(A6,Correspondance!$A$2:$A$3000,0)),0)</f>
        <v>2.4</v>
      </c>
      <c r="F6" s="60" t="n">
        <f aca="false">C6*E6</f>
        <v>8.52342857142857</v>
      </c>
      <c r="G6" s="61"/>
      <c r="I6" s="63"/>
    </row>
    <row r="7" customFormat="false" ht="15.75" hidden="false" customHeight="false" outlineLevel="0" collapsed="false">
      <c r="A7" s="57" t="s">
        <v>1003</v>
      </c>
      <c r="B7" s="57" t="n">
        <v>0.906</v>
      </c>
      <c r="C7" s="58" t="n">
        <f aca="false">B7/B$22*B$24</f>
        <v>1.42371428571429</v>
      </c>
      <c r="D7" s="57" t="s">
        <v>434</v>
      </c>
      <c r="E7" s="59" t="n">
        <f aca="false">IFERROR(INDEX(Correspondance!$D$2:$D$3000,MATCH(A7,Correspondance!$A$2:$A$3000,0)),0)</f>
        <v>1.9</v>
      </c>
      <c r="F7" s="60" t="n">
        <f aca="false">C7*E7</f>
        <v>2.70505714285714</v>
      </c>
      <c r="G7" s="61"/>
      <c r="I7" s="63"/>
    </row>
    <row r="8" customFormat="false" ht="15.75" hidden="false" customHeight="false" outlineLevel="0" collapsed="false">
      <c r="A8" s="57" t="s">
        <v>882</v>
      </c>
      <c r="B8" s="57" t="n">
        <v>1.36</v>
      </c>
      <c r="C8" s="58" t="n">
        <f aca="false">B8/B$22*B$24</f>
        <v>2.13714285714286</v>
      </c>
      <c r="D8" s="57" t="s">
        <v>434</v>
      </c>
      <c r="E8" s="59" t="n">
        <f aca="false">IFERROR(INDEX(Correspondance!$D$2:$D$3000,MATCH(A8,Correspondance!$A$2:$A$3000,0)),0)</f>
        <v>2.6</v>
      </c>
      <c r="F8" s="60" t="n">
        <f aca="false">C8*E8</f>
        <v>5.55657142857143</v>
      </c>
      <c r="G8" s="61"/>
      <c r="I8" s="63"/>
    </row>
    <row r="9" customFormat="false" ht="15.75" hidden="false" customHeight="false" outlineLevel="0" collapsed="false">
      <c r="A9" s="57" t="s">
        <v>1641</v>
      </c>
      <c r="B9" s="57" t="n">
        <v>1.36</v>
      </c>
      <c r="C9" s="58" t="n">
        <f aca="false">B9/B$22*B$24</f>
        <v>2.13714285714286</v>
      </c>
      <c r="D9" s="57" t="s">
        <v>434</v>
      </c>
      <c r="E9" s="59" t="n">
        <f aca="false">IFERROR(INDEX(Correspondance!$D$2:$D$3000,MATCH(A9,Correspondance!$A$2:$A$3000,0)),0)</f>
        <v>2.8</v>
      </c>
      <c r="F9" s="60" t="n">
        <f aca="false">C9*E9</f>
        <v>5.984</v>
      </c>
      <c r="G9" s="61"/>
      <c r="I9" s="63"/>
    </row>
    <row r="10" customFormat="false" ht="15.75" hidden="false" customHeight="false" outlineLevel="0" collapsed="false">
      <c r="A10" s="57" t="s">
        <v>1709</v>
      </c>
      <c r="B10" s="57" t="n">
        <v>0.453</v>
      </c>
      <c r="C10" s="58" t="n">
        <f aca="false">B10/B$22*B$24</f>
        <v>0.711857142857143</v>
      </c>
      <c r="D10" s="57" t="s">
        <v>434</v>
      </c>
      <c r="E10" s="59" t="n">
        <f aca="false">IFERROR(INDEX(Correspondance!$D$2:$D$3000,MATCH(A10,Correspondance!$A$2:$A$3000,0)),0)</f>
        <v>4.5</v>
      </c>
      <c r="F10" s="60" t="n">
        <f aca="false">C10*E10</f>
        <v>3.20335714285714</v>
      </c>
      <c r="G10" s="61"/>
      <c r="I10" s="63"/>
    </row>
    <row r="11" customFormat="false" ht="15.75" hidden="false" customHeight="false" outlineLevel="0" collapsed="false">
      <c r="A11" s="57" t="s">
        <v>894</v>
      </c>
      <c r="B11" s="57" t="n">
        <v>0.027</v>
      </c>
      <c r="C11" s="58" t="n">
        <f aca="false">B11/B$22*B$24</f>
        <v>0.0424285714285714</v>
      </c>
      <c r="D11" s="57" t="s">
        <v>434</v>
      </c>
      <c r="E11" s="59" t="n">
        <f aca="false">IFERROR(INDEX(Correspondance!$D$2:$D$3000,MATCH(A11,Correspondance!$A$2:$A$3000,0)),0)</f>
        <v>5.5</v>
      </c>
      <c r="F11" s="60" t="n">
        <f aca="false">C11*E11</f>
        <v>0.233357142857143</v>
      </c>
      <c r="G11" s="61"/>
      <c r="I11" s="63"/>
    </row>
    <row r="12" customFormat="false" ht="18.75" hidden="false" customHeight="true" outlineLevel="0" collapsed="false">
      <c r="A12" s="57" t="s">
        <v>1291</v>
      </c>
      <c r="B12" s="64" t="n">
        <v>0.091</v>
      </c>
      <c r="C12" s="58" t="n">
        <f aca="false">B12/B$22*B$24</f>
        <v>0.143</v>
      </c>
      <c r="D12" s="57" t="s">
        <v>682</v>
      </c>
      <c r="E12" s="59" t="n">
        <f aca="false">IFERROR(INDEX(Correspondance!$D$2:$D$3000,MATCH(A12,Correspondance!$A$2:$A$3000,0)),0)</f>
        <v>2.5</v>
      </c>
      <c r="F12" s="60" t="n">
        <f aca="false">C12*E12</f>
        <v>0.3575</v>
      </c>
      <c r="G12" s="61"/>
      <c r="I12" s="63"/>
    </row>
    <row r="13" customFormat="false" ht="18.75" hidden="false" customHeight="true" outlineLevel="0" collapsed="false">
      <c r="A13" s="57" t="s">
        <v>1675</v>
      </c>
      <c r="B13" s="64" t="n">
        <v>0.091</v>
      </c>
      <c r="C13" s="58" t="n">
        <f aca="false">B13/B$22*B$24</f>
        <v>0.143</v>
      </c>
      <c r="D13" s="57" t="s">
        <v>682</v>
      </c>
      <c r="E13" s="59" t="n">
        <f aca="false">IFERROR(INDEX(Correspondance!$D$2:$D$3000,MATCH(A13,Correspondance!$A$2:$A$3000,0)),0)</f>
        <v>2.2</v>
      </c>
      <c r="F13" s="60" t="n">
        <f aca="false">C13*E13</f>
        <v>0.3146</v>
      </c>
      <c r="G13" s="61"/>
      <c r="I13" s="63"/>
    </row>
    <row r="14" customFormat="false" ht="15.75" hidden="false" customHeight="false" outlineLevel="0" collapsed="false">
      <c r="A14" s="57" t="s">
        <v>1919</v>
      </c>
      <c r="B14" s="57" t="n">
        <v>0.027</v>
      </c>
      <c r="C14" s="58" t="n">
        <f aca="false">B14/B$22*B$24</f>
        <v>0.0424285714285714</v>
      </c>
      <c r="D14" s="57" t="s">
        <v>434</v>
      </c>
      <c r="E14" s="59" t="n">
        <f aca="false">IFERROR(INDEX(Correspondance!$D$2:$D$3000,MATCH(A14,Correspondance!$A$2:$A$3000,0)),0)</f>
        <v>2</v>
      </c>
      <c r="F14" s="60" t="n">
        <f aca="false">C14*E14</f>
        <v>0.0848571428571429</v>
      </c>
      <c r="G14" s="61"/>
      <c r="I14" s="63"/>
    </row>
    <row r="15" customFormat="false" ht="15.75" hidden="false" customHeight="false" outlineLevel="0" collapsed="false">
      <c r="A15" s="57" t="s">
        <v>1796</v>
      </c>
      <c r="B15" s="57" t="n">
        <v>0.005</v>
      </c>
      <c r="C15" s="58" t="n">
        <f aca="false">B15/B$22*B$24</f>
        <v>0.00785714285714286</v>
      </c>
      <c r="D15" s="57" t="s">
        <v>434</v>
      </c>
      <c r="E15" s="59" t="n">
        <f aca="false">IFERROR(INDEX(Correspondance!$D$2:$D$3000,MATCH(A15,Correspondance!$A$2:$A$3000,0)),0)</f>
        <v>18</v>
      </c>
      <c r="F15" s="60" t="n">
        <f aca="false">C15*E15</f>
        <v>0.141428571428571</v>
      </c>
      <c r="G15" s="61"/>
      <c r="I15" s="63"/>
    </row>
    <row r="16" customFormat="false" ht="15.75" hidden="false" customHeight="false" outlineLevel="0" collapsed="false">
      <c r="A16" s="57" t="s">
        <v>1720</v>
      </c>
      <c r="B16" s="57"/>
      <c r="C16" s="58" t="n">
        <f aca="false">B16/B$22*B$24</f>
        <v>0</v>
      </c>
      <c r="D16" s="57" t="s">
        <v>434</v>
      </c>
      <c r="E16" s="59" t="n">
        <f aca="false">IFERROR(INDEX(Correspondance!$D$2:$D$3000,MATCH(A16,Correspondance!$A$2:$A$3000,0)),0)</f>
        <v>13</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163.818914285714</v>
      </c>
      <c r="G19" s="61"/>
      <c r="I19" s="63"/>
    </row>
    <row r="20" customFormat="false" ht="18.75" hidden="false" customHeight="true" outlineLevel="0" collapsed="false">
      <c r="A20" s="68" t="s">
        <v>2628</v>
      </c>
      <c r="B20" s="69" t="n">
        <f aca="false">F19/B24</f>
        <v>1.48926285714286</v>
      </c>
      <c r="C20" s="70"/>
      <c r="G20" s="61"/>
      <c r="I20" s="63"/>
    </row>
    <row r="21" customFormat="false" ht="15.75" hidden="false" customHeight="false" outlineLevel="0" collapsed="false">
      <c r="A21" s="71" t="s">
        <v>2629</v>
      </c>
      <c r="B21" s="71" t="n">
        <f aca="false">SUM(B3:B18)</f>
        <v>18.9</v>
      </c>
      <c r="C21" s="66"/>
      <c r="G21" s="61"/>
      <c r="I21" s="63"/>
    </row>
    <row r="22" customFormat="false" ht="15.75" hidden="false" customHeight="false" outlineLevel="0" collapsed="false">
      <c r="A22" s="0" t="s">
        <v>2630</v>
      </c>
      <c r="B22" s="72" t="n">
        <f aca="false">B21/B23</f>
        <v>70</v>
      </c>
      <c r="C22" s="66"/>
      <c r="G22" s="61"/>
      <c r="I22" s="63"/>
    </row>
    <row r="23" customFormat="false" ht="15.75" hidden="false" customHeight="false" outlineLevel="0" collapsed="false">
      <c r="A23" s="0" t="s">
        <v>2631</v>
      </c>
      <c r="B23" s="0" t="n">
        <v>0.27</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227</v>
      </c>
      <c r="B1" s="50"/>
      <c r="C1" s="50"/>
      <c r="D1" s="50"/>
      <c r="E1" s="51" t="s">
        <v>2619</v>
      </c>
      <c r="F1" s="51"/>
      <c r="G1" s="52" t="s">
        <v>2901</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1476</v>
      </c>
      <c r="B4" s="57" t="n">
        <v>9.6</v>
      </c>
      <c r="C4" s="58" t="n">
        <f aca="false">B4/B$22*B$24</f>
        <v>15.0803284541235</v>
      </c>
      <c r="D4" s="57" t="s">
        <v>434</v>
      </c>
      <c r="E4" s="59" t="n">
        <f aca="false">IFERROR(INDEX(Correspondance!$D$2:$D$3000,MATCH(A4,Correspondance!$A$2:$A$3000,0)),0)</f>
        <v>11</v>
      </c>
      <c r="F4" s="60" t="n">
        <f aca="false">C4*E4</f>
        <v>165.883612995359</v>
      </c>
      <c r="G4" s="61" t="s">
        <v>2902</v>
      </c>
    </row>
    <row r="5" customFormat="false" ht="15.75" hidden="false" customHeight="false" outlineLevel="0" collapsed="false">
      <c r="A5" s="57" t="s">
        <v>1298</v>
      </c>
      <c r="B5" s="57" t="n">
        <v>0.384</v>
      </c>
      <c r="C5" s="58" t="n">
        <f aca="false">B5/B$22*B$24</f>
        <v>0.603213138164941</v>
      </c>
      <c r="D5" s="57" t="s">
        <v>434</v>
      </c>
      <c r="E5" s="59" t="n">
        <f aca="false">IFERROR(INDEX(Correspondance!$D$2:$D$3000,MATCH(A5,Correspondance!$A$2:$A$3000,0)),0)</f>
        <v>9</v>
      </c>
      <c r="F5" s="60" t="n">
        <f aca="false">C5*E5</f>
        <v>5.42891824348447</v>
      </c>
      <c r="G5" s="61"/>
      <c r="I5" s="62"/>
    </row>
    <row r="6" customFormat="false" ht="15.75" hidden="false" customHeight="false" outlineLevel="0" collapsed="false">
      <c r="A6" s="57" t="s">
        <v>1576</v>
      </c>
      <c r="B6" s="57" t="n">
        <v>1.92</v>
      </c>
      <c r="C6" s="58" t="n">
        <f aca="false">B6/B$22*B$24</f>
        <v>3.01606569082471</v>
      </c>
      <c r="D6" s="57" t="s">
        <v>434</v>
      </c>
      <c r="E6" s="59" t="n">
        <f aca="false">IFERROR(INDEX(Correspondance!$D$2:$D$3000,MATCH(A6,Correspondance!$A$2:$A$3000,0)),0)</f>
        <v>5.5</v>
      </c>
      <c r="F6" s="60" t="n">
        <f aca="false">C6*E6</f>
        <v>16.5883612995359</v>
      </c>
      <c r="G6" s="61"/>
      <c r="I6" s="63"/>
    </row>
    <row r="7" customFormat="false" ht="15.75" hidden="false" customHeight="false" outlineLevel="0" collapsed="false">
      <c r="A7" s="57" t="s">
        <v>1973</v>
      </c>
      <c r="B7" s="57" t="n">
        <v>0.48</v>
      </c>
      <c r="C7" s="58" t="n">
        <f aca="false">B7/B$22*B$24</f>
        <v>0.754016422706177</v>
      </c>
      <c r="D7" s="57" t="s">
        <v>682</v>
      </c>
      <c r="E7" s="59" t="n">
        <f aca="false">IFERROR(INDEX(Correspondance!$D$2:$D$3000,MATCH(A7,Correspondance!$A$2:$A$3000,0)),0)</f>
        <v>2</v>
      </c>
      <c r="F7" s="60" t="n">
        <f aca="false">C7*E7</f>
        <v>1.50803284541235</v>
      </c>
      <c r="G7" s="61"/>
      <c r="I7" s="63"/>
    </row>
    <row r="8" customFormat="false" ht="15.75" hidden="false" customHeight="false" outlineLevel="0" collapsed="false">
      <c r="A8" s="57" t="s">
        <v>947</v>
      </c>
      <c r="B8" s="57" t="n">
        <v>0.384</v>
      </c>
      <c r="C8" s="58" t="n">
        <f aca="false">B8/B$22*B$24</f>
        <v>0.603213138164941</v>
      </c>
      <c r="D8" s="57" t="s">
        <v>434</v>
      </c>
      <c r="E8" s="59" t="n">
        <f aca="false">IFERROR(INDEX(Correspondance!$D$2:$D$3000,MATCH(A8,Correspondance!$A$2:$A$3000,0)),0)</f>
        <v>4.5</v>
      </c>
      <c r="F8" s="60" t="n">
        <f aca="false">C8*E8</f>
        <v>2.71445912174224</v>
      </c>
      <c r="G8" s="61"/>
      <c r="I8" s="63"/>
    </row>
    <row r="9" customFormat="false" ht="15.75" hidden="false" customHeight="false" outlineLevel="0" collapsed="false">
      <c r="A9" s="57" t="s">
        <v>1098</v>
      </c>
      <c r="B9" s="57" t="n">
        <v>0.048</v>
      </c>
      <c r="C9" s="58" t="n">
        <f aca="false">B9/B$22*B$24</f>
        <v>0.0754016422706177</v>
      </c>
      <c r="D9" s="57" t="s">
        <v>434</v>
      </c>
      <c r="E9" s="59" t="n">
        <f aca="false">IFERROR(INDEX(Correspondance!$D$2:$D$3000,MATCH(A9,Correspondance!$A$2:$A$3000,0)),0)</f>
        <v>12</v>
      </c>
      <c r="F9" s="60" t="n">
        <f aca="false">C9*E9</f>
        <v>0.904819707247412</v>
      </c>
      <c r="G9" s="61"/>
      <c r="I9" s="63"/>
    </row>
    <row r="10" customFormat="false" ht="15.75" hidden="false" customHeight="false" outlineLevel="0" collapsed="false">
      <c r="A10" s="57" t="s">
        <v>1459</v>
      </c>
      <c r="B10" s="57" t="n">
        <v>0.96</v>
      </c>
      <c r="C10" s="58" t="n">
        <f aca="false">B10/B$22*B$24</f>
        <v>1.50803284541235</v>
      </c>
      <c r="D10" s="57" t="s">
        <v>682</v>
      </c>
      <c r="E10" s="59" t="n">
        <f aca="false">IFERROR(INDEX(Correspondance!$D$2:$D$3000,MATCH(A10,Correspondance!$A$2:$A$3000,0)),0)</f>
        <v>0</v>
      </c>
      <c r="F10" s="60" t="n">
        <f aca="false">C10*E10</f>
        <v>0</v>
      </c>
      <c r="G10" s="61"/>
      <c r="I10" s="63"/>
    </row>
    <row r="11" customFormat="false" ht="15.75" hidden="false" customHeight="false" outlineLevel="0" collapsed="false">
      <c r="A11" s="57" t="s">
        <v>1491</v>
      </c>
      <c r="B11" s="57" t="n">
        <v>0.096</v>
      </c>
      <c r="C11" s="58" t="n">
        <f aca="false">B11/B$22*B$24</f>
        <v>0.150803284541235</v>
      </c>
      <c r="D11" s="57" t="s">
        <v>434</v>
      </c>
      <c r="E11" s="59" t="n">
        <f aca="false">IFERROR(INDEX(Correspondance!$D$2:$D$3000,MATCH(A11,Correspondance!$A$2:$A$3000,0)),0)</f>
        <v>9</v>
      </c>
      <c r="F11" s="60" t="n">
        <f aca="false">C11*E11</f>
        <v>1.35722956087112</v>
      </c>
      <c r="G11" s="61"/>
      <c r="I11" s="63"/>
    </row>
    <row r="12" customFormat="false" ht="18.75" hidden="false" customHeight="true" outlineLevel="0" collapsed="false">
      <c r="A12" s="57" t="s">
        <v>1675</v>
      </c>
      <c r="B12" s="64" t="n">
        <v>0.096</v>
      </c>
      <c r="C12" s="58" t="n">
        <f aca="false">B12/B$22*B$24</f>
        <v>0.150803284541235</v>
      </c>
      <c r="D12" s="57" t="s">
        <v>682</v>
      </c>
      <c r="E12" s="59" t="n">
        <f aca="false">IFERROR(INDEX(Correspondance!$D$2:$D$3000,MATCH(A12,Correspondance!$A$2:$A$3000,0)),0)</f>
        <v>2.2</v>
      </c>
      <c r="F12" s="60" t="n">
        <f aca="false">C12*E12</f>
        <v>0.331767225990718</v>
      </c>
      <c r="G12" s="61"/>
      <c r="I12" s="63"/>
    </row>
    <row r="13" customFormat="false" ht="18.75" hidden="false" customHeight="true" outlineLevel="0" collapsed="false">
      <c r="A13" s="57" t="s">
        <v>1919</v>
      </c>
      <c r="B13" s="64" t="n">
        <v>0.029</v>
      </c>
      <c r="C13" s="58" t="n">
        <f aca="false">B13/B$22*B$24</f>
        <v>0.0455551588718315</v>
      </c>
      <c r="D13" s="57" t="s">
        <v>434</v>
      </c>
      <c r="E13" s="59" t="n">
        <f aca="false">IFERROR(INDEX(Correspondance!$D$2:$D$3000,MATCH(A13,Correspondance!$A$2:$A$3000,0)),0)</f>
        <v>2</v>
      </c>
      <c r="F13" s="60" t="n">
        <f aca="false">C13*E13</f>
        <v>0.091110317743663</v>
      </c>
      <c r="G13" s="61"/>
      <c r="I13" s="63"/>
    </row>
    <row r="14" customFormat="false" ht="15.75" hidden="false" customHeight="false" outlineLevel="0" collapsed="false">
      <c r="A14" s="57" t="s">
        <v>1796</v>
      </c>
      <c r="B14" s="57" t="n">
        <v>0.008</v>
      </c>
      <c r="C14" s="58" t="n">
        <f aca="false">B14/B$22*B$24</f>
        <v>0.0125669403784363</v>
      </c>
      <c r="D14" s="57" t="s">
        <v>434</v>
      </c>
      <c r="E14" s="59" t="n">
        <f aca="false">IFERROR(INDEX(Correspondance!$D$2:$D$3000,MATCH(A14,Correspondance!$A$2:$A$3000,0)),0)</f>
        <v>18</v>
      </c>
      <c r="F14" s="60" t="n">
        <f aca="false">C14*E14</f>
        <v>0.226204926811853</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195.034516244199</v>
      </c>
      <c r="G19" s="61"/>
      <c r="I19" s="63"/>
    </row>
    <row r="20" customFormat="false" ht="18.75" hidden="false" customHeight="true" outlineLevel="0" collapsed="false">
      <c r="A20" s="68" t="s">
        <v>2628</v>
      </c>
      <c r="B20" s="69" t="n">
        <f aca="false">F19/B24</f>
        <v>1.77304105676544</v>
      </c>
      <c r="C20" s="70"/>
      <c r="G20" s="61"/>
      <c r="I20" s="63"/>
    </row>
    <row r="21" customFormat="false" ht="15.75" hidden="false" customHeight="false" outlineLevel="0" collapsed="false">
      <c r="A21" s="71" t="s">
        <v>2629</v>
      </c>
      <c r="B21" s="71" t="n">
        <f aca="false">SUM(B3:B18)</f>
        <v>14.005</v>
      </c>
      <c r="C21" s="66"/>
      <c r="G21" s="61"/>
      <c r="I21" s="63"/>
    </row>
    <row r="22" customFormat="false" ht="15.75" hidden="false" customHeight="false" outlineLevel="0" collapsed="false">
      <c r="A22" s="0" t="s">
        <v>2630</v>
      </c>
      <c r="B22" s="72" t="n">
        <f aca="false">B21/B23</f>
        <v>70.025</v>
      </c>
      <c r="C22" s="66"/>
      <c r="G22" s="61"/>
      <c r="I22" s="63"/>
    </row>
    <row r="23" customFormat="false" ht="15.75" hidden="false" customHeight="false" outlineLevel="0" collapsed="false">
      <c r="A23" s="0" t="s">
        <v>2631</v>
      </c>
      <c r="B23" s="0" t="n">
        <v>0.2</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228</v>
      </c>
      <c r="B1" s="50"/>
      <c r="C1" s="50"/>
      <c r="D1" s="50"/>
      <c r="E1" s="51" t="s">
        <v>2619</v>
      </c>
      <c r="F1" s="51"/>
      <c r="G1" s="52" t="s">
        <v>2903</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1875</v>
      </c>
      <c r="B4" s="57" t="n">
        <v>9.35</v>
      </c>
      <c r="C4" s="58" t="n">
        <f aca="false">B4/B$22*B$24</f>
        <v>14.6985104160941</v>
      </c>
      <c r="D4" s="57" t="s">
        <v>434</v>
      </c>
      <c r="E4" s="59" t="n">
        <f aca="false">IFERROR(INDEX(Correspondance!$D$2:$D$3000,MATCH(A4,Correspondance!$A$2:$A$3000,0)),0)</f>
        <v>7</v>
      </c>
      <c r="F4" s="60" t="n">
        <f aca="false">C4*E4</f>
        <v>102.889572912659</v>
      </c>
      <c r="G4" s="61" t="s">
        <v>2904</v>
      </c>
    </row>
    <row r="5" customFormat="false" ht="15.75" hidden="false" customHeight="false" outlineLevel="0" collapsed="false">
      <c r="A5" s="57" t="s">
        <v>1530</v>
      </c>
      <c r="B5" s="57" t="n">
        <v>1.87</v>
      </c>
      <c r="C5" s="58" t="n">
        <f aca="false">B5/B$22*B$24</f>
        <v>2.93970208321882</v>
      </c>
      <c r="D5" s="57" t="s">
        <v>434</v>
      </c>
      <c r="E5" s="59" t="n">
        <f aca="false">IFERROR(INDEX(Correspondance!$D$2:$D$3000,MATCH(A5,Correspondance!$A$2:$A$3000,0)),0)</f>
        <v>3.8</v>
      </c>
      <c r="F5" s="60" t="n">
        <f aca="false">C5*E5</f>
        <v>11.1708679162315</v>
      </c>
      <c r="G5" s="61"/>
      <c r="I5" s="62"/>
    </row>
    <row r="6" customFormat="false" ht="15.75" hidden="false" customHeight="false" outlineLevel="0" collapsed="false">
      <c r="A6" s="57" t="s">
        <v>947</v>
      </c>
      <c r="B6" s="57" t="n">
        <v>0.281</v>
      </c>
      <c r="C6" s="58" t="n">
        <f aca="false">B6/B$22*B$24</f>
        <v>0.441741329082614</v>
      </c>
      <c r="D6" s="57" t="s">
        <v>434</v>
      </c>
      <c r="E6" s="59" t="n">
        <f aca="false">IFERROR(INDEX(Correspondance!$D$2:$D$3000,MATCH(A6,Correspondance!$A$2:$A$3000,0)),0)</f>
        <v>4.5</v>
      </c>
      <c r="F6" s="60" t="n">
        <f aca="false">C6*E6</f>
        <v>1.98783598087176</v>
      </c>
      <c r="G6" s="61"/>
      <c r="I6" s="63"/>
    </row>
    <row r="7" customFormat="false" ht="15.75" hidden="false" customHeight="false" outlineLevel="0" collapsed="false">
      <c r="A7" s="57" t="s">
        <v>1491</v>
      </c>
      <c r="B7" s="57" t="n">
        <v>0.281</v>
      </c>
      <c r="C7" s="58" t="n">
        <f aca="false">B7/B$22*B$24</f>
        <v>0.441741329082614</v>
      </c>
      <c r="D7" s="57" t="s">
        <v>434</v>
      </c>
      <c r="E7" s="59" t="n">
        <f aca="false">IFERROR(INDEX(Correspondance!$D$2:$D$3000,MATCH(A7,Correspondance!$A$2:$A$3000,0)),0)</f>
        <v>9</v>
      </c>
      <c r="F7" s="60" t="n">
        <f aca="false">C7*E7</f>
        <v>3.97567196174353</v>
      </c>
      <c r="G7" s="61"/>
      <c r="I7" s="63"/>
    </row>
    <row r="8" customFormat="false" ht="15.75" hidden="false" customHeight="false" outlineLevel="0" collapsed="false">
      <c r="A8" s="57" t="s">
        <v>1616</v>
      </c>
      <c r="B8" s="57" t="n">
        <v>0.281</v>
      </c>
      <c r="C8" s="58" t="n">
        <f aca="false">B8/B$22*B$24</f>
        <v>0.441741329082614</v>
      </c>
      <c r="D8" s="57" t="s">
        <v>434</v>
      </c>
      <c r="E8" s="59" t="n">
        <f aca="false">IFERROR(INDEX(Correspondance!$D$2:$D$3000,MATCH(A8,Correspondance!$A$2:$A$3000,0)),0)</f>
        <v>0.85</v>
      </c>
      <c r="F8" s="60" t="n">
        <f aca="false">C8*E8</f>
        <v>0.375480129720222</v>
      </c>
      <c r="G8" s="61"/>
      <c r="I8" s="63"/>
    </row>
    <row r="9" customFormat="false" ht="15.75" hidden="false" customHeight="false" outlineLevel="0" collapsed="false">
      <c r="A9" s="57" t="s">
        <v>1100</v>
      </c>
      <c r="B9" s="57" t="n">
        <v>0.094</v>
      </c>
      <c r="C9" s="58" t="n">
        <f aca="false">B9/B$22*B$24</f>
        <v>0.147771120760732</v>
      </c>
      <c r="D9" s="57" t="s">
        <v>434</v>
      </c>
      <c r="E9" s="59" t="n">
        <f aca="false">IFERROR(INDEX(Correspondance!$D$2:$D$3000,MATCH(A9,Correspondance!$A$2:$A$3000,0)),0)</f>
        <v>10</v>
      </c>
      <c r="F9" s="60" t="n">
        <f aca="false">C9*E9</f>
        <v>1.47771120760732</v>
      </c>
      <c r="G9" s="61"/>
      <c r="I9" s="63"/>
    </row>
    <row r="10" customFormat="false" ht="15.75" hidden="false" customHeight="false" outlineLevel="0" collapsed="false">
      <c r="A10" s="57" t="s">
        <v>1459</v>
      </c>
      <c r="B10" s="57" t="n">
        <v>3.74</v>
      </c>
      <c r="C10" s="58" t="n">
        <f aca="false">B10/B$22*B$24</f>
        <v>5.87940416643764</v>
      </c>
      <c r="D10" s="57" t="s">
        <v>682</v>
      </c>
      <c r="E10" s="59" t="n">
        <f aca="false">IFERROR(INDEX(Correspondance!$D$2:$D$3000,MATCH(A10,Correspondance!$A$2:$A$3000,0)),0)</f>
        <v>0</v>
      </c>
      <c r="F10" s="60" t="n">
        <f aca="false">C10*E10</f>
        <v>0</v>
      </c>
      <c r="G10" s="61"/>
      <c r="I10" s="63"/>
    </row>
    <row r="11" customFormat="false" ht="15.75" hidden="false" customHeight="false" outlineLevel="0" collapsed="false">
      <c r="A11" s="57" t="s">
        <v>1576</v>
      </c>
      <c r="B11" s="57" t="n">
        <v>1.4</v>
      </c>
      <c r="C11" s="58" t="n">
        <f aca="false">B11/B$22*B$24</f>
        <v>2.20084647941516</v>
      </c>
      <c r="D11" s="57" t="s">
        <v>434</v>
      </c>
      <c r="E11" s="59" t="n">
        <f aca="false">IFERROR(INDEX(Correspondance!$D$2:$D$3000,MATCH(A11,Correspondance!$A$2:$A$3000,0)),0)</f>
        <v>5.5</v>
      </c>
      <c r="F11" s="60" t="n">
        <f aca="false">C11*E11</f>
        <v>12.1046556367834</v>
      </c>
      <c r="G11" s="61"/>
      <c r="I11" s="63"/>
    </row>
    <row r="12" customFormat="false" ht="18.75" hidden="false" customHeight="true" outlineLevel="0" collapsed="false">
      <c r="A12" s="57" t="s">
        <v>1973</v>
      </c>
      <c r="B12" s="64" t="n">
        <v>0.374</v>
      </c>
      <c r="C12" s="58" t="n">
        <f aca="false">B12/B$22*B$24</f>
        <v>0.587940416643764</v>
      </c>
      <c r="D12" s="57" t="s">
        <v>682</v>
      </c>
      <c r="E12" s="59" t="n">
        <f aca="false">IFERROR(INDEX(Correspondance!$D$2:$D$3000,MATCH(A12,Correspondance!$A$2:$A$3000,0)),0)</f>
        <v>2</v>
      </c>
      <c r="F12" s="60" t="n">
        <f aca="false">C12*E12</f>
        <v>1.17588083328753</v>
      </c>
      <c r="G12" s="61"/>
      <c r="I12" s="63"/>
    </row>
    <row r="13" customFormat="false" ht="18.75" hidden="false" customHeight="true" outlineLevel="0" collapsed="false">
      <c r="A13" s="57" t="s">
        <v>706</v>
      </c>
      <c r="B13" s="64" t="n">
        <v>0.468</v>
      </c>
      <c r="C13" s="58" t="n">
        <f aca="false">B13/B$22*B$24</f>
        <v>0.735711537404496</v>
      </c>
      <c r="D13" s="57" t="s">
        <v>434</v>
      </c>
      <c r="E13" s="59" t="n">
        <f aca="false">IFERROR(INDEX(Correspondance!$D$2:$D$3000,MATCH(A13,Correspondance!$A$2:$A$3000,0)),0)</f>
        <v>7.5</v>
      </c>
      <c r="F13" s="60" t="n">
        <f aca="false">C13*E13</f>
        <v>5.51783653053372</v>
      </c>
      <c r="G13" s="61"/>
      <c r="I13" s="63"/>
    </row>
    <row r="14" customFormat="false" ht="15.75" hidden="false" customHeight="false" outlineLevel="0" collapsed="false">
      <c r="A14" s="57" t="s">
        <v>1919</v>
      </c>
      <c r="B14" s="57" t="n">
        <v>0.047</v>
      </c>
      <c r="C14" s="58" t="n">
        <f aca="false">B14/B$22*B$24</f>
        <v>0.0738855603803661</v>
      </c>
      <c r="D14" s="57" t="s">
        <v>434</v>
      </c>
      <c r="E14" s="59" t="n">
        <f aca="false">IFERROR(INDEX(Correspondance!$D$2:$D$3000,MATCH(A14,Correspondance!$A$2:$A$3000,0)),0)</f>
        <v>2</v>
      </c>
      <c r="F14" s="60" t="n">
        <f aca="false">C14*E14</f>
        <v>0.147771120760732</v>
      </c>
      <c r="G14" s="61"/>
      <c r="I14" s="63"/>
    </row>
    <row r="15" customFormat="false" ht="15.75" hidden="false" customHeight="false" outlineLevel="0" collapsed="false">
      <c r="A15" s="57" t="s">
        <v>1796</v>
      </c>
      <c r="B15" s="57" t="n">
        <v>0.007</v>
      </c>
      <c r="C15" s="58" t="n">
        <f aca="false">B15/B$22*B$24</f>
        <v>0.0110042323970758</v>
      </c>
      <c r="D15" s="57" t="s">
        <v>434</v>
      </c>
      <c r="E15" s="59" t="n">
        <f aca="false">IFERROR(INDEX(Correspondance!$D$2:$D$3000,MATCH(A15,Correspondance!$A$2:$A$3000,0)),0)</f>
        <v>18</v>
      </c>
      <c r="F15" s="60" t="n">
        <f aca="false">C15*E15</f>
        <v>0.198076183147364</v>
      </c>
      <c r="G15" s="61"/>
      <c r="I15" s="63"/>
    </row>
    <row r="16" customFormat="false" ht="15.75" hidden="false" customHeight="false" outlineLevel="0" collapsed="false">
      <c r="A16" s="57" t="s">
        <v>1732</v>
      </c>
      <c r="B16" s="57"/>
      <c r="C16" s="58" t="n">
        <f aca="false">B16/B$22*B$24</f>
        <v>0</v>
      </c>
      <c r="D16" s="57" t="s">
        <v>434</v>
      </c>
      <c r="E16" s="59" t="n">
        <f aca="false">IFERROR(INDEX(Correspondance!$D$2:$D$3000,MATCH(A16,Correspondance!$A$2:$A$3000,0)),0)</f>
        <v>30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141.021360413346</v>
      </c>
      <c r="G19" s="61"/>
      <c r="I19" s="63"/>
    </row>
    <row r="20" customFormat="false" ht="18.75" hidden="false" customHeight="true" outlineLevel="0" collapsed="false">
      <c r="A20" s="68" t="s">
        <v>2628</v>
      </c>
      <c r="B20" s="69" t="n">
        <f aca="false">F19/B24</f>
        <v>1.28201236739405</v>
      </c>
      <c r="C20" s="70"/>
      <c r="G20" s="61"/>
      <c r="I20" s="63"/>
    </row>
    <row r="21" customFormat="false" ht="15.75" hidden="false" customHeight="false" outlineLevel="0" collapsed="false">
      <c r="A21" s="71" t="s">
        <v>2629</v>
      </c>
      <c r="B21" s="71" t="n">
        <f aca="false">SUM(B3:B18)</f>
        <v>18.193</v>
      </c>
      <c r="C21" s="66"/>
      <c r="G21" s="61"/>
      <c r="I21" s="63"/>
    </row>
    <row r="22" customFormat="false" ht="15.75" hidden="false" customHeight="false" outlineLevel="0" collapsed="false">
      <c r="A22" s="0" t="s">
        <v>2630</v>
      </c>
      <c r="B22" s="72" t="n">
        <f aca="false">B21/B23</f>
        <v>69.9730769230769</v>
      </c>
      <c r="C22" s="66"/>
      <c r="G22" s="61"/>
      <c r="I22" s="63"/>
    </row>
    <row r="23" customFormat="false" ht="15.75" hidden="false" customHeight="false" outlineLevel="0" collapsed="false">
      <c r="A23" s="0" t="s">
        <v>2631</v>
      </c>
      <c r="B23" s="0" t="n">
        <v>0.26</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229</v>
      </c>
      <c r="B1" s="50"/>
      <c r="C1" s="50"/>
      <c r="D1" s="50"/>
      <c r="E1" s="51" t="s">
        <v>2619</v>
      </c>
      <c r="F1" s="51"/>
      <c r="G1" s="52" t="s">
        <v>2903</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1651</v>
      </c>
      <c r="B4" s="57" t="n">
        <v>9.5</v>
      </c>
      <c r="C4" s="58" t="n">
        <f aca="false">B4/B$22*B$24</f>
        <v>14.9285714285714</v>
      </c>
      <c r="D4" s="57" t="s">
        <v>434</v>
      </c>
      <c r="E4" s="59" t="n">
        <f aca="false">IFERROR(INDEX(Correspondance!$D$2:$D$3000,MATCH(A4,Correspondance!$A$2:$A$3000,0)),0)</f>
        <v>7.5</v>
      </c>
      <c r="F4" s="60" t="n">
        <f aca="false">C4*E4</f>
        <v>111.964285714286</v>
      </c>
      <c r="G4" s="61" t="s">
        <v>2905</v>
      </c>
    </row>
    <row r="5" customFormat="false" ht="15.75" hidden="false" customHeight="false" outlineLevel="0" collapsed="false">
      <c r="A5" s="57" t="s">
        <v>1957</v>
      </c>
      <c r="B5" s="57" t="n">
        <v>4.75</v>
      </c>
      <c r="C5" s="58" t="n">
        <f aca="false">B5/B$22*B$24</f>
        <v>7.46428571428571</v>
      </c>
      <c r="D5" s="57" t="s">
        <v>434</v>
      </c>
      <c r="E5" s="59" t="n">
        <f aca="false">IFERROR(INDEX(Correspondance!$D$2:$D$3000,MATCH(A5,Correspondance!$A$2:$A$3000,0)),0)</f>
        <v>1.6</v>
      </c>
      <c r="F5" s="60" t="n">
        <f aca="false">C5*E5</f>
        <v>11.9428571428571</v>
      </c>
      <c r="G5" s="61"/>
      <c r="I5" s="62"/>
    </row>
    <row r="6" customFormat="false" ht="15.75" hidden="false" customHeight="false" outlineLevel="0" collapsed="false">
      <c r="A6" s="57" t="s">
        <v>1197</v>
      </c>
      <c r="B6" s="57" t="n">
        <v>0.285</v>
      </c>
      <c r="C6" s="58" t="n">
        <f aca="false">B6/B$22*B$24</f>
        <v>0.447857142857143</v>
      </c>
      <c r="D6" s="57" t="s">
        <v>434</v>
      </c>
      <c r="E6" s="59" t="n">
        <f aca="false">IFERROR(INDEX(Correspondance!$D$2:$D$3000,MATCH(A6,Correspondance!$A$2:$A$3000,0)),0)</f>
        <v>2.6</v>
      </c>
      <c r="F6" s="60" t="n">
        <f aca="false">C6*E6</f>
        <v>1.16442857142857</v>
      </c>
      <c r="G6" s="61"/>
      <c r="I6" s="63"/>
    </row>
    <row r="7" customFormat="false" ht="15.75" hidden="false" customHeight="false" outlineLevel="0" collapsed="false">
      <c r="A7" s="57" t="s">
        <v>1001</v>
      </c>
      <c r="B7" s="57" t="n">
        <v>0.76</v>
      </c>
      <c r="C7" s="58" t="n">
        <f aca="false">B7/B$22*B$24</f>
        <v>1.19428571428571</v>
      </c>
      <c r="D7" s="57" t="s">
        <v>434</v>
      </c>
      <c r="E7" s="59" t="n">
        <f aca="false">IFERROR(INDEX(Correspondance!$D$2:$D$3000,MATCH(A7,Correspondance!$A$2:$A$3000,0)),0)</f>
        <v>1.8</v>
      </c>
      <c r="F7" s="60" t="n">
        <f aca="false">C7*E7</f>
        <v>2.14971428571429</v>
      </c>
      <c r="G7" s="61"/>
      <c r="I7" s="63"/>
    </row>
    <row r="8" customFormat="false" ht="15.75" hidden="false" customHeight="false" outlineLevel="0" collapsed="false">
      <c r="A8" s="57" t="s">
        <v>894</v>
      </c>
      <c r="B8" s="57" t="n">
        <v>0.047</v>
      </c>
      <c r="C8" s="58" t="n">
        <f aca="false">B8/B$22*B$24</f>
        <v>0.0738571428571429</v>
      </c>
      <c r="D8" s="57" t="s">
        <v>434</v>
      </c>
      <c r="E8" s="59" t="n">
        <f aca="false">IFERROR(INDEX(Correspondance!$D$2:$D$3000,MATCH(A8,Correspondance!$A$2:$A$3000,0)),0)</f>
        <v>5.5</v>
      </c>
      <c r="F8" s="60" t="n">
        <f aca="false">C8*E8</f>
        <v>0.406214285714286</v>
      </c>
      <c r="G8" s="61"/>
      <c r="I8" s="63"/>
    </row>
    <row r="9" customFormat="false" ht="15.75" hidden="false" customHeight="false" outlineLevel="0" collapsed="false">
      <c r="A9" s="57" t="s">
        <v>1098</v>
      </c>
      <c r="B9" s="57" t="n">
        <v>0.076</v>
      </c>
      <c r="C9" s="58" t="n">
        <f aca="false">B9/B$22*B$24</f>
        <v>0.119428571428571</v>
      </c>
      <c r="D9" s="57" t="s">
        <v>434</v>
      </c>
      <c r="E9" s="59" t="n">
        <f aca="false">IFERROR(INDEX(Correspondance!$D$2:$D$3000,MATCH(A9,Correspondance!$A$2:$A$3000,0)),0)</f>
        <v>12</v>
      </c>
      <c r="F9" s="60" t="n">
        <f aca="false">C9*E9</f>
        <v>1.43314285714286</v>
      </c>
      <c r="G9" s="61"/>
      <c r="I9" s="63"/>
    </row>
    <row r="10" customFormat="false" ht="15.75" hidden="false" customHeight="false" outlineLevel="0" collapsed="false">
      <c r="A10" s="57" t="s">
        <v>1459</v>
      </c>
      <c r="B10" s="57" t="n">
        <v>1.9</v>
      </c>
      <c r="C10" s="58" t="n">
        <f aca="false">B10/B$22*B$24</f>
        <v>2.98571428571429</v>
      </c>
      <c r="D10" s="57" t="s">
        <v>682</v>
      </c>
      <c r="E10" s="59" t="n">
        <f aca="false">IFERROR(INDEX(Correspondance!$D$2:$D$3000,MATCH(A10,Correspondance!$A$2:$A$3000,0)),0)</f>
        <v>0</v>
      </c>
      <c r="F10" s="60" t="n">
        <f aca="false">C10*E10</f>
        <v>0</v>
      </c>
      <c r="G10" s="61"/>
      <c r="I10" s="63"/>
    </row>
    <row r="11" customFormat="false" ht="15.75" hidden="false" customHeight="false" outlineLevel="0" collapsed="false">
      <c r="A11" s="57" t="s">
        <v>1120</v>
      </c>
      <c r="B11" s="57" t="n">
        <v>0.19</v>
      </c>
      <c r="C11" s="58" t="n">
        <f aca="false">B11/B$22*B$24</f>
        <v>0.298571428571429</v>
      </c>
      <c r="D11" s="57" t="s">
        <v>682</v>
      </c>
      <c r="E11" s="59" t="n">
        <f aca="false">IFERROR(INDEX(Correspondance!$D$2:$D$3000,MATCH(A11,Correspondance!$A$2:$A$3000,0)),0)</f>
        <v>7.5</v>
      </c>
      <c r="F11" s="60" t="n">
        <f aca="false">C11*E11</f>
        <v>2.23928571428571</v>
      </c>
      <c r="G11" s="61"/>
      <c r="I11" s="63"/>
    </row>
    <row r="12" customFormat="false" ht="18.75" hidden="false" customHeight="true" outlineLevel="0" collapsed="false">
      <c r="A12" s="57" t="s">
        <v>1084</v>
      </c>
      <c r="B12" s="64" t="n">
        <v>0.095</v>
      </c>
      <c r="C12" s="58" t="n">
        <f aca="false">B12/B$22*B$24</f>
        <v>0.149285714285714</v>
      </c>
      <c r="D12" s="57" t="s">
        <v>434</v>
      </c>
      <c r="E12" s="59" t="n">
        <f aca="false">IFERROR(INDEX(Correspondance!$D$2:$D$3000,MATCH(A12,Correspondance!$A$2:$A$3000,0)),0)</f>
        <v>2.2</v>
      </c>
      <c r="F12" s="60" t="n">
        <f aca="false">C12*E12</f>
        <v>0.328428571428571</v>
      </c>
      <c r="G12" s="61"/>
      <c r="I12" s="63"/>
    </row>
    <row r="13" customFormat="false" ht="18.75" hidden="false" customHeight="true" outlineLevel="0" collapsed="false">
      <c r="A13" s="57" t="s">
        <v>706</v>
      </c>
      <c r="B13" s="64" t="n">
        <v>0.475</v>
      </c>
      <c r="C13" s="58" t="n">
        <f aca="false">B13/B$22*B$24</f>
        <v>0.746428571428571</v>
      </c>
      <c r="D13" s="57" t="s">
        <v>434</v>
      </c>
      <c r="E13" s="59" t="n">
        <f aca="false">IFERROR(INDEX(Correspondance!$D$2:$D$3000,MATCH(A13,Correspondance!$A$2:$A$3000,0)),0)</f>
        <v>7.5</v>
      </c>
      <c r="F13" s="60" t="n">
        <f aca="false">C13*E13</f>
        <v>5.59821428571429</v>
      </c>
      <c r="G13" s="61"/>
      <c r="I13" s="63"/>
    </row>
    <row r="14" customFormat="false" ht="15.75" hidden="false" customHeight="false" outlineLevel="0" collapsed="false">
      <c r="A14" s="57" t="s">
        <v>1937</v>
      </c>
      <c r="B14" s="57" t="n">
        <v>0.057</v>
      </c>
      <c r="C14" s="58" t="n">
        <f aca="false">B14/B$22*B$24</f>
        <v>0.0895714285714286</v>
      </c>
      <c r="D14" s="57" t="s">
        <v>434</v>
      </c>
      <c r="E14" s="59" t="n">
        <f aca="false">IFERROR(INDEX(Correspondance!$D$2:$D$3000,MATCH(A14,Correspondance!$A$2:$A$3000,0)),0)</f>
        <v>1.3</v>
      </c>
      <c r="F14" s="60" t="n">
        <f aca="false">C14*E14</f>
        <v>0.116442857142857</v>
      </c>
      <c r="G14" s="61"/>
      <c r="I14" s="63"/>
    </row>
    <row r="15" customFormat="false" ht="15.75" hidden="false" customHeight="false" outlineLevel="0" collapsed="false">
      <c r="A15" s="57" t="s">
        <v>1919</v>
      </c>
      <c r="B15" s="57" t="n">
        <v>0.057</v>
      </c>
      <c r="C15" s="58" t="n">
        <f aca="false">B15/B$22*B$24</f>
        <v>0.0895714285714286</v>
      </c>
      <c r="D15" s="57" t="s">
        <v>434</v>
      </c>
      <c r="E15" s="59" t="n">
        <f aca="false">IFERROR(INDEX(Correspondance!$D$2:$D$3000,MATCH(A15,Correspondance!$A$2:$A$3000,0)),0)</f>
        <v>2</v>
      </c>
      <c r="F15" s="60" t="n">
        <f aca="false">C15*E15</f>
        <v>0.179142857142857</v>
      </c>
      <c r="G15" s="61"/>
      <c r="I15" s="63"/>
    </row>
    <row r="16" customFormat="false" ht="15.75" hidden="false" customHeight="false" outlineLevel="0" collapsed="false">
      <c r="A16" s="57" t="s">
        <v>1796</v>
      </c>
      <c r="B16" s="57" t="n">
        <v>0.008</v>
      </c>
      <c r="C16" s="58" t="n">
        <f aca="false">B16/B$22*B$24</f>
        <v>0.0125714285714286</v>
      </c>
      <c r="D16" s="57" t="s">
        <v>434</v>
      </c>
      <c r="E16" s="59" t="n">
        <f aca="false">IFERROR(INDEX(Correspondance!$D$2:$D$3000,MATCH(A16,Correspondance!$A$2:$A$3000,0)),0)</f>
        <v>18</v>
      </c>
      <c r="F16" s="60" t="n">
        <f aca="false">C16*E16</f>
        <v>0.226285714285714</v>
      </c>
      <c r="G16" s="61"/>
      <c r="I16" s="63"/>
    </row>
    <row r="17" customFormat="false" ht="15.75" hidden="false" customHeight="false" outlineLevel="0" collapsed="false">
      <c r="A17" s="57" t="s">
        <v>1489</v>
      </c>
      <c r="B17" s="57"/>
      <c r="C17" s="58" t="n">
        <f aca="false">B17/B$22*B$24</f>
        <v>0</v>
      </c>
      <c r="D17" s="57" t="s">
        <v>434</v>
      </c>
      <c r="E17" s="59" t="n">
        <f aca="false">IFERROR(INDEX(Correspondance!$D$2:$D$3000,MATCH(A17,Correspondance!$A$2:$A$3000,0)),0)</f>
        <v>12</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137.748442857143</v>
      </c>
      <c r="G19" s="61"/>
      <c r="I19" s="63"/>
    </row>
    <row r="20" customFormat="false" ht="18.75" hidden="false" customHeight="true" outlineLevel="0" collapsed="false">
      <c r="A20" s="68" t="s">
        <v>2628</v>
      </c>
      <c r="B20" s="69" t="n">
        <f aca="false">F19/B24</f>
        <v>1.25225857142857</v>
      </c>
      <c r="C20" s="70"/>
      <c r="G20" s="61"/>
      <c r="I20" s="63"/>
    </row>
    <row r="21" customFormat="false" ht="15.75" hidden="false" customHeight="false" outlineLevel="0" collapsed="false">
      <c r="A21" s="71" t="s">
        <v>2629</v>
      </c>
      <c r="B21" s="71" t="n">
        <f aca="false">SUM(B3:B18)</f>
        <v>18.2</v>
      </c>
      <c r="C21" s="66"/>
      <c r="G21" s="61"/>
      <c r="I21" s="63"/>
    </row>
    <row r="22" customFormat="false" ht="15.75" hidden="false" customHeight="false" outlineLevel="0" collapsed="false">
      <c r="A22" s="0" t="s">
        <v>2630</v>
      </c>
      <c r="B22" s="72" t="n">
        <f aca="false">B21/B23</f>
        <v>70</v>
      </c>
      <c r="C22" s="66"/>
      <c r="G22" s="61"/>
      <c r="I22" s="63"/>
    </row>
    <row r="23" customFormat="false" ht="15.75" hidden="false" customHeight="false" outlineLevel="0" collapsed="false">
      <c r="A23" s="0" t="s">
        <v>2631</v>
      </c>
      <c r="B23" s="0" t="n">
        <v>0.26</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230</v>
      </c>
      <c r="B1" s="50"/>
      <c r="C1" s="50"/>
      <c r="D1" s="50"/>
      <c r="E1" s="51" t="s">
        <v>2619</v>
      </c>
      <c r="F1" s="51"/>
      <c r="G1" s="52" t="s">
        <v>2906</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1574</v>
      </c>
      <c r="B4" s="57" t="n">
        <v>2.81</v>
      </c>
      <c r="C4" s="58" t="n">
        <f aca="false">B4/B$22*B$24</f>
        <v>4.41420084542443</v>
      </c>
      <c r="D4" s="57" t="s">
        <v>434</v>
      </c>
      <c r="E4" s="59" t="n">
        <f aca="false">IFERROR(INDEX(Correspondance!$D$2:$D$3000,MATCH(A4,Correspondance!$A$2:$A$3000,0)),0)</f>
        <v>8.75</v>
      </c>
      <c r="F4" s="60" t="n">
        <f aca="false">C4*E4</f>
        <v>38.6242573974637</v>
      </c>
      <c r="G4" s="61" t="s">
        <v>2907</v>
      </c>
    </row>
    <row r="5" customFormat="false" ht="15.75" hidden="false" customHeight="false" outlineLevel="0" collapsed="false">
      <c r="A5" s="57" t="s">
        <v>1917</v>
      </c>
      <c r="B5" s="57" t="n">
        <v>5.27</v>
      </c>
      <c r="C5" s="58" t="n">
        <f aca="false">B5/B$22*B$24</f>
        <v>8.27859019764652</v>
      </c>
      <c r="D5" s="57" t="s">
        <v>434</v>
      </c>
      <c r="E5" s="59" t="n">
        <f aca="false">IFERROR(INDEX(Correspondance!$D$2:$D$3000,MATCH(A5,Correspondance!$A$2:$A$3000,0)),0)</f>
        <v>7.5</v>
      </c>
      <c r="F5" s="60" t="n">
        <f aca="false">C5*E5</f>
        <v>62.0894264823489</v>
      </c>
      <c r="G5" s="61"/>
      <c r="I5" s="62"/>
    </row>
    <row r="6" customFormat="false" ht="15.75" hidden="false" customHeight="false" outlineLevel="0" collapsed="false">
      <c r="A6" s="57" t="s">
        <v>1387</v>
      </c>
      <c r="B6" s="57" t="n">
        <v>1.76</v>
      </c>
      <c r="C6" s="58" t="n">
        <f aca="false">B6/B$22*B$24</f>
        <v>2.76476636581743</v>
      </c>
      <c r="D6" s="57" t="s">
        <v>434</v>
      </c>
      <c r="E6" s="59" t="n">
        <f aca="false">IFERROR(INDEX(Correspondance!$D$2:$D$3000,MATCH(A6,Correspondance!$A$2:$A$3000,0)),0)</f>
        <v>7</v>
      </c>
      <c r="F6" s="60" t="n">
        <f aca="false">C6*E6</f>
        <v>19.353364560722</v>
      </c>
      <c r="G6" s="61"/>
      <c r="I6" s="63"/>
    </row>
    <row r="7" customFormat="false" ht="15.75" hidden="false" customHeight="false" outlineLevel="0" collapsed="false">
      <c r="A7" s="57" t="s">
        <v>1530</v>
      </c>
      <c r="B7" s="57" t="n">
        <v>2.19</v>
      </c>
      <c r="C7" s="58" t="n">
        <f aca="false">B7/B$22*B$24</f>
        <v>3.44024905746601</v>
      </c>
      <c r="D7" s="57" t="s">
        <v>434</v>
      </c>
      <c r="E7" s="59" t="n">
        <f aca="false">IFERROR(INDEX(Correspondance!$D$2:$D$3000,MATCH(A7,Correspondance!$A$2:$A$3000,0)),0)</f>
        <v>3.8</v>
      </c>
      <c r="F7" s="60" t="n">
        <f aca="false">C7*E7</f>
        <v>13.0729464183708</v>
      </c>
      <c r="G7" s="61"/>
      <c r="I7" s="63"/>
    </row>
    <row r="8" customFormat="false" ht="15.75" hidden="false" customHeight="false" outlineLevel="0" collapsed="false">
      <c r="A8" s="57" t="s">
        <v>1491</v>
      </c>
      <c r="B8" s="57" t="n">
        <v>0.263</v>
      </c>
      <c r="C8" s="58" t="n">
        <f aca="false">B8/B$22*B$24</f>
        <v>0.413144064892037</v>
      </c>
      <c r="D8" s="57" t="s">
        <v>434</v>
      </c>
      <c r="E8" s="59" t="n">
        <f aca="false">IFERROR(INDEX(Correspondance!$D$2:$D$3000,MATCH(A8,Correspondance!$A$2:$A$3000,0)),0)</f>
        <v>9</v>
      </c>
      <c r="F8" s="60" t="n">
        <f aca="false">C8*E8</f>
        <v>3.71829658402833</v>
      </c>
      <c r="G8" s="61"/>
      <c r="I8" s="63"/>
    </row>
    <row r="9" customFormat="false" ht="15.75" hidden="false" customHeight="false" outlineLevel="0" collapsed="false">
      <c r="A9" s="57" t="s">
        <v>1616</v>
      </c>
      <c r="B9" s="57" t="n">
        <v>0.263</v>
      </c>
      <c r="C9" s="58" t="n">
        <f aca="false">B9/B$22*B$24</f>
        <v>0.413144064892037</v>
      </c>
      <c r="D9" s="57" t="s">
        <v>434</v>
      </c>
      <c r="E9" s="59" t="n">
        <f aca="false">IFERROR(INDEX(Correspondance!$D$2:$D$3000,MATCH(A9,Correspondance!$A$2:$A$3000,0)),0)</f>
        <v>0.85</v>
      </c>
      <c r="F9" s="60" t="n">
        <f aca="false">C9*E9</f>
        <v>0.351172455158232</v>
      </c>
      <c r="G9" s="61"/>
      <c r="I9" s="63"/>
    </row>
    <row r="10" customFormat="false" ht="15.75" hidden="false" customHeight="false" outlineLevel="0" collapsed="false">
      <c r="A10" s="57" t="s">
        <v>1100</v>
      </c>
      <c r="B10" s="57" t="n">
        <v>0.105</v>
      </c>
      <c r="C10" s="58" t="n">
        <f aca="false">B10/B$22*B$24</f>
        <v>0.164943447960699</v>
      </c>
      <c r="D10" s="57" t="s">
        <v>434</v>
      </c>
      <c r="E10" s="59" t="n">
        <f aca="false">IFERROR(INDEX(Correspondance!$D$2:$D$3000,MATCH(A10,Correspondance!$A$2:$A$3000,0)),0)</f>
        <v>10</v>
      </c>
      <c r="F10" s="60" t="n">
        <f aca="false">C10*E10</f>
        <v>1.64943447960699</v>
      </c>
      <c r="G10" s="61"/>
      <c r="I10" s="63"/>
    </row>
    <row r="11" customFormat="false" ht="15.75" hidden="false" customHeight="false" outlineLevel="0" collapsed="false">
      <c r="A11" s="57" t="s">
        <v>1459</v>
      </c>
      <c r="B11" s="57" t="n">
        <v>3.07</v>
      </c>
      <c r="C11" s="58" t="n">
        <f aca="false">B11/B$22*B$24</f>
        <v>4.82263224037473</v>
      </c>
      <c r="D11" s="57" t="s">
        <v>682</v>
      </c>
      <c r="E11" s="59" t="n">
        <f aca="false">IFERROR(INDEX(Correspondance!$D$2:$D$3000,MATCH(A11,Correspondance!$A$2:$A$3000,0)),0)</f>
        <v>0</v>
      </c>
      <c r="F11" s="60" t="n">
        <f aca="false">C11*E11</f>
        <v>0</v>
      </c>
      <c r="G11" s="61"/>
      <c r="I11" s="63"/>
    </row>
    <row r="12" customFormat="false" ht="18.75" hidden="false" customHeight="true" outlineLevel="0" collapsed="false">
      <c r="A12" s="57" t="s">
        <v>1576</v>
      </c>
      <c r="B12" s="64" t="n">
        <v>1.32</v>
      </c>
      <c r="C12" s="58" t="n">
        <f aca="false">B12/B$22*B$24</f>
        <v>2.07357477436308</v>
      </c>
      <c r="D12" s="57" t="s">
        <v>434</v>
      </c>
      <c r="E12" s="59" t="n">
        <f aca="false">IFERROR(INDEX(Correspondance!$D$2:$D$3000,MATCH(A12,Correspondance!$A$2:$A$3000,0)),0)</f>
        <v>5.5</v>
      </c>
      <c r="F12" s="60" t="n">
        <f aca="false">C12*E12</f>
        <v>11.4046612589969</v>
      </c>
      <c r="G12" s="61"/>
      <c r="I12" s="63"/>
    </row>
    <row r="13" customFormat="false" ht="18.75" hidden="false" customHeight="true" outlineLevel="0" collapsed="false">
      <c r="A13" s="57" t="s">
        <v>1973</v>
      </c>
      <c r="B13" s="64" t="n">
        <v>0.351</v>
      </c>
      <c r="C13" s="58" t="n">
        <f aca="false">B13/B$22*B$24</f>
        <v>0.551382383182909</v>
      </c>
      <c r="D13" s="57" t="s">
        <v>682</v>
      </c>
      <c r="E13" s="59" t="n">
        <f aca="false">IFERROR(INDEX(Correspondance!$D$2:$D$3000,MATCH(A13,Correspondance!$A$2:$A$3000,0)),0)</f>
        <v>2</v>
      </c>
      <c r="F13" s="60" t="n">
        <f aca="false">C13*E13</f>
        <v>1.10276476636582</v>
      </c>
      <c r="G13" s="61"/>
      <c r="I13" s="63"/>
    </row>
    <row r="14" customFormat="false" ht="15.75" hidden="false" customHeight="false" outlineLevel="0" collapsed="false">
      <c r="A14" s="57" t="s">
        <v>1291</v>
      </c>
      <c r="B14" s="57" t="n">
        <v>0.044</v>
      </c>
      <c r="C14" s="58" t="n">
        <f aca="false">B14/B$22*B$24</f>
        <v>0.0691191591454358</v>
      </c>
      <c r="D14" s="57" t="s">
        <v>682</v>
      </c>
      <c r="E14" s="59" t="n">
        <f aca="false">IFERROR(INDEX(Correspondance!$D$2:$D$3000,MATCH(A14,Correspondance!$A$2:$A$3000,0)),0)</f>
        <v>2.5</v>
      </c>
      <c r="F14" s="60" t="n">
        <f aca="false">C14*E14</f>
        <v>0.17279789786359</v>
      </c>
      <c r="G14" s="61"/>
      <c r="I14" s="63"/>
    </row>
    <row r="15" customFormat="false" ht="15.75" hidden="false" customHeight="false" outlineLevel="0" collapsed="false">
      <c r="A15" s="57" t="s">
        <v>1919</v>
      </c>
      <c r="B15" s="57" t="n">
        <v>0.053</v>
      </c>
      <c r="C15" s="58" t="n">
        <f aca="false">B15/B$22*B$24</f>
        <v>0.0832571689706386</v>
      </c>
      <c r="D15" s="57" t="s">
        <v>434</v>
      </c>
      <c r="E15" s="59" t="n">
        <f aca="false">IFERROR(INDEX(Correspondance!$D$2:$D$3000,MATCH(A15,Correspondance!$A$2:$A$3000,0)),0)</f>
        <v>2</v>
      </c>
      <c r="F15" s="60" t="n">
        <f aca="false">C15*E15</f>
        <v>0.166514337941277</v>
      </c>
      <c r="G15" s="61"/>
      <c r="I15" s="63"/>
    </row>
    <row r="16" customFormat="false" ht="15.75" hidden="false" customHeight="false" outlineLevel="0" collapsed="false">
      <c r="A16" s="57" t="s">
        <v>1796</v>
      </c>
      <c r="B16" s="57" t="n">
        <v>0.007</v>
      </c>
      <c r="C16" s="58" t="n">
        <f aca="false">B16/B$22*B$24</f>
        <v>0.0109962298640466</v>
      </c>
      <c r="D16" s="57" t="s">
        <v>434</v>
      </c>
      <c r="E16" s="59" t="n">
        <f aca="false">IFERROR(INDEX(Correspondance!$D$2:$D$3000,MATCH(A16,Correspondance!$A$2:$A$3000,0)),0)</f>
        <v>18</v>
      </c>
      <c r="F16" s="60" t="n">
        <f aca="false">C16*E16</f>
        <v>0.197932137552839</v>
      </c>
      <c r="G16" s="61"/>
      <c r="I16" s="63"/>
    </row>
    <row r="17" customFormat="false" ht="15.75" hidden="false" customHeight="false" outlineLevel="0" collapsed="false">
      <c r="A17" s="57" t="s">
        <v>1732</v>
      </c>
      <c r="B17" s="57"/>
      <c r="C17" s="58" t="n">
        <f aca="false">B17/B$22*B$24</f>
        <v>0</v>
      </c>
      <c r="D17" s="57" t="s">
        <v>434</v>
      </c>
      <c r="E17" s="59" t="n">
        <f aca="false">IFERROR(INDEX(Correspondance!$D$2:$D$3000,MATCH(A17,Correspondance!$A$2:$A$3000,0)),0)</f>
        <v>30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151.90356877642</v>
      </c>
      <c r="G19" s="61"/>
      <c r="I19" s="63"/>
    </row>
    <row r="20" customFormat="false" ht="18.75" hidden="false" customHeight="true" outlineLevel="0" collapsed="false">
      <c r="A20" s="68" t="s">
        <v>2628</v>
      </c>
      <c r="B20" s="69" t="n">
        <f aca="false">F19/B24</f>
        <v>1.38094153433109</v>
      </c>
      <c r="C20" s="70"/>
      <c r="G20" s="61"/>
      <c r="I20" s="63"/>
    </row>
    <row r="21" customFormat="false" ht="15.75" hidden="false" customHeight="false" outlineLevel="0" collapsed="false">
      <c r="A21" s="71" t="s">
        <v>2629</v>
      </c>
      <c r="B21" s="71" t="n">
        <f aca="false">SUM(B3:B18)</f>
        <v>17.506</v>
      </c>
      <c r="C21" s="66"/>
      <c r="G21" s="61"/>
      <c r="I21" s="63"/>
    </row>
    <row r="22" customFormat="false" ht="15.75" hidden="false" customHeight="false" outlineLevel="0" collapsed="false">
      <c r="A22" s="0" t="s">
        <v>2630</v>
      </c>
      <c r="B22" s="72" t="n">
        <f aca="false">B21/B23</f>
        <v>70.024</v>
      </c>
      <c r="C22" s="66"/>
      <c r="G22" s="61"/>
      <c r="I22" s="63"/>
    </row>
    <row r="23" customFormat="false" ht="15.75" hidden="false" customHeight="false" outlineLevel="0" collapsed="false">
      <c r="A23" s="0" t="s">
        <v>2631</v>
      </c>
      <c r="B23" s="0" t="n">
        <v>0.25</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232</v>
      </c>
      <c r="B1" s="50"/>
      <c r="C1" s="50"/>
      <c r="D1" s="50"/>
      <c r="E1" s="51" t="s">
        <v>2619</v>
      </c>
      <c r="F1" s="51"/>
      <c r="G1" s="52" t="s">
        <v>2908</v>
      </c>
    </row>
    <row r="2" customFormat="false" ht="24.75" hidden="false" customHeight="true" outlineLevel="0" collapsed="false">
      <c r="A2" s="50"/>
      <c r="B2" s="50"/>
      <c r="C2" s="50"/>
      <c r="D2" s="50"/>
      <c r="E2" s="53" t="s">
        <v>2692</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457</v>
      </c>
      <c r="B4" s="57" t="n">
        <v>8.35</v>
      </c>
      <c r="C4" s="58" t="n">
        <f aca="false">B4/B$22*B$24</f>
        <v>13.1342665763528</v>
      </c>
      <c r="D4" s="57" t="s">
        <v>434</v>
      </c>
      <c r="E4" s="59" t="n">
        <f aca="false">IFERROR(INDEX(Correspondance!$D$2:$D$3000,MATCH(A4,Correspondance!$A$2:$A$3000,0)),0)</f>
        <v>9.5</v>
      </c>
      <c r="F4" s="60" t="n">
        <f aca="false">C4*E4</f>
        <v>124.775532475352</v>
      </c>
      <c r="G4" s="61" t="s">
        <v>2909</v>
      </c>
    </row>
    <row r="5" customFormat="false" ht="15.75" hidden="false" customHeight="false" outlineLevel="0" collapsed="false">
      <c r="A5" s="57" t="s">
        <v>1919</v>
      </c>
      <c r="B5" s="57" t="n">
        <v>0.084</v>
      </c>
      <c r="C5" s="58" t="n">
        <f aca="false">B5/B$22*B$24</f>
        <v>0.132129148792052</v>
      </c>
      <c r="D5" s="57" t="s">
        <v>434</v>
      </c>
      <c r="E5" s="59" t="n">
        <f aca="false">IFERROR(INDEX(Correspondance!$D$2:$D$3000,MATCH(A5,Correspondance!$A$2:$A$3000,0)),0)</f>
        <v>2</v>
      </c>
      <c r="F5" s="60" t="n">
        <f aca="false">C5*E5</f>
        <v>0.264258297584105</v>
      </c>
      <c r="G5" s="61"/>
      <c r="I5" s="62"/>
    </row>
    <row r="6" customFormat="false" ht="15.75" hidden="false" customHeight="false" outlineLevel="0" collapsed="false">
      <c r="A6" s="57" t="s">
        <v>1796</v>
      </c>
      <c r="B6" s="57" t="n">
        <v>0.008</v>
      </c>
      <c r="C6" s="58" t="n">
        <f aca="false">B6/B$22*B$24</f>
        <v>0.0125837284563859</v>
      </c>
      <c r="D6" s="57" t="s">
        <v>434</v>
      </c>
      <c r="E6" s="59" t="n">
        <f aca="false">IFERROR(INDEX(Correspondance!$D$2:$D$3000,MATCH(A6,Correspondance!$A$2:$A$3000,0)),0)</f>
        <v>18</v>
      </c>
      <c r="F6" s="60" t="n">
        <f aca="false">C6*E6</f>
        <v>0.226507112214947</v>
      </c>
      <c r="G6" s="61"/>
      <c r="I6" s="63"/>
    </row>
    <row r="7" customFormat="false" ht="15.75" hidden="false" customHeight="false" outlineLevel="0" collapsed="false">
      <c r="A7" s="57" t="s">
        <v>1675</v>
      </c>
      <c r="B7" s="57" t="n">
        <v>0.125</v>
      </c>
      <c r="C7" s="58" t="n">
        <f aca="false">B7/B$22*B$24</f>
        <v>0.19662075713103</v>
      </c>
      <c r="D7" s="57" t="s">
        <v>682</v>
      </c>
      <c r="E7" s="59" t="n">
        <f aca="false">IFERROR(INDEX(Correspondance!$D$2:$D$3000,MATCH(A7,Correspondance!$A$2:$A$3000,0)),0)</f>
        <v>2.2</v>
      </c>
      <c r="F7" s="60" t="n">
        <f aca="false">C7*E7</f>
        <v>0.432565665688267</v>
      </c>
      <c r="G7" s="61"/>
      <c r="I7" s="63"/>
    </row>
    <row r="8" customFormat="false" ht="15.75" hidden="false" customHeight="false" outlineLevel="0" collapsed="false">
      <c r="A8" s="57" t="s">
        <v>1945</v>
      </c>
      <c r="B8" s="57"/>
      <c r="C8" s="58" t="n">
        <f aca="false">B8/B$22*B$24</f>
        <v>0</v>
      </c>
      <c r="D8" s="57" t="s">
        <v>434</v>
      </c>
      <c r="E8" s="59" t="n">
        <f aca="false">IFERROR(INDEX(Correspondance!$D$2:$D$3000,MATCH(A8,Correspondance!$A$2:$A$3000,0)),0)</f>
        <v>16</v>
      </c>
      <c r="F8" s="60" t="n">
        <f aca="false">C8*E8</f>
        <v>0</v>
      </c>
      <c r="G8" s="61"/>
      <c r="I8" s="63"/>
    </row>
    <row r="9" customFormat="false" ht="15.75" hidden="false" customHeight="false" outlineLevel="0" collapsed="false">
      <c r="A9" s="57" t="s">
        <v>1358</v>
      </c>
      <c r="B9" s="57" t="n">
        <v>1.25</v>
      </c>
      <c r="C9" s="58" t="n">
        <f aca="false">B9/B$22*B$24</f>
        <v>1.9662075713103</v>
      </c>
      <c r="D9" s="57" t="s">
        <v>682</v>
      </c>
      <c r="E9" s="59" t="n">
        <f aca="false">IFERROR(INDEX(Correspondance!$D$2:$D$3000,MATCH(A9,Correspondance!$A$2:$A$3000,0)),0)</f>
        <v>2.5</v>
      </c>
      <c r="F9" s="60" t="n">
        <f aca="false">C9*E9</f>
        <v>4.91551892827576</v>
      </c>
      <c r="G9" s="61"/>
      <c r="I9" s="63"/>
    </row>
    <row r="10" customFormat="false" ht="15.75" hidden="false" customHeight="false" outlineLevel="0" collapsed="false">
      <c r="A10" s="57" t="s">
        <v>947</v>
      </c>
      <c r="B10" s="57" t="n">
        <v>0.334</v>
      </c>
      <c r="C10" s="58" t="n">
        <f aca="false">B10/B$22*B$24</f>
        <v>0.525370663054113</v>
      </c>
      <c r="D10" s="57" t="s">
        <v>434</v>
      </c>
      <c r="E10" s="59" t="n">
        <f aca="false">IFERROR(INDEX(Correspondance!$D$2:$D$3000,MATCH(A10,Correspondance!$A$2:$A$3000,0)),0)</f>
        <v>4.5</v>
      </c>
      <c r="F10" s="60" t="n">
        <f aca="false">C10*E10</f>
        <v>2.36416798374351</v>
      </c>
      <c r="G10" s="61"/>
      <c r="I10" s="63"/>
    </row>
    <row r="11" customFormat="false" ht="15.75" hidden="false" customHeight="false" outlineLevel="0" collapsed="false">
      <c r="A11" s="57" t="s">
        <v>1843</v>
      </c>
      <c r="B11" s="57" t="n">
        <v>1.25</v>
      </c>
      <c r="C11" s="58" t="n">
        <f aca="false">B11/B$22*B$24</f>
        <v>1.9662075713103</v>
      </c>
      <c r="D11" s="57" t="s">
        <v>434</v>
      </c>
      <c r="E11" s="59" t="n">
        <f aca="false">IFERROR(INDEX(Correspondance!$D$2:$D$3000,MATCH(A11,Correspondance!$A$2:$A$3000,0)),0)</f>
        <v>3</v>
      </c>
      <c r="F11" s="60" t="n">
        <f aca="false">C11*E11</f>
        <v>5.89862271393091</v>
      </c>
      <c r="G11" s="61"/>
      <c r="I11" s="63"/>
    </row>
    <row r="12" customFormat="false" ht="18.75" hidden="false" customHeight="true" outlineLevel="0" collapsed="false">
      <c r="A12" s="57" t="s">
        <v>1576</v>
      </c>
      <c r="B12" s="64" t="n">
        <v>1.25</v>
      </c>
      <c r="C12" s="58" t="n">
        <f aca="false">B12/B$22*B$24</f>
        <v>1.9662075713103</v>
      </c>
      <c r="D12" s="57" t="s">
        <v>434</v>
      </c>
      <c r="E12" s="59" t="n">
        <f aca="false">IFERROR(INDEX(Correspondance!$D$2:$D$3000,MATCH(A12,Correspondance!$A$2:$A$3000,0)),0)</f>
        <v>5.5</v>
      </c>
      <c r="F12" s="60" t="n">
        <f aca="false">C12*E12</f>
        <v>10.8141416422067</v>
      </c>
      <c r="G12" s="61"/>
      <c r="I12" s="63"/>
    </row>
    <row r="13" customFormat="false" ht="18.75" hidden="false" customHeight="true" outlineLevel="0" collapsed="false">
      <c r="A13" s="57" t="s">
        <v>1098</v>
      </c>
      <c r="B13" s="64" t="n">
        <v>0.067</v>
      </c>
      <c r="C13" s="58" t="n">
        <f aca="false">B13/B$22*B$24</f>
        <v>0.105388725822232</v>
      </c>
      <c r="D13" s="57" t="s">
        <v>434</v>
      </c>
      <c r="E13" s="59" t="n">
        <f aca="false">IFERROR(INDEX(Correspondance!$D$2:$D$3000,MATCH(A13,Correspondance!$A$2:$A$3000,0)),0)</f>
        <v>12</v>
      </c>
      <c r="F13" s="60" t="n">
        <f aca="false">C13*E13</f>
        <v>1.26466470986679</v>
      </c>
      <c r="G13" s="61"/>
      <c r="I13" s="63"/>
    </row>
    <row r="14" customFormat="false" ht="15.75" hidden="false" customHeight="false" outlineLevel="0" collapsed="false">
      <c r="A14" s="57" t="s">
        <v>1459</v>
      </c>
      <c r="B14" s="57" t="n">
        <v>0.418</v>
      </c>
      <c r="C14" s="58" t="n">
        <f aca="false">B14/B$22*B$24</f>
        <v>0.657499811846165</v>
      </c>
      <c r="D14" s="57" t="s">
        <v>682</v>
      </c>
      <c r="E14" s="59" t="n">
        <f aca="false">IFERROR(INDEX(Correspondance!$D$2:$D$3000,MATCH(A14,Correspondance!$A$2:$A$3000,0)),0)</f>
        <v>0</v>
      </c>
      <c r="F14" s="60" t="n">
        <f aca="false">C14*E14</f>
        <v>0</v>
      </c>
      <c r="G14" s="61"/>
      <c r="I14" s="63"/>
    </row>
    <row r="15" customFormat="false" ht="15.75" hidden="false" customHeight="false" outlineLevel="0" collapsed="false">
      <c r="A15" s="57" t="s">
        <v>1084</v>
      </c>
      <c r="B15" s="57" t="n">
        <v>0.067</v>
      </c>
      <c r="C15" s="58" t="n">
        <f aca="false">B15/B$22*B$24</f>
        <v>0.105388725822232</v>
      </c>
      <c r="D15" s="57" t="s">
        <v>434</v>
      </c>
      <c r="E15" s="59" t="n">
        <f aca="false">IFERROR(INDEX(Correspondance!$D$2:$D$3000,MATCH(A15,Correspondance!$A$2:$A$3000,0)),0)</f>
        <v>2.2</v>
      </c>
      <c r="F15" s="60" t="n">
        <f aca="false">C15*E15</f>
        <v>0.231855196808911</v>
      </c>
      <c r="G15" s="61"/>
      <c r="I15" s="63"/>
    </row>
    <row r="16" customFormat="false" ht="15.75" hidden="false" customHeight="false" outlineLevel="0" collapsed="false">
      <c r="A16" s="57" t="s">
        <v>1491</v>
      </c>
      <c r="B16" s="57" t="n">
        <v>0.084</v>
      </c>
      <c r="C16" s="58" t="n">
        <f aca="false">B16/B$22*B$24</f>
        <v>0.132129148792052</v>
      </c>
      <c r="D16" s="57" t="s">
        <v>434</v>
      </c>
      <c r="E16" s="59" t="n">
        <f aca="false">IFERROR(INDEX(Correspondance!$D$2:$D$3000,MATCH(A16,Correspondance!$A$2:$A$3000,0)),0)</f>
        <v>9</v>
      </c>
      <c r="F16" s="60" t="n">
        <f aca="false">C16*E16</f>
        <v>1.18916233912847</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152.3769970648</v>
      </c>
      <c r="G19" s="61"/>
      <c r="I19" s="63"/>
    </row>
    <row r="20" customFormat="false" ht="18.75" hidden="false" customHeight="true" outlineLevel="0" collapsed="false">
      <c r="A20" s="68" t="s">
        <v>2628</v>
      </c>
      <c r="B20" s="69" t="n">
        <f aca="false">F19/B24</f>
        <v>1.38524542786182</v>
      </c>
      <c r="C20" s="70"/>
      <c r="G20" s="61"/>
      <c r="I20" s="63"/>
    </row>
    <row r="21" customFormat="false" ht="15.75" hidden="false" customHeight="false" outlineLevel="0" collapsed="false">
      <c r="A21" s="71" t="s">
        <v>2629</v>
      </c>
      <c r="B21" s="71" t="n">
        <f aca="false">SUM(B3:B18)</f>
        <v>13.287</v>
      </c>
      <c r="C21" s="66"/>
      <c r="G21" s="61"/>
      <c r="I21" s="63"/>
    </row>
    <row r="22" customFormat="false" ht="15.75" hidden="false" customHeight="false" outlineLevel="0" collapsed="false">
      <c r="A22" s="0" t="s">
        <v>2630</v>
      </c>
      <c r="B22" s="72" t="n">
        <f aca="false">B21/B23</f>
        <v>69.9315789473684</v>
      </c>
      <c r="C22" s="66"/>
      <c r="G22" s="61"/>
      <c r="I22" s="63"/>
    </row>
    <row r="23" customFormat="false" ht="15.75" hidden="false" customHeight="false" outlineLevel="0" collapsed="false">
      <c r="A23" s="0" t="s">
        <v>2631</v>
      </c>
      <c r="B23" s="0" t="n">
        <v>0.19</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234</v>
      </c>
      <c r="B1" s="50"/>
      <c r="C1" s="50"/>
      <c r="D1" s="50"/>
      <c r="E1" s="51" t="s">
        <v>2619</v>
      </c>
      <c r="F1" s="51"/>
      <c r="G1" s="52" t="s">
        <v>2910</v>
      </c>
    </row>
    <row r="2" customFormat="false" ht="24.75" hidden="false" customHeight="true" outlineLevel="0" collapsed="false">
      <c r="A2" s="50"/>
      <c r="B2" s="50"/>
      <c r="C2" s="50"/>
      <c r="D2" s="50"/>
      <c r="E2" s="53" t="s">
        <v>2692</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531</v>
      </c>
      <c r="B4" s="57" t="n">
        <v>8.45</v>
      </c>
      <c r="C4" s="58" t="n">
        <f aca="false">B4/B$22*B$24</f>
        <v>13.2799265231146</v>
      </c>
      <c r="D4" s="57" t="s">
        <v>434</v>
      </c>
      <c r="E4" s="59" t="n">
        <f aca="false">IFERROR(INDEX(Correspondance!$D$2:$D$3000,MATCH(A4,Correspondance!$A$2:$A$3000,0)),0)</f>
        <v>9</v>
      </c>
      <c r="F4" s="60" t="n">
        <f aca="false">C4*E4</f>
        <v>119.519338708031</v>
      </c>
      <c r="G4" s="61" t="s">
        <v>2911</v>
      </c>
    </row>
    <row r="5" customFormat="false" ht="15.75" hidden="false" customHeight="false" outlineLevel="0" collapsed="false">
      <c r="A5" s="57" t="s">
        <v>1919</v>
      </c>
      <c r="B5" s="57" t="n">
        <v>0.076</v>
      </c>
      <c r="C5" s="58" t="n">
        <f aca="false">B5/B$22*B$24</f>
        <v>0.119440759261149</v>
      </c>
      <c r="D5" s="57" t="s">
        <v>434</v>
      </c>
      <c r="E5" s="59" t="n">
        <f aca="false">IFERROR(INDEX(Correspondance!$D$2:$D$3000,MATCH(A5,Correspondance!$A$2:$A$3000,0)),0)</f>
        <v>2</v>
      </c>
      <c r="F5" s="60" t="n">
        <f aca="false">C5*E5</f>
        <v>0.238881518522298</v>
      </c>
      <c r="G5" s="61"/>
      <c r="I5" s="62"/>
    </row>
    <row r="6" customFormat="false" ht="15.75" hidden="false" customHeight="false" outlineLevel="0" collapsed="false">
      <c r="A6" s="57" t="s">
        <v>1796</v>
      </c>
      <c r="B6" s="57" t="n">
        <v>0.007</v>
      </c>
      <c r="C6" s="58" t="n">
        <f aca="false">B6/B$22*B$24</f>
        <v>0.0110011225635269</v>
      </c>
      <c r="D6" s="57" t="s">
        <v>434</v>
      </c>
      <c r="E6" s="59" t="n">
        <f aca="false">IFERROR(INDEX(Correspondance!$D$2:$D$3000,MATCH(A6,Correspondance!$A$2:$A$3000,0)),0)</f>
        <v>18</v>
      </c>
      <c r="F6" s="60" t="n">
        <f aca="false">C6*E6</f>
        <v>0.198020206143484</v>
      </c>
      <c r="G6" s="61"/>
      <c r="I6" s="63"/>
    </row>
    <row r="7" customFormat="false" ht="15.75" hidden="false" customHeight="false" outlineLevel="0" collapsed="false">
      <c r="A7" s="57" t="s">
        <v>1675</v>
      </c>
      <c r="B7" s="57" t="n">
        <v>0.169</v>
      </c>
      <c r="C7" s="58" t="n">
        <f aca="false">B7/B$22*B$24</f>
        <v>0.265598530462292</v>
      </c>
      <c r="D7" s="57" t="s">
        <v>682</v>
      </c>
      <c r="E7" s="59" t="n">
        <f aca="false">IFERROR(INDEX(Correspondance!$D$2:$D$3000,MATCH(A7,Correspondance!$A$2:$A$3000,0)),0)</f>
        <v>2.2</v>
      </c>
      <c r="F7" s="60" t="n">
        <f aca="false">C7*E7</f>
        <v>0.584316767017043</v>
      </c>
      <c r="G7" s="61"/>
      <c r="I7" s="63"/>
    </row>
    <row r="8" customFormat="false" ht="15.75" hidden="false" customHeight="false" outlineLevel="0" collapsed="false">
      <c r="A8" s="57" t="s">
        <v>1291</v>
      </c>
      <c r="B8" s="57" t="n">
        <v>0.084</v>
      </c>
      <c r="C8" s="58" t="n">
        <f aca="false">B8/B$22*B$24</f>
        <v>0.132013470762323</v>
      </c>
      <c r="D8" s="57" t="s">
        <v>682</v>
      </c>
      <c r="E8" s="59" t="n">
        <f aca="false">IFERROR(INDEX(Correspondance!$D$2:$D$3000,MATCH(A8,Correspondance!$A$2:$A$3000,0)),0)</f>
        <v>2.5</v>
      </c>
      <c r="F8" s="60" t="n">
        <f aca="false">C8*E8</f>
        <v>0.330033676905807</v>
      </c>
      <c r="G8" s="61"/>
      <c r="I8" s="63"/>
    </row>
    <row r="9" customFormat="false" ht="15.75" hidden="false" customHeight="false" outlineLevel="0" collapsed="false">
      <c r="A9" s="57" t="s">
        <v>1946</v>
      </c>
      <c r="B9" s="57"/>
      <c r="C9" s="58" t="n">
        <f aca="false">B9/B$22*B$24</f>
        <v>0</v>
      </c>
      <c r="D9" s="57" t="s">
        <v>434</v>
      </c>
      <c r="E9" s="59" t="n">
        <f aca="false">IFERROR(INDEX(Correspondance!$D$2:$D$3000,MATCH(A9,Correspondance!$A$2:$A$3000,0)),0)</f>
        <v>16</v>
      </c>
      <c r="F9" s="60" t="n">
        <f aca="false">C9*E9</f>
        <v>0</v>
      </c>
      <c r="G9" s="61"/>
      <c r="I9" s="63"/>
    </row>
    <row r="10" customFormat="false" ht="15.75" hidden="false" customHeight="false" outlineLevel="0" collapsed="false">
      <c r="A10" s="57" t="s">
        <v>1100</v>
      </c>
      <c r="B10" s="57" t="n">
        <v>0.042</v>
      </c>
      <c r="C10" s="58" t="n">
        <f aca="false">B10/B$22*B$24</f>
        <v>0.0660067353811614</v>
      </c>
      <c r="D10" s="57" t="s">
        <v>434</v>
      </c>
      <c r="E10" s="59" t="n">
        <f aca="false">IFERROR(INDEX(Correspondance!$D$2:$D$3000,MATCH(A10,Correspondance!$A$2:$A$3000,0)),0)</f>
        <v>10</v>
      </c>
      <c r="F10" s="60" t="n">
        <f aca="false">C10*E10</f>
        <v>0.660067353811614</v>
      </c>
      <c r="G10" s="61"/>
      <c r="I10" s="63"/>
    </row>
    <row r="11" customFormat="false" ht="15.75" hidden="false" customHeight="false" outlineLevel="0" collapsed="false">
      <c r="A11" s="57" t="s">
        <v>1459</v>
      </c>
      <c r="B11" s="57" t="n">
        <v>0.845</v>
      </c>
      <c r="C11" s="58" t="n">
        <f aca="false">B11/B$22*B$24</f>
        <v>1.32799265231146</v>
      </c>
      <c r="D11" s="57" t="s">
        <v>682</v>
      </c>
      <c r="E11" s="59" t="n">
        <f aca="false">IFERROR(INDEX(Correspondance!$D$2:$D$3000,MATCH(A11,Correspondance!$A$2:$A$3000,0)),0)</f>
        <v>0</v>
      </c>
      <c r="F11" s="60" t="n">
        <f aca="false">C11*E11</f>
        <v>0</v>
      </c>
      <c r="G11" s="61"/>
      <c r="I11" s="63"/>
    </row>
    <row r="12" customFormat="false" ht="18.75" hidden="false" customHeight="true" outlineLevel="0" collapsed="false">
      <c r="A12" s="57" t="s">
        <v>1084</v>
      </c>
      <c r="B12" s="64" t="n">
        <v>0.042</v>
      </c>
      <c r="C12" s="58" t="n">
        <f aca="false">B12/B$22*B$24</f>
        <v>0.0660067353811614</v>
      </c>
      <c r="D12" s="57" t="s">
        <v>434</v>
      </c>
      <c r="E12" s="59" t="n">
        <f aca="false">IFERROR(INDEX(Correspondance!$D$2:$D$3000,MATCH(A12,Correspondance!$A$2:$A$3000,0)),0)</f>
        <v>2.2</v>
      </c>
      <c r="F12" s="60" t="n">
        <f aca="false">C12*E12</f>
        <v>0.145214817838555</v>
      </c>
      <c r="G12" s="61"/>
      <c r="I12" s="63"/>
    </row>
    <row r="13" customFormat="false" ht="18.75" hidden="false" customHeight="true" outlineLevel="0" collapsed="false">
      <c r="A13" s="57" t="s">
        <v>1491</v>
      </c>
      <c r="B13" s="64" t="n">
        <v>0.084</v>
      </c>
      <c r="C13" s="58" t="n">
        <f aca="false">B13/B$22*B$24</f>
        <v>0.132013470762323</v>
      </c>
      <c r="D13" s="57" t="s">
        <v>434</v>
      </c>
      <c r="E13" s="59" t="n">
        <f aca="false">IFERROR(INDEX(Correspondance!$D$2:$D$3000,MATCH(A13,Correspondance!$A$2:$A$3000,0)),0)</f>
        <v>9</v>
      </c>
      <c r="F13" s="60" t="n">
        <f aca="false">C13*E13</f>
        <v>1.1881212368609</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122.863994285131</v>
      </c>
      <c r="G19" s="61"/>
      <c r="I19" s="63"/>
    </row>
    <row r="20" customFormat="false" ht="18.75" hidden="false" customHeight="true" outlineLevel="0" collapsed="false">
      <c r="A20" s="68" t="s">
        <v>2628</v>
      </c>
      <c r="B20" s="69" t="n">
        <f aca="false">F19/B24</f>
        <v>1.1169454025921</v>
      </c>
      <c r="C20" s="70"/>
      <c r="G20" s="61"/>
      <c r="I20" s="63"/>
    </row>
    <row r="21" customFormat="false" ht="15.75" hidden="false" customHeight="false" outlineLevel="0" collapsed="false">
      <c r="A21" s="71" t="s">
        <v>2629</v>
      </c>
      <c r="B21" s="71" t="n">
        <f aca="false">SUM(B3:B18)</f>
        <v>9.799</v>
      </c>
      <c r="C21" s="66"/>
      <c r="G21" s="61"/>
      <c r="I21" s="63"/>
    </row>
    <row r="22" customFormat="false" ht="15.75" hidden="false" customHeight="false" outlineLevel="0" collapsed="false">
      <c r="A22" s="0" t="s">
        <v>2630</v>
      </c>
      <c r="B22" s="72" t="n">
        <f aca="false">B21/B23</f>
        <v>69.9928571428571</v>
      </c>
      <c r="C22" s="66"/>
      <c r="G22" s="61"/>
      <c r="I22" s="63"/>
    </row>
    <row r="23" customFormat="false" ht="15.75" hidden="false" customHeight="false" outlineLevel="0" collapsed="false">
      <c r="A23" s="0" t="s">
        <v>2631</v>
      </c>
      <c r="B23" s="0" t="n">
        <v>0.14</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236</v>
      </c>
      <c r="B1" s="50"/>
      <c r="C1" s="50"/>
      <c r="D1" s="50"/>
      <c r="E1" s="51" t="s">
        <v>2619</v>
      </c>
      <c r="F1" s="51"/>
      <c r="G1" s="52" t="s">
        <v>2889</v>
      </c>
    </row>
    <row r="2" customFormat="false" ht="24.75" hidden="false" customHeight="true" outlineLevel="0" collapsed="false">
      <c r="A2" s="50"/>
      <c r="B2" s="50"/>
      <c r="C2" s="50"/>
      <c r="D2" s="50"/>
      <c r="E2" s="53" t="s">
        <v>2636</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794</v>
      </c>
      <c r="B4" s="57" t="n">
        <v>6.21</v>
      </c>
      <c r="C4" s="58" t="n">
        <f aca="false">B4/B$22*B$24</f>
        <v>9.75857142857143</v>
      </c>
      <c r="D4" s="57" t="s">
        <v>434</v>
      </c>
      <c r="E4" s="59" t="n">
        <f aca="false">IFERROR(INDEX(Correspondance!$D$2:$D$3000,MATCH(A4,Correspondance!$A$2:$A$3000,0)),0)</f>
        <v>1.3</v>
      </c>
      <c r="F4" s="60" t="n">
        <f aca="false">C4*E4</f>
        <v>12.6861428571429</v>
      </c>
      <c r="G4" s="61" t="s">
        <v>2912</v>
      </c>
    </row>
    <row r="5" customFormat="false" ht="15.75" hidden="false" customHeight="false" outlineLevel="0" collapsed="false">
      <c r="A5" s="57" t="s">
        <v>566</v>
      </c>
      <c r="B5" s="57" t="n">
        <v>5.32</v>
      </c>
      <c r="C5" s="58" t="n">
        <f aca="false">B5/B$22*B$24</f>
        <v>8.36</v>
      </c>
      <c r="D5" s="57" t="s">
        <v>434</v>
      </c>
      <c r="E5" s="59" t="n">
        <f aca="false">IFERROR(INDEX(Correspondance!$D$2:$D$3000,MATCH(A5,Correspondance!$A$2:$A$3000,0)),0)</f>
        <v>6.5</v>
      </c>
      <c r="F5" s="60" t="n">
        <f aca="false">C5*E5</f>
        <v>54.34</v>
      </c>
      <c r="G5" s="61"/>
      <c r="I5" s="62"/>
    </row>
    <row r="6" customFormat="false" ht="15.75" hidden="false" customHeight="false" outlineLevel="0" collapsed="false">
      <c r="A6" s="57" t="s">
        <v>1518</v>
      </c>
      <c r="B6" s="57" t="n">
        <v>3.55</v>
      </c>
      <c r="C6" s="58" t="n">
        <f aca="false">B6/B$22*B$24</f>
        <v>5.57857142857143</v>
      </c>
      <c r="D6" s="57" t="s">
        <v>434</v>
      </c>
      <c r="E6" s="59" t="n">
        <f aca="false">IFERROR(INDEX(Correspondance!$D$2:$D$3000,MATCH(A6,Correspondance!$A$2:$A$3000,0)),0)</f>
        <v>9.5</v>
      </c>
      <c r="F6" s="60" t="n">
        <f aca="false">C6*E6</f>
        <v>52.9964285714286</v>
      </c>
      <c r="G6" s="61"/>
      <c r="I6" s="63"/>
    </row>
    <row r="7" customFormat="false" ht="15.75" hidden="false" customHeight="false" outlineLevel="0" collapsed="false">
      <c r="A7" s="57" t="s">
        <v>1001</v>
      </c>
      <c r="B7" s="57" t="n">
        <v>0.887</v>
      </c>
      <c r="C7" s="58" t="n">
        <f aca="false">B7/B$22*B$24</f>
        <v>1.39385714285714</v>
      </c>
      <c r="D7" s="57" t="s">
        <v>434</v>
      </c>
      <c r="E7" s="59" t="n">
        <f aca="false">IFERROR(INDEX(Correspondance!$D$2:$D$3000,MATCH(A7,Correspondance!$A$2:$A$3000,0)),0)</f>
        <v>1.8</v>
      </c>
      <c r="F7" s="60" t="n">
        <f aca="false">C7*E7</f>
        <v>2.50894285714286</v>
      </c>
      <c r="G7" s="61"/>
      <c r="I7" s="63"/>
    </row>
    <row r="8" customFormat="false" ht="15.75" hidden="false" customHeight="false" outlineLevel="0" collapsed="false">
      <c r="A8" s="57" t="s">
        <v>894</v>
      </c>
      <c r="B8" s="57" t="n">
        <v>0.053</v>
      </c>
      <c r="C8" s="58" t="n">
        <f aca="false">B8/B$22*B$24</f>
        <v>0.0832857142857143</v>
      </c>
      <c r="D8" s="57" t="s">
        <v>434</v>
      </c>
      <c r="E8" s="59" t="n">
        <f aca="false">IFERROR(INDEX(Correspondance!$D$2:$D$3000,MATCH(A8,Correspondance!$A$2:$A$3000,0)),0)</f>
        <v>5.5</v>
      </c>
      <c r="F8" s="60" t="n">
        <f aca="false">C8*E8</f>
        <v>0.458071428571429</v>
      </c>
      <c r="G8" s="61"/>
      <c r="I8" s="63"/>
    </row>
    <row r="9" customFormat="false" ht="15.75" hidden="false" customHeight="false" outlineLevel="0" collapsed="false">
      <c r="A9" s="57" t="s">
        <v>2001</v>
      </c>
      <c r="B9" s="57" t="n">
        <v>0.444</v>
      </c>
      <c r="C9" s="58" t="n">
        <f aca="false">B9/B$22*B$24</f>
        <v>0.697714285714286</v>
      </c>
      <c r="D9" s="57" t="s">
        <v>434</v>
      </c>
      <c r="E9" s="59" t="n">
        <f aca="false">IFERROR(INDEX(Correspondance!$D$2:$D$3000,MATCH(A9,Correspondance!$A$2:$A$3000,0)),0)</f>
        <v>3.8</v>
      </c>
      <c r="F9" s="60" t="n">
        <f aca="false">C9*E9</f>
        <v>2.65131428571429</v>
      </c>
      <c r="G9" s="61"/>
      <c r="I9" s="63"/>
    </row>
    <row r="10" customFormat="false" ht="15.75" hidden="false" customHeight="false" outlineLevel="0" collapsed="false">
      <c r="A10" s="57" t="s">
        <v>1070</v>
      </c>
      <c r="B10" s="57" t="n">
        <v>0.355</v>
      </c>
      <c r="C10" s="58" t="n">
        <f aca="false">B10/B$22*B$24</f>
        <v>0.557857142857143</v>
      </c>
      <c r="D10" s="57" t="s">
        <v>434</v>
      </c>
      <c r="E10" s="59" t="n">
        <f aca="false">IFERROR(INDEX(Correspondance!$D$2:$D$3000,MATCH(A10,Correspondance!$A$2:$A$3000,0)),0)</f>
        <v>2</v>
      </c>
      <c r="F10" s="60" t="n">
        <f aca="false">C10*E10</f>
        <v>1.11571428571429</v>
      </c>
      <c r="G10" s="61"/>
      <c r="I10" s="63"/>
    </row>
    <row r="11" customFormat="false" ht="15.75" hidden="false" customHeight="false" outlineLevel="0" collapsed="false">
      <c r="A11" s="57" t="s">
        <v>917</v>
      </c>
      <c r="B11" s="57" t="n">
        <v>0.887</v>
      </c>
      <c r="C11" s="58" t="n">
        <f aca="false">B11/B$22*B$24</f>
        <v>1.39385714285714</v>
      </c>
      <c r="D11" s="57" t="s">
        <v>434</v>
      </c>
      <c r="E11" s="59" t="n">
        <f aca="false">IFERROR(INDEX(Correspondance!$D$2:$D$3000,MATCH(A11,Correspondance!$A$2:$A$3000,0)),0)</f>
        <v>1.8</v>
      </c>
      <c r="F11" s="60" t="n">
        <f aca="false">C11*E11</f>
        <v>2.50894285714286</v>
      </c>
      <c r="G11" s="61"/>
      <c r="I11" s="63"/>
    </row>
    <row r="12" customFormat="false" ht="18.75" hidden="false" customHeight="true" outlineLevel="0" collapsed="false">
      <c r="A12" s="57" t="s">
        <v>1957</v>
      </c>
      <c r="B12" s="64" t="n">
        <v>1.33</v>
      </c>
      <c r="C12" s="58" t="n">
        <f aca="false">B12/B$22*B$24</f>
        <v>2.09</v>
      </c>
      <c r="D12" s="57" t="s">
        <v>434</v>
      </c>
      <c r="E12" s="59" t="n">
        <f aca="false">IFERROR(INDEX(Correspondance!$D$2:$D$3000,MATCH(A12,Correspondance!$A$2:$A$3000,0)),0)</f>
        <v>1.6</v>
      </c>
      <c r="F12" s="60" t="n">
        <f aca="false">C12*E12</f>
        <v>3.344</v>
      </c>
      <c r="G12" s="61"/>
      <c r="I12" s="63"/>
    </row>
    <row r="13" customFormat="false" ht="18.75" hidden="false" customHeight="true" outlineLevel="0" collapsed="false">
      <c r="A13" s="57" t="s">
        <v>1973</v>
      </c>
      <c r="B13" s="64" t="n">
        <v>0.887</v>
      </c>
      <c r="C13" s="58" t="n">
        <f aca="false">B13/B$22*B$24</f>
        <v>1.39385714285714</v>
      </c>
      <c r="D13" s="57" t="s">
        <v>682</v>
      </c>
      <c r="E13" s="59" t="n">
        <f aca="false">IFERROR(INDEX(Correspondance!$D$2:$D$3000,MATCH(A13,Correspondance!$A$2:$A$3000,0)),0)</f>
        <v>2</v>
      </c>
      <c r="F13" s="60" t="n">
        <f aca="false">C13*E13</f>
        <v>2.78771428571429</v>
      </c>
      <c r="G13" s="61"/>
      <c r="I13" s="63"/>
    </row>
    <row r="14" customFormat="false" ht="15.75" hidden="false" customHeight="false" outlineLevel="0" collapsed="false">
      <c r="A14" s="57" t="s">
        <v>1459</v>
      </c>
      <c r="B14" s="57" t="n">
        <v>0.887</v>
      </c>
      <c r="C14" s="58" t="n">
        <f aca="false">B14/B$22*B$24</f>
        <v>1.39385714285714</v>
      </c>
      <c r="D14" s="57" t="s">
        <v>682</v>
      </c>
      <c r="E14" s="59" t="n">
        <f aca="false">IFERROR(INDEX(Correspondance!$D$2:$D$3000,MATCH(A14,Correspondance!$A$2:$A$3000,0)),0)</f>
        <v>0</v>
      </c>
      <c r="F14" s="60" t="n">
        <f aca="false">C14*E14</f>
        <v>0</v>
      </c>
      <c r="G14" s="61"/>
      <c r="I14" s="63"/>
    </row>
    <row r="15" customFormat="false" ht="15.75" hidden="false" customHeight="false" outlineLevel="0" collapsed="false">
      <c r="A15" s="57" t="s">
        <v>1098</v>
      </c>
      <c r="B15" s="57" t="n">
        <v>0.071</v>
      </c>
      <c r="C15" s="58" t="n">
        <f aca="false">B15/B$22*B$24</f>
        <v>0.111571428571429</v>
      </c>
      <c r="D15" s="57" t="s">
        <v>434</v>
      </c>
      <c r="E15" s="59" t="n">
        <f aca="false">IFERROR(INDEX(Correspondance!$D$2:$D$3000,MATCH(A15,Correspondance!$A$2:$A$3000,0)),0)</f>
        <v>12</v>
      </c>
      <c r="F15" s="60" t="n">
        <f aca="false">C15*E15</f>
        <v>1.33885714285714</v>
      </c>
      <c r="G15" s="61"/>
      <c r="I15" s="63"/>
    </row>
    <row r="16" customFormat="false" ht="15.75" hidden="false" customHeight="false" outlineLevel="0" collapsed="false">
      <c r="A16" s="57" t="s">
        <v>1919</v>
      </c>
      <c r="B16" s="57" t="n">
        <v>0.106</v>
      </c>
      <c r="C16" s="58" t="n">
        <f aca="false">B16/B$22*B$24</f>
        <v>0.166571428571429</v>
      </c>
      <c r="D16" s="57" t="s">
        <v>434</v>
      </c>
      <c r="E16" s="59" t="n">
        <f aca="false">IFERROR(INDEX(Correspondance!$D$2:$D$3000,MATCH(A16,Correspondance!$A$2:$A$3000,0)),0)</f>
        <v>2</v>
      </c>
      <c r="F16" s="60" t="n">
        <f aca="false">C16*E16</f>
        <v>0.333142857142857</v>
      </c>
      <c r="G16" s="61"/>
      <c r="I16" s="63"/>
    </row>
    <row r="17" customFormat="false" ht="15.75" hidden="false" customHeight="false" outlineLevel="0" collapsed="false">
      <c r="A17" s="57" t="s">
        <v>1796</v>
      </c>
      <c r="B17" s="57" t="n">
        <v>0.013</v>
      </c>
      <c r="C17" s="58" t="n">
        <f aca="false">B17/B$22*B$24</f>
        <v>0.0204285714285714</v>
      </c>
      <c r="D17" s="57" t="s">
        <v>434</v>
      </c>
      <c r="E17" s="59" t="n">
        <f aca="false">IFERROR(INDEX(Correspondance!$D$2:$D$3000,MATCH(A17,Correspondance!$A$2:$A$3000,0)),0)</f>
        <v>18</v>
      </c>
      <c r="F17" s="60" t="n">
        <f aca="false">C17*E17</f>
        <v>0.367714285714286</v>
      </c>
      <c r="G17" s="61"/>
      <c r="I17" s="63"/>
    </row>
    <row r="18" customFormat="false" ht="15.75" hidden="false" customHeight="false" outlineLevel="0" collapsed="false">
      <c r="A18" s="57" t="s">
        <v>1782</v>
      </c>
      <c r="B18" s="57"/>
      <c r="C18" s="58" t="n">
        <f aca="false">B18/B$22*B$24</f>
        <v>0</v>
      </c>
      <c r="D18" s="57" t="s">
        <v>434</v>
      </c>
      <c r="E18" s="59" t="n">
        <f aca="false">IFERROR(INDEX(Correspondance!$D$2:$D$3000,MATCH(A18,Correspondance!$A$2:$A$3000,0)),0)</f>
        <v>8</v>
      </c>
      <c r="F18" s="60" t="n">
        <f aca="false">C18*E18</f>
        <v>0</v>
      </c>
      <c r="G18" s="61"/>
      <c r="I18" s="63"/>
    </row>
    <row r="19" customFormat="false" ht="15.75" hidden="false" customHeight="false" outlineLevel="0" collapsed="false">
      <c r="C19" s="66"/>
      <c r="F19" s="67" t="n">
        <f aca="false">SUM(F4:F18)</f>
        <v>137.436985714286</v>
      </c>
      <c r="G19" s="61"/>
      <c r="I19" s="63"/>
    </row>
    <row r="20" customFormat="false" ht="18.75" hidden="false" customHeight="true" outlineLevel="0" collapsed="false">
      <c r="A20" s="68" t="s">
        <v>2628</v>
      </c>
      <c r="B20" s="69" t="n">
        <f aca="false">F19/B24</f>
        <v>1.24942714285714</v>
      </c>
      <c r="C20" s="70"/>
      <c r="G20" s="61"/>
      <c r="I20" s="63"/>
    </row>
    <row r="21" customFormat="false" ht="15.75" hidden="false" customHeight="false" outlineLevel="0" collapsed="false">
      <c r="A21" s="71" t="s">
        <v>2629</v>
      </c>
      <c r="B21" s="71" t="n">
        <f aca="false">SUM(B3:B18)</f>
        <v>21</v>
      </c>
      <c r="C21" s="66"/>
      <c r="G21" s="61"/>
      <c r="I21" s="63"/>
    </row>
    <row r="22" customFormat="false" ht="15.75" hidden="false" customHeight="false" outlineLevel="0" collapsed="false">
      <c r="A22" s="0" t="s">
        <v>2630</v>
      </c>
      <c r="B22" s="72" t="n">
        <f aca="false">B21/B23</f>
        <v>70</v>
      </c>
      <c r="C22" s="66"/>
      <c r="G22" s="61"/>
      <c r="I22" s="63"/>
    </row>
    <row r="23" customFormat="false" ht="15.75" hidden="false" customHeight="false" outlineLevel="0" collapsed="false">
      <c r="A23" s="0" t="s">
        <v>2631</v>
      </c>
      <c r="B23" s="0" t="n">
        <v>0.3</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238</v>
      </c>
      <c r="B1" s="50"/>
      <c r="C1" s="50"/>
      <c r="D1" s="50"/>
      <c r="E1" s="51" t="s">
        <v>2619</v>
      </c>
      <c r="F1" s="51"/>
      <c r="G1" s="52" t="s">
        <v>2913</v>
      </c>
    </row>
    <row r="2" customFormat="false" ht="24.75" hidden="false" customHeight="true" outlineLevel="0" collapsed="false">
      <c r="A2" s="50"/>
      <c r="B2" s="50"/>
      <c r="C2" s="50"/>
      <c r="D2" s="50"/>
      <c r="E2" s="53" t="s">
        <v>2717</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489</v>
      </c>
      <c r="B4" s="57" t="n">
        <v>8.69</v>
      </c>
      <c r="C4" s="58" t="n">
        <f aca="false">B4/B$22*B$24</f>
        <v>13.6487506374299</v>
      </c>
      <c r="D4" s="57" t="s">
        <v>434</v>
      </c>
      <c r="E4" s="59" t="n">
        <f aca="false">IFERROR(INDEX(Correspondance!$D$2:$D$3000,MATCH(A4,Correspondance!$A$2:$A$3000,0)),0)</f>
        <v>13.5</v>
      </c>
      <c r="F4" s="60" t="n">
        <f aca="false">C4*E4</f>
        <v>184.258133605303</v>
      </c>
      <c r="G4" s="61" t="s">
        <v>2914</v>
      </c>
    </row>
    <row r="5" customFormat="false" ht="15.75" hidden="false" customHeight="false" outlineLevel="0" collapsed="false">
      <c r="A5" s="57" t="s">
        <v>993</v>
      </c>
      <c r="B5" s="57" t="n">
        <v>1.74</v>
      </c>
      <c r="C5" s="58" t="n">
        <f aca="false">B5/B$22*B$24</f>
        <v>2.73289138194799</v>
      </c>
      <c r="D5" s="57" t="s">
        <v>434</v>
      </c>
      <c r="E5" s="59" t="n">
        <f aca="false">IFERROR(INDEX(Correspondance!$D$2:$D$3000,MATCH(A5,Correspondance!$A$2:$A$3000,0)),0)</f>
        <v>2.2</v>
      </c>
      <c r="F5" s="60" t="n">
        <f aca="false">C5*E5</f>
        <v>6.01236104028557</v>
      </c>
      <c r="G5" s="61"/>
      <c r="I5" s="62"/>
    </row>
    <row r="6" customFormat="false" ht="15.75" hidden="false" customHeight="false" outlineLevel="0" collapsed="false">
      <c r="A6" s="57" t="s">
        <v>917</v>
      </c>
      <c r="B6" s="57" t="n">
        <v>1.74</v>
      </c>
      <c r="C6" s="58" t="n">
        <f aca="false">B6/B$22*B$24</f>
        <v>2.73289138194799</v>
      </c>
      <c r="D6" s="57" t="s">
        <v>434</v>
      </c>
      <c r="E6" s="59" t="n">
        <f aca="false">IFERROR(INDEX(Correspondance!$D$2:$D$3000,MATCH(A6,Correspondance!$A$2:$A$3000,0)),0)</f>
        <v>1.8</v>
      </c>
      <c r="F6" s="60" t="n">
        <f aca="false">C6*E6</f>
        <v>4.91920448750638</v>
      </c>
      <c r="G6" s="61"/>
      <c r="I6" s="63"/>
    </row>
    <row r="7" customFormat="false" ht="15.75" hidden="false" customHeight="false" outlineLevel="0" collapsed="false">
      <c r="A7" s="57" t="s">
        <v>1009</v>
      </c>
      <c r="B7" s="57" t="n">
        <v>1.3</v>
      </c>
      <c r="C7" s="58" t="n">
        <f aca="false">B7/B$22*B$24</f>
        <v>2.04181540030597</v>
      </c>
      <c r="D7" s="57" t="s">
        <v>434</v>
      </c>
      <c r="E7" s="59" t="n">
        <f aca="false">IFERROR(INDEX(Correspondance!$D$2:$D$3000,MATCH(A7,Correspondance!$A$2:$A$3000,0)),0)</f>
        <v>2.3</v>
      </c>
      <c r="F7" s="60" t="n">
        <f aca="false">C7*E7</f>
        <v>4.69617542070372</v>
      </c>
      <c r="G7" s="61"/>
      <c r="I7" s="63"/>
    </row>
    <row r="8" customFormat="false" ht="15.75" hidden="false" customHeight="false" outlineLevel="0" collapsed="false">
      <c r="A8" s="57" t="s">
        <v>1001</v>
      </c>
      <c r="B8" s="57" t="n">
        <v>0.869</v>
      </c>
      <c r="C8" s="58" t="n">
        <f aca="false">B8/B$22*B$24</f>
        <v>1.36487506374299</v>
      </c>
      <c r="D8" s="57" t="s">
        <v>434</v>
      </c>
      <c r="E8" s="59" t="n">
        <f aca="false">IFERROR(INDEX(Correspondance!$D$2:$D$3000,MATCH(A8,Correspondance!$A$2:$A$3000,0)),0)</f>
        <v>1.8</v>
      </c>
      <c r="F8" s="60" t="n">
        <f aca="false">C8*E8</f>
        <v>2.45677511473738</v>
      </c>
      <c r="G8" s="61"/>
      <c r="I8" s="63"/>
    </row>
    <row r="9" customFormat="false" ht="15.75" hidden="false" customHeight="false" outlineLevel="0" collapsed="false">
      <c r="A9" s="57" t="s">
        <v>894</v>
      </c>
      <c r="B9" s="57" t="n">
        <v>0.07</v>
      </c>
      <c r="C9" s="58" t="n">
        <f aca="false">B9/B$22*B$24</f>
        <v>0.109943906170321</v>
      </c>
      <c r="D9" s="57" t="s">
        <v>434</v>
      </c>
      <c r="E9" s="59" t="n">
        <f aca="false">IFERROR(INDEX(Correspondance!$D$2:$D$3000,MATCH(A9,Correspondance!$A$2:$A$3000,0)),0)</f>
        <v>5.5</v>
      </c>
      <c r="F9" s="60" t="n">
        <f aca="false">C9*E9</f>
        <v>0.604691483936767</v>
      </c>
      <c r="G9" s="61"/>
      <c r="I9" s="63"/>
    </row>
    <row r="10" customFormat="false" ht="15.75" hidden="false" customHeight="false" outlineLevel="0" collapsed="false">
      <c r="A10" s="57" t="s">
        <v>1197</v>
      </c>
      <c r="B10" s="57" t="n">
        <v>0.217</v>
      </c>
      <c r="C10" s="58" t="n">
        <f aca="false">B10/B$22*B$24</f>
        <v>0.340826109127996</v>
      </c>
      <c r="D10" s="57" t="s">
        <v>434</v>
      </c>
      <c r="E10" s="59" t="n">
        <f aca="false">IFERROR(INDEX(Correspondance!$D$2:$D$3000,MATCH(A10,Correspondance!$A$2:$A$3000,0)),0)</f>
        <v>2.6</v>
      </c>
      <c r="F10" s="60" t="n">
        <f aca="false">C10*E10</f>
        <v>0.88614788373279</v>
      </c>
      <c r="G10" s="61"/>
      <c r="I10" s="63"/>
    </row>
    <row r="11" customFormat="false" ht="15.75" hidden="false" customHeight="false" outlineLevel="0" collapsed="false">
      <c r="A11" s="57" t="s">
        <v>1632</v>
      </c>
      <c r="B11" s="57" t="n">
        <v>0.104</v>
      </c>
      <c r="C11" s="58" t="n">
        <f aca="false">B11/B$22*B$24</f>
        <v>0.163345232024477</v>
      </c>
      <c r="D11" s="57" t="s">
        <v>434</v>
      </c>
      <c r="E11" s="59" t="n">
        <f aca="false">IFERROR(INDEX(Correspondance!$D$2:$D$3000,MATCH(A11,Correspondance!$A$2:$A$3000,0)),0)</f>
        <v>15</v>
      </c>
      <c r="F11" s="60" t="n">
        <f aca="false">C11*E11</f>
        <v>2.45017848036716</v>
      </c>
      <c r="G11" s="61"/>
      <c r="I11" s="63"/>
    </row>
    <row r="12" customFormat="false" ht="18.75" hidden="false" customHeight="true" outlineLevel="0" collapsed="false">
      <c r="A12" s="57" t="s">
        <v>1459</v>
      </c>
      <c r="B12" s="64" t="n">
        <v>3.48</v>
      </c>
      <c r="C12" s="58" t="n">
        <f aca="false">B12/B$22*B$24</f>
        <v>5.46578276389597</v>
      </c>
      <c r="D12" s="57" t="s">
        <v>682</v>
      </c>
      <c r="E12" s="59" t="n">
        <f aca="false">IFERROR(INDEX(Correspondance!$D$2:$D$3000,MATCH(A12,Correspondance!$A$2:$A$3000,0)),0)</f>
        <v>0</v>
      </c>
      <c r="F12" s="60" t="n">
        <f aca="false">C12*E12</f>
        <v>0</v>
      </c>
      <c r="G12" s="61"/>
      <c r="I12" s="63"/>
    </row>
    <row r="13" customFormat="false" ht="18.75" hidden="false" customHeight="true" outlineLevel="0" collapsed="false">
      <c r="A13" s="57" t="s">
        <v>1973</v>
      </c>
      <c r="B13" s="64" t="n">
        <v>0.869</v>
      </c>
      <c r="C13" s="58" t="n">
        <f aca="false">B13/B$22*B$24</f>
        <v>1.36487506374299</v>
      </c>
      <c r="D13" s="57" t="s">
        <v>682</v>
      </c>
      <c r="E13" s="59" t="n">
        <f aca="false">IFERROR(INDEX(Correspondance!$D$2:$D$3000,MATCH(A13,Correspondance!$A$2:$A$3000,0)),0)</f>
        <v>2</v>
      </c>
      <c r="F13" s="60" t="n">
        <f aca="false">C13*E13</f>
        <v>2.72975012748598</v>
      </c>
      <c r="G13" s="61"/>
      <c r="I13" s="63"/>
    </row>
    <row r="14" customFormat="false" ht="15.75" hidden="false" customHeight="false" outlineLevel="0" collapsed="false">
      <c r="A14" s="57" t="s">
        <v>1084</v>
      </c>
      <c r="B14" s="57" t="n">
        <v>0.261</v>
      </c>
      <c r="C14" s="58" t="n">
        <f aca="false">B14/B$22*B$24</f>
        <v>0.409933707292198</v>
      </c>
      <c r="D14" s="57" t="s">
        <v>434</v>
      </c>
      <c r="E14" s="59" t="n">
        <f aca="false">IFERROR(INDEX(Correspondance!$D$2:$D$3000,MATCH(A14,Correspondance!$A$2:$A$3000,0)),0)</f>
        <v>2.2</v>
      </c>
      <c r="F14" s="60" t="n">
        <f aca="false">C14*E14</f>
        <v>0.901854156042836</v>
      </c>
      <c r="G14" s="61"/>
      <c r="I14" s="63"/>
    </row>
    <row r="15" customFormat="false" ht="15.75" hidden="false" customHeight="false" outlineLevel="0" collapsed="false">
      <c r="A15" s="57" t="s">
        <v>1675</v>
      </c>
      <c r="B15" s="57" t="n">
        <v>0.174</v>
      </c>
      <c r="C15" s="58" t="n">
        <f aca="false">B15/B$22*B$24</f>
        <v>0.273289138194799</v>
      </c>
      <c r="D15" s="57" t="s">
        <v>682</v>
      </c>
      <c r="E15" s="59" t="n">
        <f aca="false">IFERROR(INDEX(Correspondance!$D$2:$D$3000,MATCH(A15,Correspondance!$A$2:$A$3000,0)),0)</f>
        <v>2.2</v>
      </c>
      <c r="F15" s="60" t="n">
        <f aca="false">C15*E15</f>
        <v>0.601236104028557</v>
      </c>
      <c r="G15" s="61"/>
      <c r="I15" s="63"/>
    </row>
    <row r="16" customFormat="false" ht="15.75" hidden="false" customHeight="false" outlineLevel="0" collapsed="false">
      <c r="A16" s="57" t="s">
        <v>1919</v>
      </c>
      <c r="B16" s="57" t="n">
        <v>0.087</v>
      </c>
      <c r="C16" s="58" t="n">
        <f aca="false">B16/B$22*B$24</f>
        <v>0.136644569097399</v>
      </c>
      <c r="D16" s="57" t="s">
        <v>434</v>
      </c>
      <c r="E16" s="59" t="n">
        <f aca="false">IFERROR(INDEX(Correspondance!$D$2:$D$3000,MATCH(A16,Correspondance!$A$2:$A$3000,0)),0)</f>
        <v>2</v>
      </c>
      <c r="F16" s="60" t="n">
        <f aca="false">C16*E16</f>
        <v>0.273289138194799</v>
      </c>
      <c r="G16" s="61"/>
      <c r="I16" s="63"/>
    </row>
    <row r="17" customFormat="false" ht="15.75" hidden="false" customHeight="false" outlineLevel="0" collapsed="false">
      <c r="A17" s="57" t="s">
        <v>1796</v>
      </c>
      <c r="B17" s="57" t="n">
        <v>0.009</v>
      </c>
      <c r="C17" s="58" t="n">
        <f aca="false">B17/B$22*B$24</f>
        <v>0.0141356450790413</v>
      </c>
      <c r="D17" s="57" t="s">
        <v>434</v>
      </c>
      <c r="E17" s="59" t="n">
        <f aca="false">IFERROR(INDEX(Correspondance!$D$2:$D$3000,MATCH(A17,Correspondance!$A$2:$A$3000,0)),0)</f>
        <v>18</v>
      </c>
      <c r="F17" s="60" t="n">
        <f aca="false">C17*E17</f>
        <v>0.254441611422744</v>
      </c>
      <c r="G17" s="61"/>
      <c r="I17" s="63"/>
    </row>
    <row r="18" customFormat="false" ht="15.75" hidden="false" customHeight="false" outlineLevel="0" collapsed="false">
      <c r="A18" s="57" t="s">
        <v>1952</v>
      </c>
      <c r="B18" s="57"/>
      <c r="C18" s="58" t="n">
        <f aca="false">B18/B$22*B$24</f>
        <v>0</v>
      </c>
      <c r="D18" s="57" t="s">
        <v>434</v>
      </c>
      <c r="E18" s="59" t="n">
        <f aca="false">IFERROR(INDEX(Correspondance!$D$2:$D$3000,MATCH(A18,Correspondance!$A$2:$A$3000,0)),0)</f>
        <v>16</v>
      </c>
      <c r="F18" s="60" t="n">
        <f aca="false">C18*E18</f>
        <v>0</v>
      </c>
      <c r="G18" s="61"/>
      <c r="I18" s="63"/>
    </row>
    <row r="19" customFormat="false" ht="15.75" hidden="false" customHeight="false" outlineLevel="0" collapsed="false">
      <c r="C19" s="66"/>
      <c r="F19" s="67" t="n">
        <f aca="false">SUM(F4:F18)</f>
        <v>211.044238653748</v>
      </c>
      <c r="G19" s="61"/>
      <c r="I19" s="63"/>
    </row>
    <row r="20" customFormat="false" ht="18.75" hidden="false" customHeight="true" outlineLevel="0" collapsed="false">
      <c r="A20" s="68" t="s">
        <v>2628</v>
      </c>
      <c r="B20" s="69" t="n">
        <f aca="false">F19/B24</f>
        <v>1.91858398776135</v>
      </c>
      <c r="C20" s="70"/>
      <c r="G20" s="61"/>
      <c r="I20" s="63"/>
    </row>
    <row r="21" customFormat="false" ht="15.75" hidden="false" customHeight="false" outlineLevel="0" collapsed="false">
      <c r="A21" s="71" t="s">
        <v>2629</v>
      </c>
      <c r="B21" s="71" t="n">
        <f aca="false">SUM(B3:B18)</f>
        <v>19.61</v>
      </c>
      <c r="C21" s="66"/>
      <c r="G21" s="61"/>
      <c r="I21" s="63"/>
    </row>
    <row r="22" customFormat="false" ht="15.75" hidden="false" customHeight="false" outlineLevel="0" collapsed="false">
      <c r="A22" s="0" t="s">
        <v>2630</v>
      </c>
      <c r="B22" s="72" t="n">
        <f aca="false">B21/B23</f>
        <v>70.0357142857143</v>
      </c>
      <c r="C22" s="66"/>
      <c r="G22" s="61"/>
      <c r="I22" s="63"/>
    </row>
    <row r="23" customFormat="false" ht="15.75" hidden="false" customHeight="false" outlineLevel="0" collapsed="false">
      <c r="A23" s="0" t="s">
        <v>2631</v>
      </c>
      <c r="B23" s="0" t="n">
        <v>0.28</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240</v>
      </c>
      <c r="B1" s="50"/>
      <c r="C1" s="50"/>
      <c r="D1" s="50"/>
      <c r="E1" s="51" t="s">
        <v>2619</v>
      </c>
      <c r="F1" s="51"/>
      <c r="G1" s="52" t="s">
        <v>2913</v>
      </c>
    </row>
    <row r="2" customFormat="false" ht="24.75" hidden="false" customHeight="true" outlineLevel="0" collapsed="false">
      <c r="A2" s="50"/>
      <c r="B2" s="50"/>
      <c r="C2" s="50"/>
      <c r="D2" s="50"/>
      <c r="E2" s="53" t="s">
        <v>2717</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489</v>
      </c>
      <c r="B4" s="57" t="n">
        <v>8.77</v>
      </c>
      <c r="C4" s="58" t="n">
        <f aca="false">B4/B$22*B$24</f>
        <v>13.7847106453918</v>
      </c>
      <c r="D4" s="57" t="s">
        <v>434</v>
      </c>
      <c r="E4" s="59" t="n">
        <f aca="false">IFERROR(INDEX(Correspondance!$D$2:$D$3000,MATCH(A4,Correspondance!$A$2:$A$3000,0)),0)</f>
        <v>13.5</v>
      </c>
      <c r="F4" s="60" t="n">
        <f aca="false">C4*E4</f>
        <v>186.093593712789</v>
      </c>
      <c r="G4" s="61" t="s">
        <v>2915</v>
      </c>
    </row>
    <row r="5" customFormat="false" ht="15.75" hidden="false" customHeight="false" outlineLevel="0" collapsed="false">
      <c r="A5" s="57" t="s">
        <v>1001</v>
      </c>
      <c r="B5" s="57" t="n">
        <v>1.05</v>
      </c>
      <c r="C5" s="58" t="n">
        <f aca="false">B5/B$22*B$24</f>
        <v>1.65039295070255</v>
      </c>
      <c r="D5" s="57" t="s">
        <v>434</v>
      </c>
      <c r="E5" s="59" t="n">
        <f aca="false">IFERROR(INDEX(Correspondance!$D$2:$D$3000,MATCH(A5,Correspondance!$A$2:$A$3000,0)),0)</f>
        <v>1.8</v>
      </c>
      <c r="F5" s="60" t="n">
        <f aca="false">C5*E5</f>
        <v>2.97070731126459</v>
      </c>
      <c r="G5" s="61"/>
      <c r="I5" s="62"/>
    </row>
    <row r="6" customFormat="false" ht="15.75" hidden="false" customHeight="false" outlineLevel="0" collapsed="false">
      <c r="A6" s="57" t="s">
        <v>917</v>
      </c>
      <c r="B6" s="57" t="n">
        <v>0.877</v>
      </c>
      <c r="C6" s="58" t="n">
        <f aca="false">B6/B$22*B$24</f>
        <v>1.37847106453918</v>
      </c>
      <c r="D6" s="57" t="s">
        <v>434</v>
      </c>
      <c r="E6" s="59" t="n">
        <f aca="false">IFERROR(INDEX(Correspondance!$D$2:$D$3000,MATCH(A6,Correspondance!$A$2:$A$3000,0)),0)</f>
        <v>1.8</v>
      </c>
      <c r="F6" s="60" t="n">
        <f aca="false">C6*E6</f>
        <v>2.48124791617052</v>
      </c>
      <c r="G6" s="61"/>
      <c r="I6" s="63"/>
    </row>
    <row r="7" customFormat="false" ht="15.75" hidden="false" customHeight="false" outlineLevel="0" collapsed="false">
      <c r="A7" s="57" t="s">
        <v>1957</v>
      </c>
      <c r="B7" s="57" t="n">
        <v>1.75</v>
      </c>
      <c r="C7" s="58" t="n">
        <f aca="false">B7/B$22*B$24</f>
        <v>2.75065491783758</v>
      </c>
      <c r="D7" s="57" t="s">
        <v>434</v>
      </c>
      <c r="E7" s="59" t="n">
        <f aca="false">IFERROR(INDEX(Correspondance!$D$2:$D$3000,MATCH(A7,Correspondance!$A$2:$A$3000,0)),0)</f>
        <v>1.6</v>
      </c>
      <c r="F7" s="60" t="n">
        <f aca="false">C7*E7</f>
        <v>4.40104786854013</v>
      </c>
      <c r="G7" s="61"/>
      <c r="I7" s="63"/>
    </row>
    <row r="8" customFormat="false" ht="15.75" hidden="false" customHeight="false" outlineLevel="0" collapsed="false">
      <c r="A8" s="57" t="s">
        <v>894</v>
      </c>
      <c r="B8" s="57" t="n">
        <v>0.088</v>
      </c>
      <c r="C8" s="58" t="n">
        <f aca="false">B8/B$22*B$24</f>
        <v>0.138318647296975</v>
      </c>
      <c r="D8" s="57" t="s">
        <v>434</v>
      </c>
      <c r="E8" s="59" t="n">
        <f aca="false">IFERROR(INDEX(Correspondance!$D$2:$D$3000,MATCH(A8,Correspondance!$A$2:$A$3000,0)),0)</f>
        <v>5.5</v>
      </c>
      <c r="F8" s="60" t="n">
        <f aca="false">C8*E8</f>
        <v>0.760752560133365</v>
      </c>
      <c r="G8" s="61"/>
      <c r="I8" s="63"/>
    </row>
    <row r="9" customFormat="false" ht="15.75" hidden="false" customHeight="false" outlineLevel="0" collapsed="false">
      <c r="A9" s="57" t="s">
        <v>1197</v>
      </c>
      <c r="B9" s="57" t="n">
        <v>0.175</v>
      </c>
      <c r="C9" s="58" t="n">
        <f aca="false">B9/B$22*B$24</f>
        <v>0.275065491783758</v>
      </c>
      <c r="D9" s="57" t="s">
        <v>434</v>
      </c>
      <c r="E9" s="59" t="n">
        <f aca="false">IFERROR(INDEX(Correspondance!$D$2:$D$3000,MATCH(A9,Correspondance!$A$2:$A$3000,0)),0)</f>
        <v>2.6</v>
      </c>
      <c r="F9" s="60" t="n">
        <f aca="false">C9*E9</f>
        <v>0.715170278637771</v>
      </c>
      <c r="G9" s="61"/>
      <c r="I9" s="63"/>
    </row>
    <row r="10" customFormat="false" ht="15.75" hidden="false" customHeight="false" outlineLevel="0" collapsed="false">
      <c r="A10" s="57" t="s">
        <v>1973</v>
      </c>
      <c r="B10" s="57" t="n">
        <v>0.877</v>
      </c>
      <c r="C10" s="58" t="n">
        <f aca="false">B10/B$22*B$24</f>
        <v>1.37847106453918</v>
      </c>
      <c r="D10" s="57" t="s">
        <v>682</v>
      </c>
      <c r="E10" s="59" t="n">
        <f aca="false">IFERROR(INDEX(Correspondance!$D$2:$D$3000,MATCH(A10,Correspondance!$A$2:$A$3000,0)),0)</f>
        <v>2</v>
      </c>
      <c r="F10" s="60" t="n">
        <f aca="false">C10*E10</f>
        <v>2.75694212907835</v>
      </c>
      <c r="G10" s="61"/>
      <c r="I10" s="63"/>
    </row>
    <row r="11" customFormat="false" ht="15.75" hidden="false" customHeight="false" outlineLevel="0" collapsed="false">
      <c r="A11" s="57" t="s">
        <v>1459</v>
      </c>
      <c r="B11" s="57" t="n">
        <v>2.63</v>
      </c>
      <c r="C11" s="58" t="n">
        <f aca="false">B11/B$22*B$24</f>
        <v>4.13384139080734</v>
      </c>
      <c r="D11" s="57" t="s">
        <v>682</v>
      </c>
      <c r="E11" s="59" t="n">
        <f aca="false">IFERROR(INDEX(Correspondance!$D$2:$D$3000,MATCH(A11,Correspondance!$A$2:$A$3000,0)),0)</f>
        <v>0</v>
      </c>
      <c r="F11" s="60" t="n">
        <f aca="false">C11*E11</f>
        <v>0</v>
      </c>
      <c r="G11" s="61"/>
      <c r="I11" s="63"/>
    </row>
    <row r="12" customFormat="false" ht="18.75" hidden="false" customHeight="true" outlineLevel="0" collapsed="false">
      <c r="A12" s="57" t="s">
        <v>1098</v>
      </c>
      <c r="B12" s="64" t="n">
        <v>0.088</v>
      </c>
      <c r="C12" s="58" t="n">
        <f aca="false">B12/B$22*B$24</f>
        <v>0.138318647296975</v>
      </c>
      <c r="D12" s="57" t="s">
        <v>434</v>
      </c>
      <c r="E12" s="59" t="n">
        <f aca="false">IFERROR(INDEX(Correspondance!$D$2:$D$3000,MATCH(A12,Correspondance!$A$2:$A$3000,0)),0)</f>
        <v>12</v>
      </c>
      <c r="F12" s="60" t="n">
        <f aca="false">C12*E12</f>
        <v>1.65982376756371</v>
      </c>
      <c r="G12" s="61"/>
      <c r="I12" s="63"/>
    </row>
    <row r="13" customFormat="false" ht="18.75" hidden="false" customHeight="true" outlineLevel="0" collapsed="false">
      <c r="A13" s="57" t="s">
        <v>1084</v>
      </c>
      <c r="B13" s="64" t="n">
        <v>0.219</v>
      </c>
      <c r="C13" s="58" t="n">
        <f aca="false">B13/B$22*B$24</f>
        <v>0.344224815432246</v>
      </c>
      <c r="D13" s="57" t="s">
        <v>434</v>
      </c>
      <c r="E13" s="59" t="n">
        <f aca="false">IFERROR(INDEX(Correspondance!$D$2:$D$3000,MATCH(A13,Correspondance!$A$2:$A$3000,0)),0)</f>
        <v>2.2</v>
      </c>
      <c r="F13" s="60" t="n">
        <f aca="false">C13*E13</f>
        <v>0.757294593950941</v>
      </c>
      <c r="G13" s="61"/>
      <c r="I13" s="63"/>
    </row>
    <row r="14" customFormat="false" ht="15.75" hidden="false" customHeight="false" outlineLevel="0" collapsed="false">
      <c r="A14" s="57" t="s">
        <v>1675</v>
      </c>
      <c r="B14" s="57" t="n">
        <v>0.175</v>
      </c>
      <c r="C14" s="58" t="n">
        <f aca="false">B14/B$22*B$24</f>
        <v>0.275065491783758</v>
      </c>
      <c r="D14" s="57" t="s">
        <v>682</v>
      </c>
      <c r="E14" s="59" t="n">
        <f aca="false">IFERROR(INDEX(Correspondance!$D$2:$D$3000,MATCH(A14,Correspondance!$A$2:$A$3000,0)),0)</f>
        <v>2.2</v>
      </c>
      <c r="F14" s="60" t="n">
        <f aca="false">C14*E14</f>
        <v>0.605144081924268</v>
      </c>
      <c r="G14" s="61"/>
      <c r="I14" s="63"/>
    </row>
    <row r="15" customFormat="false" ht="15.75" hidden="false" customHeight="false" outlineLevel="0" collapsed="false">
      <c r="A15" s="57" t="s">
        <v>1919</v>
      </c>
      <c r="B15" s="57" t="n">
        <v>0.088</v>
      </c>
      <c r="C15" s="58" t="n">
        <f aca="false">B15/B$22*B$24</f>
        <v>0.138318647296975</v>
      </c>
      <c r="D15" s="57" t="s">
        <v>434</v>
      </c>
      <c r="E15" s="59" t="n">
        <f aca="false">IFERROR(INDEX(Correspondance!$D$2:$D$3000,MATCH(A15,Correspondance!$A$2:$A$3000,0)),0)</f>
        <v>2</v>
      </c>
      <c r="F15" s="60" t="n">
        <f aca="false">C15*E15</f>
        <v>0.276637294593951</v>
      </c>
      <c r="G15" s="61"/>
      <c r="I15" s="63"/>
    </row>
    <row r="16" customFormat="false" ht="15.75" hidden="false" customHeight="false" outlineLevel="0" collapsed="false">
      <c r="A16" s="57" t="s">
        <v>1796</v>
      </c>
      <c r="B16" s="57" t="n">
        <v>0.009</v>
      </c>
      <c r="C16" s="58" t="n">
        <f aca="false">B16/B$22*B$24</f>
        <v>0.0141462252917361</v>
      </c>
      <c r="D16" s="57" t="s">
        <v>434</v>
      </c>
      <c r="E16" s="59" t="n">
        <f aca="false">IFERROR(INDEX(Correspondance!$D$2:$D$3000,MATCH(A16,Correspondance!$A$2:$A$3000,0)),0)</f>
        <v>18</v>
      </c>
      <c r="F16" s="60" t="n">
        <f aca="false">C16*E16</f>
        <v>0.25463205525125</v>
      </c>
      <c r="G16" s="61"/>
      <c r="I16" s="63"/>
    </row>
    <row r="17" customFormat="false" ht="15.75" hidden="false" customHeight="false" outlineLevel="0" collapsed="false">
      <c r="A17" s="57" t="s">
        <v>1668</v>
      </c>
      <c r="B17" s="57"/>
      <c r="C17" s="58" t="n">
        <f aca="false">B17/B$22*B$24</f>
        <v>0</v>
      </c>
      <c r="D17" s="57" t="s">
        <v>434</v>
      </c>
      <c r="E17" s="59" t="n">
        <f aca="false">IFERROR(INDEX(Correspondance!$D$2:$D$3000,MATCH(A17,Correspondance!$A$2:$A$3000,0)),0)</f>
        <v>11</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203.732993569898</v>
      </c>
      <c r="G19" s="61"/>
      <c r="I19" s="63"/>
    </row>
    <row r="20" customFormat="false" ht="18.75" hidden="false" customHeight="true" outlineLevel="0" collapsed="false">
      <c r="A20" s="68" t="s">
        <v>2628</v>
      </c>
      <c r="B20" s="69" t="n">
        <f aca="false">F19/B24</f>
        <v>1.85211812336271</v>
      </c>
      <c r="C20" s="70"/>
      <c r="G20" s="61"/>
      <c r="I20" s="63"/>
    </row>
    <row r="21" customFormat="false" ht="15.75" hidden="false" customHeight="false" outlineLevel="0" collapsed="false">
      <c r="A21" s="71" t="s">
        <v>2629</v>
      </c>
      <c r="B21" s="71" t="n">
        <f aca="false">SUM(B3:B18)</f>
        <v>16.796</v>
      </c>
      <c r="C21" s="66"/>
      <c r="G21" s="61"/>
      <c r="I21" s="63"/>
    </row>
    <row r="22" customFormat="false" ht="15.75" hidden="false" customHeight="false" outlineLevel="0" collapsed="false">
      <c r="A22" s="0" t="s">
        <v>2630</v>
      </c>
      <c r="B22" s="72" t="n">
        <f aca="false">B21/B23</f>
        <v>69.9833333333333</v>
      </c>
      <c r="C22" s="66"/>
      <c r="G22" s="61"/>
      <c r="I22" s="63"/>
    </row>
    <row r="23" customFormat="false" ht="15.75" hidden="false" customHeight="false" outlineLevel="0" collapsed="false">
      <c r="A23" s="0" t="s">
        <v>2631</v>
      </c>
      <c r="B23" s="0" t="n">
        <v>0.24</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242</v>
      </c>
      <c r="B1" s="50"/>
      <c r="C1" s="50"/>
      <c r="D1" s="50"/>
      <c r="E1" s="51" t="s">
        <v>2619</v>
      </c>
      <c r="F1" s="51"/>
      <c r="G1" s="52" t="s">
        <v>2916</v>
      </c>
    </row>
    <row r="2" customFormat="false" ht="24.75" hidden="false" customHeight="true" outlineLevel="0" collapsed="false">
      <c r="A2" s="50"/>
      <c r="B2" s="50"/>
      <c r="C2" s="50"/>
      <c r="D2" s="50"/>
      <c r="E2" s="53" t="s">
        <v>2692</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1648</v>
      </c>
      <c r="B4" s="57" t="n">
        <v>7.97</v>
      </c>
      <c r="C4" s="58" t="n">
        <f aca="false">B4/B$22*B$24</f>
        <v>12.512794372515</v>
      </c>
      <c r="D4" s="57" t="s">
        <v>434</v>
      </c>
      <c r="E4" s="59" t="n">
        <f aca="false">IFERROR(INDEX(Correspondance!$D$2:$D$3000,MATCH(A4,Correspondance!$A$2:$A$3000,0)),0)</f>
        <v>15.5</v>
      </c>
      <c r="F4" s="60" t="n">
        <f aca="false">C4*E4</f>
        <v>193.948312773983</v>
      </c>
      <c r="G4" s="61" t="s">
        <v>2917</v>
      </c>
    </row>
    <row r="5" customFormat="false" ht="15.75" hidden="false" customHeight="false" outlineLevel="0" collapsed="false">
      <c r="A5" s="57" t="s">
        <v>894</v>
      </c>
      <c r="B5" s="57" t="n">
        <v>0.08</v>
      </c>
      <c r="C5" s="58" t="n">
        <f aca="false">B5/B$22*B$24</f>
        <v>0.12559893974921</v>
      </c>
      <c r="D5" s="57" t="s">
        <v>434</v>
      </c>
      <c r="E5" s="59" t="n">
        <f aca="false">IFERROR(INDEX(Correspondance!$D$2:$D$3000,MATCH(A5,Correspondance!$A$2:$A$3000,0)),0)</f>
        <v>5.5</v>
      </c>
      <c r="F5" s="60" t="n">
        <f aca="false">C5*E5</f>
        <v>0.690794168620655</v>
      </c>
      <c r="G5" s="61"/>
      <c r="I5" s="62"/>
    </row>
    <row r="6" customFormat="false" ht="15.75" hidden="false" customHeight="false" outlineLevel="0" collapsed="false">
      <c r="A6" s="57" t="s">
        <v>1919</v>
      </c>
      <c r="B6" s="57" t="n">
        <v>0.08</v>
      </c>
      <c r="C6" s="58" t="n">
        <f aca="false">B6/B$22*B$24</f>
        <v>0.12559893974921</v>
      </c>
      <c r="D6" s="57" t="s">
        <v>434</v>
      </c>
      <c r="E6" s="59" t="n">
        <f aca="false">IFERROR(INDEX(Correspondance!$D$2:$D$3000,MATCH(A6,Correspondance!$A$2:$A$3000,0)),0)</f>
        <v>2</v>
      </c>
      <c r="F6" s="60" t="n">
        <f aca="false">C6*E6</f>
        <v>0.25119787949842</v>
      </c>
      <c r="G6" s="61"/>
      <c r="I6" s="63"/>
    </row>
    <row r="7" customFormat="false" ht="15.75" hidden="false" customHeight="false" outlineLevel="0" collapsed="false">
      <c r="A7" s="57" t="s">
        <v>1796</v>
      </c>
      <c r="B7" s="57" t="n">
        <v>0.008</v>
      </c>
      <c r="C7" s="58" t="n">
        <f aca="false">B7/B$22*B$24</f>
        <v>0.012559893974921</v>
      </c>
      <c r="D7" s="57" t="s">
        <v>434</v>
      </c>
      <c r="E7" s="59" t="n">
        <f aca="false">IFERROR(INDEX(Correspondance!$D$2:$D$3000,MATCH(A7,Correspondance!$A$2:$A$3000,0)),0)</f>
        <v>18</v>
      </c>
      <c r="F7" s="60" t="n">
        <f aca="false">C7*E7</f>
        <v>0.226078091548578</v>
      </c>
      <c r="G7" s="61"/>
      <c r="I7" s="63"/>
    </row>
    <row r="8" customFormat="false" ht="15.75" hidden="false" customHeight="false" outlineLevel="0" collapsed="false">
      <c r="A8" s="57" t="s">
        <v>1672</v>
      </c>
      <c r="B8" s="57"/>
      <c r="C8" s="58" t="n">
        <f aca="false">B8/B$22*B$24</f>
        <v>0</v>
      </c>
      <c r="D8" s="57" t="s">
        <v>434</v>
      </c>
      <c r="E8" s="59" t="n">
        <f aca="false">IFERROR(INDEX(Correspondance!$D$2:$D$3000,MATCH(A8,Correspondance!$A$2:$A$3000,0)),0)</f>
        <v>11</v>
      </c>
      <c r="F8" s="60" t="n">
        <f aca="false">C8*E8</f>
        <v>0</v>
      </c>
      <c r="G8" s="61"/>
      <c r="I8" s="63"/>
    </row>
    <row r="9" customFormat="false" ht="15.75" hidden="false" customHeight="false" outlineLevel="0" collapsed="false">
      <c r="A9" s="57" t="s">
        <v>1675</v>
      </c>
      <c r="B9" s="57" t="n">
        <v>0.12</v>
      </c>
      <c r="C9" s="58" t="n">
        <f aca="false">B9/B$22*B$24</f>
        <v>0.188398409623815</v>
      </c>
      <c r="D9" s="57" t="s">
        <v>682</v>
      </c>
      <c r="E9" s="59" t="n">
        <f aca="false">IFERROR(INDEX(Correspondance!$D$2:$D$3000,MATCH(A9,Correspondance!$A$2:$A$3000,0)),0)</f>
        <v>2.2</v>
      </c>
      <c r="F9" s="60" t="n">
        <f aca="false">C9*E9</f>
        <v>0.414476501172393</v>
      </c>
      <c r="G9" s="61"/>
      <c r="I9" s="63"/>
    </row>
    <row r="10" customFormat="false" ht="15.75" hidden="false" customHeight="false" outlineLevel="0" collapsed="false">
      <c r="A10" s="57" t="s">
        <v>1001</v>
      </c>
      <c r="B10" s="57" t="n">
        <v>0.239</v>
      </c>
      <c r="C10" s="58" t="n">
        <f aca="false">B10/B$22*B$24</f>
        <v>0.375226832500765</v>
      </c>
      <c r="D10" s="57" t="s">
        <v>434</v>
      </c>
      <c r="E10" s="59" t="n">
        <f aca="false">IFERROR(INDEX(Correspondance!$D$2:$D$3000,MATCH(A10,Correspondance!$A$2:$A$3000,0)),0)</f>
        <v>1.8</v>
      </c>
      <c r="F10" s="60" t="n">
        <f aca="false">C10*E10</f>
        <v>0.675408298501376</v>
      </c>
      <c r="G10" s="61"/>
      <c r="I10" s="63"/>
    </row>
    <row r="11" customFormat="false" ht="15.75" hidden="false" customHeight="false" outlineLevel="0" collapsed="false">
      <c r="A11" s="57" t="s">
        <v>1096</v>
      </c>
      <c r="B11" s="57" t="n">
        <v>0.048</v>
      </c>
      <c r="C11" s="58" t="n">
        <f aca="false">B11/B$22*B$24</f>
        <v>0.075359363849526</v>
      </c>
      <c r="D11" s="57" t="s">
        <v>434</v>
      </c>
      <c r="E11" s="59" t="n">
        <f aca="false">IFERROR(INDEX(Correspondance!$D$2:$D$3000,MATCH(A11,Correspondance!$A$2:$A$3000,0)),0)</f>
        <v>15</v>
      </c>
      <c r="F11" s="60" t="n">
        <f aca="false">C11*E11</f>
        <v>1.13039045774289</v>
      </c>
      <c r="G11" s="61"/>
      <c r="I11" s="63"/>
    </row>
    <row r="12" customFormat="false" ht="18.75" hidden="false" customHeight="true" outlineLevel="0" collapsed="false">
      <c r="A12" s="57" t="s">
        <v>1459</v>
      </c>
      <c r="B12" s="64" t="n">
        <v>1.2</v>
      </c>
      <c r="C12" s="58" t="n">
        <f aca="false">B12/B$22*B$24</f>
        <v>1.88398409623815</v>
      </c>
      <c r="D12" s="57" t="s">
        <v>682</v>
      </c>
      <c r="E12" s="59" t="n">
        <f aca="false">IFERROR(INDEX(Correspondance!$D$2:$D$3000,MATCH(A12,Correspondance!$A$2:$A$3000,0)),0)</f>
        <v>0</v>
      </c>
      <c r="F12" s="60" t="n">
        <f aca="false">C12*E12</f>
        <v>0</v>
      </c>
      <c r="G12" s="61"/>
      <c r="I12" s="63"/>
    </row>
    <row r="13" customFormat="false" ht="18.75" hidden="false" customHeight="true" outlineLevel="0" collapsed="false">
      <c r="A13" s="57" t="s">
        <v>1084</v>
      </c>
      <c r="B13" s="64" t="n">
        <v>0.064</v>
      </c>
      <c r="C13" s="58" t="n">
        <f aca="false">B13/B$22*B$24</f>
        <v>0.100479151799368</v>
      </c>
      <c r="D13" s="57" t="s">
        <v>434</v>
      </c>
      <c r="E13" s="59" t="n">
        <f aca="false">IFERROR(INDEX(Correspondance!$D$2:$D$3000,MATCH(A13,Correspondance!$A$2:$A$3000,0)),0)</f>
        <v>2.2</v>
      </c>
      <c r="F13" s="60" t="n">
        <f aca="false">C13*E13</f>
        <v>0.22105413395861</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197.557712305026</v>
      </c>
      <c r="G19" s="61"/>
      <c r="I19" s="63"/>
    </row>
    <row r="20" customFormat="false" ht="18.75" hidden="false" customHeight="true" outlineLevel="0" collapsed="false">
      <c r="A20" s="68" t="s">
        <v>2628</v>
      </c>
      <c r="B20" s="69" t="n">
        <f aca="false">F19/B24</f>
        <v>1.79597920277296</v>
      </c>
      <c r="C20" s="70"/>
      <c r="G20" s="61"/>
      <c r="I20" s="63"/>
    </row>
    <row r="21" customFormat="false" ht="15.75" hidden="false" customHeight="false" outlineLevel="0" collapsed="false">
      <c r="A21" s="71" t="s">
        <v>2629</v>
      </c>
      <c r="B21" s="71" t="n">
        <f aca="false">SUM(B3:B18)</f>
        <v>9.809</v>
      </c>
      <c r="C21" s="66"/>
      <c r="G21" s="61"/>
      <c r="I21" s="63"/>
    </row>
    <row r="22" customFormat="false" ht="15.75" hidden="false" customHeight="false" outlineLevel="0" collapsed="false">
      <c r="A22" s="0" t="s">
        <v>2630</v>
      </c>
      <c r="B22" s="72" t="n">
        <f aca="false">B21/B23</f>
        <v>70.0642857142857</v>
      </c>
      <c r="C22" s="66"/>
      <c r="G22" s="61"/>
      <c r="I22" s="63"/>
    </row>
    <row r="23" customFormat="false" ht="15.75" hidden="false" customHeight="false" outlineLevel="0" collapsed="false">
      <c r="A23" s="0" t="s">
        <v>2631</v>
      </c>
      <c r="B23" s="0" t="n">
        <v>0.14</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244</v>
      </c>
      <c r="B1" s="50"/>
      <c r="C1" s="50"/>
      <c r="D1" s="50"/>
      <c r="E1" s="51" t="s">
        <v>2619</v>
      </c>
      <c r="F1" s="51"/>
      <c r="G1" s="52" t="s">
        <v>2918</v>
      </c>
    </row>
    <row r="2" customFormat="false" ht="24.75" hidden="false" customHeight="true" outlineLevel="0" collapsed="false">
      <c r="A2" s="50"/>
      <c r="B2" s="50"/>
      <c r="C2" s="50"/>
      <c r="D2" s="50"/>
      <c r="E2" s="53" t="s">
        <v>2717</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1933</v>
      </c>
      <c r="B4" s="57" t="n">
        <v>18.93</v>
      </c>
      <c r="C4" s="58" t="n">
        <f aca="false">B4/B$22*B$24</f>
        <v>29.7549731132253</v>
      </c>
      <c r="D4" s="57" t="s">
        <v>434</v>
      </c>
      <c r="E4" s="59" t="n">
        <f aca="false">IFERROR(INDEX(Correspondance!$D$2:$D$3000,MATCH(A4,Correspondance!$A$2:$A$3000,0)),0)</f>
        <v>13</v>
      </c>
      <c r="F4" s="60" t="n">
        <f aca="false">C4*E4</f>
        <v>386.814650471929</v>
      </c>
      <c r="G4" s="61" t="s">
        <v>2919</v>
      </c>
    </row>
    <row r="5" customFormat="false" ht="15.75" hidden="false" customHeight="false" outlineLevel="0" collapsed="false">
      <c r="A5" s="57" t="s">
        <v>1001</v>
      </c>
      <c r="B5" s="57" t="n">
        <v>1.26</v>
      </c>
      <c r="C5" s="58" t="n">
        <f aca="false">B5/B$22*B$24</f>
        <v>1.98052118978679</v>
      </c>
      <c r="D5" s="57" t="s">
        <v>434</v>
      </c>
      <c r="E5" s="59" t="n">
        <f aca="false">IFERROR(INDEX(Correspondance!$D$2:$D$3000,MATCH(A5,Correspondance!$A$2:$A$3000,0)),0)</f>
        <v>1.8</v>
      </c>
      <c r="F5" s="60" t="n">
        <f aca="false">C5*E5</f>
        <v>3.56493814161622</v>
      </c>
      <c r="G5" s="61"/>
      <c r="I5" s="62"/>
    </row>
    <row r="6" customFormat="false" ht="15.75" hidden="false" customHeight="false" outlineLevel="0" collapsed="false">
      <c r="A6" s="57" t="s">
        <v>917</v>
      </c>
      <c r="B6" s="57" t="n">
        <v>1.26</v>
      </c>
      <c r="C6" s="58" t="n">
        <f aca="false">B6/B$22*B$24</f>
        <v>1.98052118978679</v>
      </c>
      <c r="D6" s="57" t="s">
        <v>434</v>
      </c>
      <c r="E6" s="59" t="n">
        <f aca="false">IFERROR(INDEX(Correspondance!$D$2:$D$3000,MATCH(A6,Correspondance!$A$2:$A$3000,0)),0)</f>
        <v>1.8</v>
      </c>
      <c r="F6" s="60" t="n">
        <f aca="false">C6*E6</f>
        <v>3.56493814161622</v>
      </c>
      <c r="G6" s="61"/>
      <c r="I6" s="63"/>
    </row>
    <row r="7" customFormat="false" ht="15.75" hidden="false" customHeight="false" outlineLevel="0" collapsed="false">
      <c r="A7" s="57" t="s">
        <v>894</v>
      </c>
      <c r="B7" s="57" t="n">
        <v>0.126</v>
      </c>
      <c r="C7" s="58" t="n">
        <f aca="false">B7/B$22*B$24</f>
        <v>0.198052118978679</v>
      </c>
      <c r="D7" s="57" t="s">
        <v>434</v>
      </c>
      <c r="E7" s="59" t="n">
        <f aca="false">IFERROR(INDEX(Correspondance!$D$2:$D$3000,MATCH(A7,Correspondance!$A$2:$A$3000,0)),0)</f>
        <v>5.5</v>
      </c>
      <c r="F7" s="60" t="n">
        <f aca="false">C7*E7</f>
        <v>1.08928665438273</v>
      </c>
      <c r="G7" s="61"/>
      <c r="I7" s="63"/>
    </row>
    <row r="8" customFormat="false" ht="15.75" hidden="false" customHeight="false" outlineLevel="0" collapsed="false">
      <c r="A8" s="57" t="s">
        <v>1197</v>
      </c>
      <c r="B8" s="57" t="n">
        <v>0.252</v>
      </c>
      <c r="C8" s="58" t="n">
        <f aca="false">B8/B$22*B$24</f>
        <v>0.396104237957357</v>
      </c>
      <c r="D8" s="57" t="s">
        <v>434</v>
      </c>
      <c r="E8" s="59" t="n">
        <f aca="false">IFERROR(INDEX(Correspondance!$D$2:$D$3000,MATCH(A8,Correspondance!$A$2:$A$3000,0)),0)</f>
        <v>2.6</v>
      </c>
      <c r="F8" s="60" t="n">
        <f aca="false">C8*E8</f>
        <v>1.02987101868913</v>
      </c>
      <c r="G8" s="61"/>
      <c r="I8" s="63"/>
    </row>
    <row r="9" customFormat="false" ht="15.75" hidden="false" customHeight="false" outlineLevel="0" collapsed="false">
      <c r="A9" s="57" t="s">
        <v>1973</v>
      </c>
      <c r="B9" s="57" t="n">
        <v>1.26</v>
      </c>
      <c r="C9" s="58" t="n">
        <f aca="false">B9/B$22*B$24</f>
        <v>1.98052118978679</v>
      </c>
      <c r="D9" s="57" t="s">
        <v>682</v>
      </c>
      <c r="E9" s="59" t="n">
        <f aca="false">IFERROR(INDEX(Correspondance!$D$2:$D$3000,MATCH(A9,Correspondance!$A$2:$A$3000,0)),0)</f>
        <v>2</v>
      </c>
      <c r="F9" s="60" t="n">
        <f aca="false">C9*E9</f>
        <v>3.96104237957357</v>
      </c>
      <c r="G9" s="61"/>
      <c r="I9" s="63"/>
    </row>
    <row r="10" customFormat="false" ht="15.75" hidden="false" customHeight="false" outlineLevel="0" collapsed="false">
      <c r="A10" s="57" t="s">
        <v>1459</v>
      </c>
      <c r="B10" s="57" t="n">
        <v>2.52</v>
      </c>
      <c r="C10" s="58" t="n">
        <f aca="false">B10/B$22*B$24</f>
        <v>3.96104237957357</v>
      </c>
      <c r="D10" s="57" t="s">
        <v>682</v>
      </c>
      <c r="E10" s="59" t="n">
        <f aca="false">IFERROR(INDEX(Correspondance!$D$2:$D$3000,MATCH(A10,Correspondance!$A$2:$A$3000,0)),0)</f>
        <v>0</v>
      </c>
      <c r="F10" s="60" t="n">
        <f aca="false">C10*E10</f>
        <v>0</v>
      </c>
      <c r="G10" s="61"/>
      <c r="I10" s="63"/>
    </row>
    <row r="11" customFormat="false" ht="15.75" hidden="false" customHeight="false" outlineLevel="0" collapsed="false">
      <c r="A11" s="57" t="s">
        <v>1098</v>
      </c>
      <c r="B11" s="57" t="n">
        <v>0.126</v>
      </c>
      <c r="C11" s="58" t="n">
        <f aca="false">B11/B$22*B$24</f>
        <v>0.198052118978679</v>
      </c>
      <c r="D11" s="57" t="s">
        <v>434</v>
      </c>
      <c r="E11" s="59" t="n">
        <f aca="false">IFERROR(INDEX(Correspondance!$D$2:$D$3000,MATCH(A11,Correspondance!$A$2:$A$3000,0)),0)</f>
        <v>12</v>
      </c>
      <c r="F11" s="60" t="n">
        <f aca="false">C11*E11</f>
        <v>2.37662542774414</v>
      </c>
      <c r="G11" s="61"/>
      <c r="I11" s="63"/>
    </row>
    <row r="12" customFormat="false" ht="18.75" hidden="false" customHeight="true" outlineLevel="0" collapsed="false">
      <c r="A12" s="57" t="s">
        <v>1137</v>
      </c>
      <c r="B12" s="64" t="n">
        <v>0.252</v>
      </c>
      <c r="C12" s="58" t="n">
        <f aca="false">B12/B$22*B$24</f>
        <v>0.396104237957357</v>
      </c>
      <c r="D12" s="57" t="s">
        <v>434</v>
      </c>
      <c r="E12" s="59" t="n">
        <f aca="false">IFERROR(INDEX(Correspondance!$D$2:$D$3000,MATCH(A12,Correspondance!$A$2:$A$3000,0)),0)</f>
        <v>7.5</v>
      </c>
      <c r="F12" s="60" t="n">
        <f aca="false">C12*E12</f>
        <v>2.97078178468018</v>
      </c>
      <c r="G12" s="61"/>
      <c r="I12" s="63"/>
    </row>
    <row r="13" customFormat="false" ht="18.75" hidden="false" customHeight="true" outlineLevel="0" collapsed="false">
      <c r="A13" s="57" t="s">
        <v>1084</v>
      </c>
      <c r="B13" s="64" t="n">
        <v>0.189</v>
      </c>
      <c r="C13" s="58" t="n">
        <f aca="false">B13/B$22*B$24</f>
        <v>0.297078178468018</v>
      </c>
      <c r="D13" s="57" t="s">
        <v>434</v>
      </c>
      <c r="E13" s="59" t="n">
        <f aca="false">IFERROR(INDEX(Correspondance!$D$2:$D$3000,MATCH(A13,Correspondance!$A$2:$A$3000,0)),0)</f>
        <v>2.2</v>
      </c>
      <c r="F13" s="60" t="n">
        <f aca="false">C13*E13</f>
        <v>0.653571992629639</v>
      </c>
      <c r="G13" s="61"/>
      <c r="I13" s="63"/>
    </row>
    <row r="14" customFormat="false" ht="15.75" hidden="false" customHeight="false" outlineLevel="0" collapsed="false">
      <c r="A14" s="57" t="s">
        <v>1675</v>
      </c>
      <c r="B14" s="57" t="n">
        <v>0.252</v>
      </c>
      <c r="C14" s="58" t="n">
        <f aca="false">B14/B$22*B$24</f>
        <v>0.396104237957357</v>
      </c>
      <c r="D14" s="57" t="s">
        <v>682</v>
      </c>
      <c r="E14" s="59" t="n">
        <f aca="false">IFERROR(INDEX(Correspondance!$D$2:$D$3000,MATCH(A14,Correspondance!$A$2:$A$3000,0)),0)</f>
        <v>2.2</v>
      </c>
      <c r="F14" s="60" t="n">
        <f aca="false">C14*E14</f>
        <v>0.871429323506186</v>
      </c>
      <c r="G14" s="61"/>
      <c r="I14" s="63"/>
    </row>
    <row r="15" customFormat="false" ht="15.75" hidden="false" customHeight="false" outlineLevel="0" collapsed="false">
      <c r="A15" s="57" t="s">
        <v>1919</v>
      </c>
      <c r="B15" s="57" t="n">
        <v>0.151</v>
      </c>
      <c r="C15" s="58" t="n">
        <f aca="false">B15/B$22*B$24</f>
        <v>0.237348174331591</v>
      </c>
      <c r="D15" s="57" t="s">
        <v>434</v>
      </c>
      <c r="E15" s="59" t="n">
        <f aca="false">IFERROR(INDEX(Correspondance!$D$2:$D$3000,MATCH(A15,Correspondance!$A$2:$A$3000,0)),0)</f>
        <v>2</v>
      </c>
      <c r="F15" s="60" t="n">
        <f aca="false">C15*E15</f>
        <v>0.474696348663182</v>
      </c>
      <c r="G15" s="61"/>
      <c r="I15" s="63"/>
    </row>
    <row r="16" customFormat="false" ht="15.75" hidden="false" customHeight="false" outlineLevel="0" collapsed="false">
      <c r="A16" s="57" t="s">
        <v>1796</v>
      </c>
      <c r="B16" s="57" t="n">
        <v>0.015</v>
      </c>
      <c r="C16" s="58" t="n">
        <f aca="false">B16/B$22*B$24</f>
        <v>0.0235776332117475</v>
      </c>
      <c r="D16" s="57" t="s">
        <v>434</v>
      </c>
      <c r="E16" s="59" t="n">
        <f aca="false">IFERROR(INDEX(Correspondance!$D$2:$D$3000,MATCH(A16,Correspondance!$A$2:$A$3000,0)),0)</f>
        <v>18</v>
      </c>
      <c r="F16" s="60" t="n">
        <f aca="false">C16*E16</f>
        <v>0.424397397811454</v>
      </c>
      <c r="G16" s="61"/>
      <c r="I16" s="63"/>
    </row>
    <row r="17" customFormat="false" ht="15.75" hidden="false" customHeight="false" outlineLevel="0" collapsed="false">
      <c r="A17" s="57" t="s">
        <v>1955</v>
      </c>
      <c r="B17" s="57"/>
      <c r="C17" s="58" t="n">
        <f aca="false">B17/B$22*B$24</f>
        <v>0</v>
      </c>
      <c r="D17" s="57" t="s">
        <v>434</v>
      </c>
      <c r="E17" s="59" t="n">
        <f aca="false">IFERROR(INDEX(Correspondance!$D$2:$D$3000,MATCH(A17,Correspondance!$A$2:$A$3000,0)),0)</f>
        <v>16</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407.796229082841</v>
      </c>
      <c r="G19" s="61"/>
      <c r="I19" s="63"/>
    </row>
    <row r="20" customFormat="false" ht="18.75" hidden="false" customHeight="true" outlineLevel="0" collapsed="false">
      <c r="A20" s="68" t="s">
        <v>2628</v>
      </c>
      <c r="B20" s="69" t="n">
        <f aca="false">F19/B24</f>
        <v>3.70723844620765</v>
      </c>
      <c r="C20" s="70"/>
      <c r="G20" s="61"/>
      <c r="I20" s="63"/>
    </row>
    <row r="21" customFormat="false" ht="15.75" hidden="false" customHeight="false" outlineLevel="0" collapsed="false">
      <c r="A21" s="71" t="s">
        <v>2629</v>
      </c>
      <c r="B21" s="71" t="n">
        <f aca="false">SUM(B3:B18)</f>
        <v>26.593</v>
      </c>
      <c r="C21" s="66"/>
      <c r="G21" s="61"/>
      <c r="I21" s="63"/>
    </row>
    <row r="22" customFormat="false" ht="15.75" hidden="false" customHeight="false" outlineLevel="0" collapsed="false">
      <c r="A22" s="0" t="s">
        <v>2630</v>
      </c>
      <c r="B22" s="72" t="n">
        <f aca="false">B21/B23</f>
        <v>69.9815789473684</v>
      </c>
      <c r="C22" s="66"/>
      <c r="G22" s="61"/>
      <c r="I22" s="63"/>
    </row>
    <row r="23" customFormat="false" ht="15.75" hidden="false" customHeight="false" outlineLevel="0" collapsed="false">
      <c r="A23" s="0" t="s">
        <v>2631</v>
      </c>
      <c r="B23" s="0" t="n">
        <v>0.38</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246</v>
      </c>
      <c r="B1" s="50"/>
      <c r="C1" s="50"/>
      <c r="D1" s="50"/>
      <c r="E1" s="51" t="s">
        <v>2619</v>
      </c>
      <c r="F1" s="51"/>
      <c r="G1" s="52" t="s">
        <v>2920</v>
      </c>
    </row>
    <row r="2" customFormat="false" ht="24.75" hidden="false" customHeight="true" outlineLevel="0" collapsed="false">
      <c r="A2" s="50"/>
      <c r="B2" s="50"/>
      <c r="C2" s="50"/>
      <c r="D2" s="50"/>
      <c r="E2" s="53" t="s">
        <v>2692</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519</v>
      </c>
      <c r="B4" s="57" t="n">
        <v>8.56</v>
      </c>
      <c r="C4" s="58" t="n">
        <f aca="false">B4/B$22*B$24</f>
        <v>13.4540494901604</v>
      </c>
      <c r="D4" s="57" t="s">
        <v>434</v>
      </c>
      <c r="E4" s="59" t="n">
        <f aca="false">IFERROR(INDEX(Correspondance!$D$2:$D$3000,MATCH(A4,Correspondance!$A$2:$A$3000,0)),0)</f>
        <v>10.5</v>
      </c>
      <c r="F4" s="60" t="n">
        <f aca="false">C4*E4</f>
        <v>141.267519646684</v>
      </c>
      <c r="G4" s="61" t="s">
        <v>2921</v>
      </c>
    </row>
    <row r="5" customFormat="false" ht="15.75" hidden="false" customHeight="false" outlineLevel="0" collapsed="false">
      <c r="A5" s="57" t="s">
        <v>1594</v>
      </c>
      <c r="B5" s="57" t="n">
        <v>2.14</v>
      </c>
      <c r="C5" s="58" t="n">
        <f aca="false">B5/B$22*B$24</f>
        <v>3.36351237254011</v>
      </c>
      <c r="D5" s="57" t="s">
        <v>434</v>
      </c>
      <c r="E5" s="59" t="n">
        <f aca="false">IFERROR(INDEX(Correspondance!$D$2:$D$3000,MATCH(A5,Correspondance!$A$2:$A$3000,0)),0)</f>
        <v>16</v>
      </c>
      <c r="F5" s="60" t="n">
        <f aca="false">C5*E5</f>
        <v>53.8161979606417</v>
      </c>
      <c r="G5" s="61"/>
      <c r="I5" s="62"/>
    </row>
    <row r="6" customFormat="false" ht="15.75" hidden="false" customHeight="false" outlineLevel="0" collapsed="false">
      <c r="A6" s="57" t="s">
        <v>921</v>
      </c>
      <c r="B6" s="57" t="n">
        <v>0.856</v>
      </c>
      <c r="C6" s="58" t="n">
        <f aca="false">B6/B$22*B$24</f>
        <v>1.34540494901604</v>
      </c>
      <c r="D6" s="57" t="s">
        <v>434</v>
      </c>
      <c r="E6" s="59" t="n">
        <f aca="false">IFERROR(INDEX(Correspondance!$D$2:$D$3000,MATCH(A6,Correspondance!$A$2:$A$3000,0)),0)</f>
        <v>3.8</v>
      </c>
      <c r="F6" s="60" t="n">
        <f aca="false">C6*E6</f>
        <v>5.11253880626096</v>
      </c>
      <c r="G6" s="61"/>
      <c r="I6" s="63"/>
    </row>
    <row r="7" customFormat="false" ht="15.75" hidden="false" customHeight="false" outlineLevel="0" collapsed="false">
      <c r="A7" s="57" t="s">
        <v>947</v>
      </c>
      <c r="B7" s="57" t="n">
        <v>0.342</v>
      </c>
      <c r="C7" s="58" t="n">
        <f aca="false">B7/B$22*B$24</f>
        <v>0.537533285705008</v>
      </c>
      <c r="D7" s="57" t="s">
        <v>434</v>
      </c>
      <c r="E7" s="59" t="n">
        <f aca="false">IFERROR(INDEX(Correspondance!$D$2:$D$3000,MATCH(A7,Correspondance!$A$2:$A$3000,0)),0)</f>
        <v>4.5</v>
      </c>
      <c r="F7" s="60" t="n">
        <f aca="false">C7*E7</f>
        <v>2.41889978567253</v>
      </c>
      <c r="G7" s="61"/>
      <c r="I7" s="63"/>
    </row>
    <row r="8" customFormat="false" ht="15.75" hidden="false" customHeight="false" outlineLevel="0" collapsed="false">
      <c r="A8" s="57" t="s">
        <v>1576</v>
      </c>
      <c r="B8" s="57" t="n">
        <v>1.71</v>
      </c>
      <c r="C8" s="58" t="n">
        <f aca="false">B8/B$22*B$24</f>
        <v>2.68766642852504</v>
      </c>
      <c r="D8" s="57" t="s">
        <v>434</v>
      </c>
      <c r="E8" s="59" t="n">
        <f aca="false">IFERROR(INDEX(Correspondance!$D$2:$D$3000,MATCH(A8,Correspondance!$A$2:$A$3000,0)),0)</f>
        <v>5.5</v>
      </c>
      <c r="F8" s="60" t="n">
        <f aca="false">C8*E8</f>
        <v>14.7821653568877</v>
      </c>
      <c r="G8" s="61"/>
      <c r="I8" s="63"/>
    </row>
    <row r="9" customFormat="false" ht="15.75" hidden="false" customHeight="false" outlineLevel="0" collapsed="false">
      <c r="A9" s="57" t="s">
        <v>1973</v>
      </c>
      <c r="B9" s="57" t="n">
        <v>0.428</v>
      </c>
      <c r="C9" s="58" t="n">
        <f aca="false">B9/B$22*B$24</f>
        <v>0.672702474508021</v>
      </c>
      <c r="D9" s="57" t="s">
        <v>682</v>
      </c>
      <c r="E9" s="59" t="n">
        <f aca="false">IFERROR(INDEX(Correspondance!$D$2:$D$3000,MATCH(A9,Correspondance!$A$2:$A$3000,0)),0)</f>
        <v>2</v>
      </c>
      <c r="F9" s="60" t="n">
        <f aca="false">C9*E9</f>
        <v>1.34540494901604</v>
      </c>
      <c r="G9" s="61"/>
      <c r="I9" s="63"/>
    </row>
    <row r="10" customFormat="false" ht="15.75" hidden="false" customHeight="false" outlineLevel="0" collapsed="false">
      <c r="A10" s="57" t="s">
        <v>1100</v>
      </c>
      <c r="B10" s="57" t="n">
        <v>0.068</v>
      </c>
      <c r="C10" s="58" t="n">
        <f aca="false">B10/B$22*B$24</f>
        <v>0.106877963239592</v>
      </c>
      <c r="D10" s="57" t="s">
        <v>434</v>
      </c>
      <c r="E10" s="59" t="n">
        <f aca="false">IFERROR(INDEX(Correspondance!$D$2:$D$3000,MATCH(A10,Correspondance!$A$2:$A$3000,0)),0)</f>
        <v>10</v>
      </c>
      <c r="F10" s="60" t="n">
        <f aca="false">C10*E10</f>
        <v>1.06877963239592</v>
      </c>
      <c r="G10" s="61"/>
      <c r="I10" s="63"/>
    </row>
    <row r="11" customFormat="false" ht="15.75" hidden="false" customHeight="false" outlineLevel="0" collapsed="false">
      <c r="A11" s="57" t="s">
        <v>1459</v>
      </c>
      <c r="B11" s="57" t="n">
        <v>0.856</v>
      </c>
      <c r="C11" s="58" t="n">
        <f aca="false">B11/B$22*B$24</f>
        <v>1.34540494901604</v>
      </c>
      <c r="D11" s="57" t="s">
        <v>682</v>
      </c>
      <c r="E11" s="59" t="n">
        <f aca="false">IFERROR(INDEX(Correspondance!$D$2:$D$3000,MATCH(A11,Correspondance!$A$2:$A$3000,0)),0)</f>
        <v>0</v>
      </c>
      <c r="F11" s="60" t="n">
        <f aca="false">C11*E11</f>
        <v>0</v>
      </c>
      <c r="G11" s="61"/>
      <c r="I11" s="63"/>
    </row>
    <row r="12" customFormat="false" ht="18.75" hidden="false" customHeight="true" outlineLevel="0" collapsed="false">
      <c r="A12" s="57" t="s">
        <v>1084</v>
      </c>
      <c r="B12" s="64" t="n">
        <v>0.086</v>
      </c>
      <c r="C12" s="58" t="n">
        <f aca="false">B12/B$22*B$24</f>
        <v>0.135169188803014</v>
      </c>
      <c r="D12" s="57" t="s">
        <v>434</v>
      </c>
      <c r="E12" s="59" t="n">
        <f aca="false">IFERROR(INDEX(Correspondance!$D$2:$D$3000,MATCH(A12,Correspondance!$A$2:$A$3000,0)),0)</f>
        <v>2.2</v>
      </c>
      <c r="F12" s="60" t="n">
        <f aca="false">C12*E12</f>
        <v>0.29737221536663</v>
      </c>
      <c r="G12" s="61"/>
      <c r="I12" s="63"/>
    </row>
    <row r="13" customFormat="false" ht="18.75" hidden="false" customHeight="true" outlineLevel="0" collapsed="false">
      <c r="A13" s="57" t="s">
        <v>1491</v>
      </c>
      <c r="B13" s="64" t="n">
        <v>0.128</v>
      </c>
      <c r="C13" s="58" t="n">
        <f aca="false">B13/B$22*B$24</f>
        <v>0.201182048450997</v>
      </c>
      <c r="D13" s="57" t="s">
        <v>434</v>
      </c>
      <c r="E13" s="59" t="n">
        <f aca="false">IFERROR(INDEX(Correspondance!$D$2:$D$3000,MATCH(A13,Correspondance!$A$2:$A$3000,0)),0)</f>
        <v>9</v>
      </c>
      <c r="F13" s="60" t="n">
        <f aca="false">C13*E13</f>
        <v>1.81063843605897</v>
      </c>
      <c r="G13" s="61"/>
      <c r="I13" s="63"/>
    </row>
    <row r="14" customFormat="false" ht="15.75" hidden="false" customHeight="false" outlineLevel="0" collapsed="false">
      <c r="A14" s="57" t="s">
        <v>1675</v>
      </c>
      <c r="B14" s="57" t="n">
        <v>0.128</v>
      </c>
      <c r="C14" s="58" t="n">
        <f aca="false">B14/B$22*B$24</f>
        <v>0.201182048450997</v>
      </c>
      <c r="D14" s="57" t="s">
        <v>682</v>
      </c>
      <c r="E14" s="59" t="n">
        <f aca="false">IFERROR(INDEX(Correspondance!$D$2:$D$3000,MATCH(A14,Correspondance!$A$2:$A$3000,0)),0)</f>
        <v>2.2</v>
      </c>
      <c r="F14" s="60" t="n">
        <f aca="false">C14*E14</f>
        <v>0.442600506592193</v>
      </c>
      <c r="G14" s="61"/>
      <c r="I14" s="63"/>
    </row>
    <row r="15" customFormat="false" ht="15.75" hidden="false" customHeight="false" outlineLevel="0" collapsed="false">
      <c r="A15" s="57" t="s">
        <v>1919</v>
      </c>
      <c r="B15" s="57" t="n">
        <v>0.086</v>
      </c>
      <c r="C15" s="58" t="n">
        <f aca="false">B15/B$22*B$24</f>
        <v>0.135169188803014</v>
      </c>
      <c r="D15" s="57" t="s">
        <v>434</v>
      </c>
      <c r="E15" s="59" t="n">
        <f aca="false">IFERROR(INDEX(Correspondance!$D$2:$D$3000,MATCH(A15,Correspondance!$A$2:$A$3000,0)),0)</f>
        <v>2</v>
      </c>
      <c r="F15" s="60" t="n">
        <f aca="false">C15*E15</f>
        <v>0.270338377606027</v>
      </c>
      <c r="G15" s="61"/>
      <c r="I15" s="63"/>
    </row>
    <row r="16" customFormat="false" ht="15.75" hidden="false" customHeight="false" outlineLevel="0" collapsed="false">
      <c r="A16" s="57" t="s">
        <v>1796</v>
      </c>
      <c r="B16" s="57" t="n">
        <v>0.009</v>
      </c>
      <c r="C16" s="58" t="n">
        <f aca="false">B16/B$22*B$24</f>
        <v>0.0141456127817107</v>
      </c>
      <c r="D16" s="57" t="s">
        <v>434</v>
      </c>
      <c r="E16" s="59" t="n">
        <f aca="false">IFERROR(INDEX(Correspondance!$D$2:$D$3000,MATCH(A16,Correspondance!$A$2:$A$3000,0)),0)</f>
        <v>18</v>
      </c>
      <c r="F16" s="60" t="n">
        <f aca="false">C16*E16</f>
        <v>0.254621030070793</v>
      </c>
      <c r="G16" s="61"/>
      <c r="I16" s="63"/>
    </row>
    <row r="17" customFormat="false" ht="15.75" hidden="false" customHeight="false" outlineLevel="0" collapsed="false">
      <c r="A17" s="57" t="s">
        <v>1776</v>
      </c>
      <c r="B17" s="57"/>
      <c r="C17" s="58" t="n">
        <f aca="false">B17/B$22*B$24</f>
        <v>0</v>
      </c>
      <c r="D17" s="57" t="s">
        <v>434</v>
      </c>
      <c r="E17" s="59" t="n">
        <f aca="false">IFERROR(INDEX(Correspondance!$D$2:$D$3000,MATCH(A17,Correspondance!$A$2:$A$3000,0)),0)</f>
        <v>8</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222.887076703254</v>
      </c>
      <c r="G19" s="61"/>
      <c r="I19" s="63"/>
    </row>
    <row r="20" customFormat="false" ht="18.75" hidden="false" customHeight="true" outlineLevel="0" collapsed="false">
      <c r="A20" s="68" t="s">
        <v>2628</v>
      </c>
      <c r="B20" s="69" t="n">
        <f aca="false">F19/B24</f>
        <v>2.02624615184776</v>
      </c>
      <c r="C20" s="70"/>
      <c r="G20" s="61"/>
      <c r="I20" s="63"/>
    </row>
    <row r="21" customFormat="false" ht="15.75" hidden="false" customHeight="false" outlineLevel="0" collapsed="false">
      <c r="A21" s="71" t="s">
        <v>2629</v>
      </c>
      <c r="B21" s="71" t="n">
        <f aca="false">SUM(B3:B18)</f>
        <v>15.397</v>
      </c>
      <c r="C21" s="66"/>
      <c r="G21" s="61"/>
      <c r="I21" s="63"/>
    </row>
    <row r="22" customFormat="false" ht="15.75" hidden="false" customHeight="false" outlineLevel="0" collapsed="false">
      <c r="A22" s="0" t="s">
        <v>2630</v>
      </c>
      <c r="B22" s="72" t="n">
        <f aca="false">B21/B23</f>
        <v>69.9863636363636</v>
      </c>
      <c r="C22" s="66"/>
      <c r="G22" s="61"/>
      <c r="I22" s="63"/>
    </row>
    <row r="23" customFormat="false" ht="15.75" hidden="false" customHeight="false" outlineLevel="0" collapsed="false">
      <c r="A23" s="0" t="s">
        <v>2631</v>
      </c>
      <c r="B23" s="0" t="n">
        <v>0.22</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248</v>
      </c>
      <c r="B1" s="50"/>
      <c r="C1" s="50"/>
      <c r="D1" s="50"/>
      <c r="E1" s="51" t="s">
        <v>2619</v>
      </c>
      <c r="F1" s="51"/>
      <c r="G1" s="52" t="s">
        <v>2669</v>
      </c>
    </row>
    <row r="2" customFormat="false" ht="24.75" hidden="false" customHeight="true" outlineLevel="0" collapsed="false">
      <c r="A2" s="50"/>
      <c r="B2" s="50"/>
      <c r="C2" s="50"/>
      <c r="D2" s="50"/>
      <c r="E2" s="53" t="s">
        <v>2636</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1658</v>
      </c>
      <c r="B4" s="57" t="n">
        <v>3.3</v>
      </c>
      <c r="C4" s="58" t="n">
        <f aca="false">B4/B$22*B$24</f>
        <v>5.18634934889986</v>
      </c>
      <c r="D4" s="57" t="s">
        <v>434</v>
      </c>
      <c r="E4" s="59" t="n">
        <f aca="false">IFERROR(INDEX(Correspondance!$D$2:$D$3000,MATCH(A4,Correspondance!$A$2:$A$3000,0)),0)</f>
        <v>6</v>
      </c>
      <c r="F4" s="60" t="n">
        <f aca="false">C4*E4</f>
        <v>31.1180960933992</v>
      </c>
      <c r="G4" s="61" t="s">
        <v>2922</v>
      </c>
    </row>
    <row r="5" customFormat="false" ht="15.75" hidden="false" customHeight="false" outlineLevel="0" collapsed="false">
      <c r="A5" s="57" t="s">
        <v>1459</v>
      </c>
      <c r="B5" s="57" t="n">
        <v>9.9</v>
      </c>
      <c r="C5" s="58" t="n">
        <f aca="false">B5/B$22*B$24</f>
        <v>15.5590480466996</v>
      </c>
      <c r="D5" s="57" t="s">
        <v>682</v>
      </c>
      <c r="E5" s="59" t="n">
        <f aca="false">IFERROR(INDEX(Correspondance!$D$2:$D$3000,MATCH(A5,Correspondance!$A$2:$A$3000,0)),0)</f>
        <v>0</v>
      </c>
      <c r="F5" s="60" t="n">
        <f aca="false">C5*E5</f>
        <v>0</v>
      </c>
      <c r="G5" s="61"/>
      <c r="I5" s="62"/>
    </row>
    <row r="6" customFormat="false" ht="15.75" hidden="false" customHeight="false" outlineLevel="0" collapsed="false">
      <c r="A6" s="57" t="s">
        <v>1904</v>
      </c>
      <c r="B6" s="57" t="n">
        <v>3.3</v>
      </c>
      <c r="C6" s="58" t="n">
        <f aca="false">B6/B$22*B$24</f>
        <v>5.18634934889986</v>
      </c>
      <c r="D6" s="57" t="s">
        <v>434</v>
      </c>
      <c r="E6" s="59" t="n">
        <f aca="false">IFERROR(INDEX(Correspondance!$D$2:$D$3000,MATCH(A6,Correspondance!$A$2:$A$3000,0)),0)</f>
        <v>7.5</v>
      </c>
      <c r="F6" s="60" t="n">
        <f aca="false">C6*E6</f>
        <v>38.897620116749</v>
      </c>
      <c r="G6" s="61"/>
      <c r="I6" s="63"/>
    </row>
    <row r="7" customFormat="false" ht="15.75" hidden="false" customHeight="false" outlineLevel="0" collapsed="false">
      <c r="A7" s="57" t="s">
        <v>481</v>
      </c>
      <c r="B7" s="57" t="n">
        <v>2.2</v>
      </c>
      <c r="C7" s="58" t="n">
        <f aca="false">B7/B$22*B$24</f>
        <v>3.45756623259991</v>
      </c>
      <c r="D7" s="57" t="s">
        <v>434</v>
      </c>
      <c r="E7" s="59" t="n">
        <f aca="false">IFERROR(INDEX(Correspondance!$D$2:$D$3000,MATCH(A7,Correspondance!$A$2:$A$3000,0)),0)</f>
        <v>6.5</v>
      </c>
      <c r="F7" s="60" t="n">
        <f aca="false">C7*E7</f>
        <v>22.4741805118994</v>
      </c>
      <c r="G7" s="61"/>
      <c r="I7" s="63"/>
    </row>
    <row r="8" customFormat="false" ht="15.75" hidden="false" customHeight="false" outlineLevel="0" collapsed="false">
      <c r="A8" s="57" t="s">
        <v>1587</v>
      </c>
      <c r="B8" s="57" t="n">
        <v>3.3</v>
      </c>
      <c r="C8" s="58" t="n">
        <f aca="false">B8/B$22*B$24</f>
        <v>5.18634934889986</v>
      </c>
      <c r="D8" s="57" t="s">
        <v>434</v>
      </c>
      <c r="E8" s="59" t="n">
        <f aca="false">IFERROR(INDEX(Correspondance!$D$2:$D$3000,MATCH(A8,Correspondance!$A$2:$A$3000,0)),0)</f>
        <v>12</v>
      </c>
      <c r="F8" s="60" t="n">
        <f aca="false">C8*E8</f>
        <v>62.2361921867984</v>
      </c>
      <c r="G8" s="61"/>
      <c r="I8" s="63"/>
    </row>
    <row r="9" customFormat="false" ht="15.75" hidden="false" customHeight="false" outlineLevel="0" collapsed="false">
      <c r="A9" s="57" t="s">
        <v>1957</v>
      </c>
      <c r="B9" s="57" t="n">
        <v>1.1</v>
      </c>
      <c r="C9" s="58" t="n">
        <f aca="false">B9/B$22*B$24</f>
        <v>1.72878311629996</v>
      </c>
      <c r="D9" s="57" t="s">
        <v>434</v>
      </c>
      <c r="E9" s="59" t="n">
        <f aca="false">IFERROR(INDEX(Correspondance!$D$2:$D$3000,MATCH(A9,Correspondance!$A$2:$A$3000,0)),0)</f>
        <v>1.6</v>
      </c>
      <c r="F9" s="60" t="n">
        <f aca="false">C9*E9</f>
        <v>2.76605298607993</v>
      </c>
      <c r="G9" s="61"/>
      <c r="I9" s="63"/>
    </row>
    <row r="10" customFormat="false" ht="15.75" hidden="false" customHeight="false" outlineLevel="0" collapsed="false">
      <c r="A10" s="57" t="s">
        <v>1001</v>
      </c>
      <c r="B10" s="57" t="n">
        <v>0.66</v>
      </c>
      <c r="C10" s="58" t="n">
        <f aca="false">B10/B$22*B$24</f>
        <v>1.03726986977997</v>
      </c>
      <c r="D10" s="57" t="s">
        <v>434</v>
      </c>
      <c r="E10" s="59" t="n">
        <f aca="false">IFERROR(INDEX(Correspondance!$D$2:$D$3000,MATCH(A10,Correspondance!$A$2:$A$3000,0)),0)</f>
        <v>1.8</v>
      </c>
      <c r="F10" s="60" t="n">
        <f aca="false">C10*E10</f>
        <v>1.86708576560395</v>
      </c>
      <c r="G10" s="61"/>
      <c r="I10" s="63"/>
    </row>
    <row r="11" customFormat="false" ht="15.75" hidden="false" customHeight="false" outlineLevel="0" collapsed="false">
      <c r="A11" s="57" t="s">
        <v>894</v>
      </c>
      <c r="B11" s="57" t="n">
        <v>0.088</v>
      </c>
      <c r="C11" s="58" t="n">
        <f aca="false">B11/B$22*B$24</f>
        <v>0.138302649303996</v>
      </c>
      <c r="D11" s="57" t="s">
        <v>434</v>
      </c>
      <c r="E11" s="59" t="n">
        <f aca="false">IFERROR(INDEX(Correspondance!$D$2:$D$3000,MATCH(A11,Correspondance!$A$2:$A$3000,0)),0)</f>
        <v>5.5</v>
      </c>
      <c r="F11" s="60" t="n">
        <f aca="false">C11*E11</f>
        <v>0.76066457117198</v>
      </c>
      <c r="G11" s="61"/>
      <c r="I11" s="63"/>
    </row>
    <row r="12" customFormat="false" ht="18.75" hidden="false" customHeight="true" outlineLevel="0" collapsed="false">
      <c r="A12" s="57" t="s">
        <v>1197</v>
      </c>
      <c r="B12" s="64" t="n">
        <v>0.11</v>
      </c>
      <c r="C12" s="58" t="n">
        <f aca="false">B12/B$22*B$24</f>
        <v>0.172878311629996</v>
      </c>
      <c r="D12" s="57" t="s">
        <v>434</v>
      </c>
      <c r="E12" s="59" t="n">
        <f aca="false">IFERROR(INDEX(Correspondance!$D$2:$D$3000,MATCH(A12,Correspondance!$A$2:$A$3000,0)),0)</f>
        <v>2.6</v>
      </c>
      <c r="F12" s="60" t="n">
        <f aca="false">C12*E12</f>
        <v>0.449483610237988</v>
      </c>
      <c r="G12" s="61"/>
      <c r="I12" s="63"/>
    </row>
    <row r="13" customFormat="false" ht="18.75" hidden="false" customHeight="true" outlineLevel="0" collapsed="false">
      <c r="A13" s="57" t="s">
        <v>1113</v>
      </c>
      <c r="B13" s="64" t="n">
        <v>0.22</v>
      </c>
      <c r="C13" s="58" t="n">
        <f aca="false">B13/B$22*B$24</f>
        <v>0.345756623259991</v>
      </c>
      <c r="D13" s="57" t="s">
        <v>434</v>
      </c>
      <c r="E13" s="59" t="n">
        <f aca="false">IFERROR(INDEX(Correspondance!$D$2:$D$3000,MATCH(A13,Correspondance!$A$2:$A$3000,0)),0)</f>
        <v>6</v>
      </c>
      <c r="F13" s="60" t="n">
        <f aca="false">C13*E13</f>
        <v>2.07453973955995</v>
      </c>
      <c r="G13" s="61"/>
      <c r="I13" s="63"/>
    </row>
    <row r="14" customFormat="false" ht="15.75" hidden="false" customHeight="false" outlineLevel="0" collapsed="false">
      <c r="A14" s="57" t="s">
        <v>1070</v>
      </c>
      <c r="B14" s="57" t="n">
        <v>0.22</v>
      </c>
      <c r="C14" s="58" t="n">
        <f aca="false">B14/B$22*B$24</f>
        <v>0.345756623259991</v>
      </c>
      <c r="D14" s="57" t="s">
        <v>434</v>
      </c>
      <c r="E14" s="59" t="n">
        <f aca="false">IFERROR(INDEX(Correspondance!$D$2:$D$3000,MATCH(A14,Correspondance!$A$2:$A$3000,0)),0)</f>
        <v>2</v>
      </c>
      <c r="F14" s="60" t="n">
        <f aca="false">C14*E14</f>
        <v>0.691513246519982</v>
      </c>
      <c r="G14" s="61"/>
      <c r="I14" s="63"/>
    </row>
    <row r="15" customFormat="false" ht="15.75" hidden="false" customHeight="false" outlineLevel="0" collapsed="false">
      <c r="A15" s="57" t="s">
        <v>1919</v>
      </c>
      <c r="B15" s="57" t="n">
        <v>0.088</v>
      </c>
      <c r="C15" s="58" t="n">
        <f aca="false">B15/B$22*B$24</f>
        <v>0.138302649303996</v>
      </c>
      <c r="D15" s="57" t="s">
        <v>434</v>
      </c>
      <c r="E15" s="59" t="n">
        <f aca="false">IFERROR(INDEX(Correspondance!$D$2:$D$3000,MATCH(A15,Correspondance!$A$2:$A$3000,0)),0)</f>
        <v>2</v>
      </c>
      <c r="F15" s="60" t="n">
        <f aca="false">C15*E15</f>
        <v>0.276605298607993</v>
      </c>
      <c r="G15" s="61"/>
      <c r="I15" s="63"/>
    </row>
    <row r="16" customFormat="false" ht="15.75" hidden="false" customHeight="false" outlineLevel="0" collapsed="false">
      <c r="A16" s="57" t="s">
        <v>1796</v>
      </c>
      <c r="B16" s="57" t="n">
        <v>0.011</v>
      </c>
      <c r="C16" s="58" t="n">
        <f aca="false">B16/B$22*B$24</f>
        <v>0.0172878311629995</v>
      </c>
      <c r="D16" s="57" t="s">
        <v>434</v>
      </c>
      <c r="E16" s="59" t="n">
        <f aca="false">IFERROR(INDEX(Correspondance!$D$2:$D$3000,MATCH(A16,Correspondance!$A$2:$A$3000,0)),0)</f>
        <v>18</v>
      </c>
      <c r="F16" s="60" t="n">
        <f aca="false">C16*E16</f>
        <v>0.311180960933992</v>
      </c>
      <c r="G16" s="61"/>
      <c r="I16" s="63"/>
    </row>
    <row r="17" customFormat="false" ht="15.75" hidden="false" customHeight="false" outlineLevel="0" collapsed="false">
      <c r="A17" s="57" t="s">
        <v>1950</v>
      </c>
      <c r="B17" s="57"/>
      <c r="C17" s="58" t="n">
        <f aca="false">B17/B$22*B$24</f>
        <v>0</v>
      </c>
      <c r="D17" s="57" t="s">
        <v>434</v>
      </c>
      <c r="E17" s="59" t="n">
        <f aca="false">IFERROR(INDEX(Correspondance!$D$2:$D$3000,MATCH(A17,Correspondance!$A$2:$A$3000,0)),0)</f>
        <v>16</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163.923215087562</v>
      </c>
      <c r="G19" s="61"/>
      <c r="I19" s="63"/>
    </row>
    <row r="20" customFormat="false" ht="18.75" hidden="false" customHeight="true" outlineLevel="0" collapsed="false">
      <c r="A20" s="68" t="s">
        <v>2628</v>
      </c>
      <c r="B20" s="69" t="n">
        <f aca="false">F19/B24</f>
        <v>1.49021104625056</v>
      </c>
      <c r="C20" s="70"/>
      <c r="G20" s="61"/>
      <c r="I20" s="63"/>
    </row>
    <row r="21" customFormat="false" ht="15.75" hidden="false" customHeight="false" outlineLevel="0" collapsed="false">
      <c r="A21" s="71" t="s">
        <v>2629</v>
      </c>
      <c r="B21" s="71" t="n">
        <f aca="false">SUM(B3:B18)</f>
        <v>24.497</v>
      </c>
      <c r="C21" s="66"/>
      <c r="G21" s="61"/>
      <c r="I21" s="63"/>
    </row>
    <row r="22" customFormat="false" ht="15.75" hidden="false" customHeight="false" outlineLevel="0" collapsed="false">
      <c r="A22" s="0" t="s">
        <v>2630</v>
      </c>
      <c r="B22" s="72" t="n">
        <f aca="false">B21/B23</f>
        <v>69.9914285714286</v>
      </c>
      <c r="C22" s="66"/>
      <c r="G22" s="61"/>
      <c r="I22" s="63"/>
    </row>
    <row r="23" customFormat="false" ht="15.75" hidden="false" customHeight="false" outlineLevel="0" collapsed="false">
      <c r="A23" s="0" t="s">
        <v>2631</v>
      </c>
      <c r="B23" s="0" t="n">
        <v>0.35</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250</v>
      </c>
      <c r="B1" s="50"/>
      <c r="C1" s="50"/>
      <c r="D1" s="50"/>
      <c r="E1" s="51" t="s">
        <v>2619</v>
      </c>
      <c r="F1" s="51"/>
      <c r="G1" s="52" t="s">
        <v>2923</v>
      </c>
    </row>
    <row r="2" customFormat="false" ht="24.75" hidden="false" customHeight="true" outlineLevel="0" collapsed="false">
      <c r="A2" s="50"/>
      <c r="B2" s="50"/>
      <c r="C2" s="50"/>
      <c r="D2" s="50"/>
      <c r="E2" s="53" t="s">
        <v>2636</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1916</v>
      </c>
      <c r="B4" s="57" t="n">
        <v>8.85</v>
      </c>
      <c r="C4" s="58" t="n">
        <f aca="false">B4/B$22*B$24</f>
        <v>13.9015822242532</v>
      </c>
      <c r="D4" s="57" t="s">
        <v>434</v>
      </c>
      <c r="E4" s="59" t="n">
        <f aca="false">IFERROR(INDEX(Correspondance!$D$2:$D$3000,MATCH(A4,Correspondance!$A$2:$A$3000,0)),0)</f>
        <v>7.5</v>
      </c>
      <c r="F4" s="60" t="n">
        <f aca="false">C4*E4</f>
        <v>104.261866681899</v>
      </c>
      <c r="G4" s="61" t="s">
        <v>2924</v>
      </c>
    </row>
    <row r="5" customFormat="false" ht="15.75" hidden="false" customHeight="false" outlineLevel="0" collapsed="false">
      <c r="A5" s="57" t="s">
        <v>1001</v>
      </c>
      <c r="B5" s="57" t="n">
        <v>0.885</v>
      </c>
      <c r="C5" s="58" t="n">
        <f aca="false">B5/B$22*B$24</f>
        <v>1.39015822242532</v>
      </c>
      <c r="D5" s="57" t="s">
        <v>434</v>
      </c>
      <c r="E5" s="59" t="n">
        <f aca="false">IFERROR(INDEX(Correspondance!$D$2:$D$3000,MATCH(A5,Correspondance!$A$2:$A$3000,0)),0)</f>
        <v>1.8</v>
      </c>
      <c r="F5" s="60" t="n">
        <f aca="false">C5*E5</f>
        <v>2.50228480036557</v>
      </c>
      <c r="G5" s="61"/>
      <c r="I5" s="62"/>
    </row>
    <row r="6" customFormat="false" ht="15.75" hidden="false" customHeight="false" outlineLevel="0" collapsed="false">
      <c r="A6" s="57" t="s">
        <v>1530</v>
      </c>
      <c r="B6" s="57" t="n">
        <v>1.33</v>
      </c>
      <c r="C6" s="58" t="n">
        <f aca="false">B6/B$22*B$24</f>
        <v>2.08916433426629</v>
      </c>
      <c r="D6" s="57" t="s">
        <v>434</v>
      </c>
      <c r="E6" s="59" t="n">
        <f aca="false">IFERROR(INDEX(Correspondance!$D$2:$D$3000,MATCH(A6,Correspondance!$A$2:$A$3000,0)),0)</f>
        <v>3.8</v>
      </c>
      <c r="F6" s="60" t="n">
        <f aca="false">C6*E6</f>
        <v>7.93882447021191</v>
      </c>
      <c r="G6" s="61"/>
      <c r="I6" s="63"/>
    </row>
    <row r="7" customFormat="false" ht="15.75" hidden="false" customHeight="false" outlineLevel="0" collapsed="false">
      <c r="A7" s="57" t="s">
        <v>917</v>
      </c>
      <c r="B7" s="57" t="n">
        <v>0.885</v>
      </c>
      <c r="C7" s="58" t="n">
        <f aca="false">B7/B$22*B$24</f>
        <v>1.39015822242532</v>
      </c>
      <c r="D7" s="57" t="s">
        <v>434</v>
      </c>
      <c r="E7" s="59" t="n">
        <f aca="false">IFERROR(INDEX(Correspondance!$D$2:$D$3000,MATCH(A7,Correspondance!$A$2:$A$3000,0)),0)</f>
        <v>1.8</v>
      </c>
      <c r="F7" s="60" t="n">
        <f aca="false">C7*E7</f>
        <v>2.50228480036557</v>
      </c>
      <c r="G7" s="61"/>
      <c r="I7" s="63"/>
    </row>
    <row r="8" customFormat="false" ht="15.75" hidden="false" customHeight="false" outlineLevel="0" collapsed="false">
      <c r="A8" s="57" t="s">
        <v>1973</v>
      </c>
      <c r="B8" s="57" t="n">
        <v>0.885</v>
      </c>
      <c r="C8" s="58" t="n">
        <f aca="false">B8/B$22*B$24</f>
        <v>1.39015822242532</v>
      </c>
      <c r="D8" s="57" t="s">
        <v>682</v>
      </c>
      <c r="E8" s="59" t="n">
        <f aca="false">IFERROR(INDEX(Correspondance!$D$2:$D$3000,MATCH(A8,Correspondance!$A$2:$A$3000,0)),0)</f>
        <v>2</v>
      </c>
      <c r="F8" s="60" t="n">
        <f aca="false">C8*E8</f>
        <v>2.78031644485063</v>
      </c>
      <c r="G8" s="61"/>
      <c r="I8" s="63"/>
    </row>
    <row r="9" customFormat="false" ht="15.75" hidden="false" customHeight="false" outlineLevel="0" collapsed="false">
      <c r="A9" s="57" t="s">
        <v>1459</v>
      </c>
      <c r="B9" s="57" t="n">
        <v>2.66</v>
      </c>
      <c r="C9" s="58" t="n">
        <f aca="false">B9/B$22*B$24</f>
        <v>4.17832866853259</v>
      </c>
      <c r="D9" s="57" t="s">
        <v>682</v>
      </c>
      <c r="E9" s="59" t="n">
        <f aca="false">IFERROR(INDEX(Correspondance!$D$2:$D$3000,MATCH(A9,Correspondance!$A$2:$A$3000,0)),0)</f>
        <v>0</v>
      </c>
      <c r="F9" s="60" t="n">
        <f aca="false">C9*E9</f>
        <v>0</v>
      </c>
      <c r="G9" s="61"/>
      <c r="I9" s="63"/>
    </row>
    <row r="10" customFormat="false" ht="15.75" hidden="false" customHeight="false" outlineLevel="0" collapsed="false">
      <c r="A10" s="57" t="s">
        <v>1100</v>
      </c>
      <c r="B10" s="57" t="n">
        <v>0.106</v>
      </c>
      <c r="C10" s="58" t="n">
        <f aca="false">B10/B$22*B$24</f>
        <v>0.166504826640772</v>
      </c>
      <c r="D10" s="57" t="s">
        <v>434</v>
      </c>
      <c r="E10" s="59" t="n">
        <f aca="false">IFERROR(INDEX(Correspondance!$D$2:$D$3000,MATCH(A10,Correspondance!$A$2:$A$3000,0)),0)</f>
        <v>10</v>
      </c>
      <c r="F10" s="60" t="n">
        <f aca="false">C10*E10</f>
        <v>1.66504826640772</v>
      </c>
      <c r="G10" s="61"/>
      <c r="I10" s="63"/>
    </row>
    <row r="11" customFormat="false" ht="15.75" hidden="false" customHeight="false" outlineLevel="0" collapsed="false">
      <c r="A11" s="57" t="s">
        <v>1576</v>
      </c>
      <c r="B11" s="57" t="n">
        <v>1.33</v>
      </c>
      <c r="C11" s="58" t="n">
        <f aca="false">B11/B$22*B$24</f>
        <v>2.08916433426629</v>
      </c>
      <c r="D11" s="57" t="s">
        <v>434</v>
      </c>
      <c r="E11" s="59" t="n">
        <f aca="false">IFERROR(INDEX(Correspondance!$D$2:$D$3000,MATCH(A11,Correspondance!$A$2:$A$3000,0)),0)</f>
        <v>5.5</v>
      </c>
      <c r="F11" s="60" t="n">
        <f aca="false">C11*E11</f>
        <v>11.4904038384646</v>
      </c>
      <c r="G11" s="61"/>
      <c r="I11" s="63"/>
    </row>
    <row r="12" customFormat="false" ht="18.75" hidden="false" customHeight="true" outlineLevel="0" collapsed="false">
      <c r="A12" s="57" t="s">
        <v>1197</v>
      </c>
      <c r="B12" s="64" t="n">
        <v>0.089</v>
      </c>
      <c r="C12" s="58" t="n">
        <f aca="false">B12/B$22*B$24</f>
        <v>0.139801222368196</v>
      </c>
      <c r="D12" s="57" t="s">
        <v>434</v>
      </c>
      <c r="E12" s="59" t="n">
        <f aca="false">IFERROR(INDEX(Correspondance!$D$2:$D$3000,MATCH(A12,Correspondance!$A$2:$A$3000,0)),0)</f>
        <v>2.6</v>
      </c>
      <c r="F12" s="60" t="n">
        <f aca="false">C12*E12</f>
        <v>0.363483178157308</v>
      </c>
      <c r="G12" s="61"/>
      <c r="I12" s="63"/>
    </row>
    <row r="13" customFormat="false" ht="18.75" hidden="false" customHeight="true" outlineLevel="0" collapsed="false">
      <c r="A13" s="57" t="s">
        <v>1084</v>
      </c>
      <c r="B13" s="64" t="n">
        <v>0.221</v>
      </c>
      <c r="C13" s="58" t="n">
        <f aca="false">B13/B$22*B$24</f>
        <v>0.347146855543497</v>
      </c>
      <c r="D13" s="57" t="s">
        <v>434</v>
      </c>
      <c r="E13" s="59" t="n">
        <f aca="false">IFERROR(INDEX(Correspondance!$D$2:$D$3000,MATCH(A13,Correspondance!$A$2:$A$3000,0)),0)</f>
        <v>2.2</v>
      </c>
      <c r="F13" s="60" t="n">
        <f aca="false">C13*E13</f>
        <v>0.763723082195693</v>
      </c>
      <c r="G13" s="61"/>
      <c r="I13" s="63"/>
    </row>
    <row r="14" customFormat="false" ht="15.75" hidden="false" customHeight="false" outlineLevel="0" collapsed="false">
      <c r="A14" s="57" t="s">
        <v>1675</v>
      </c>
      <c r="B14" s="57" t="n">
        <v>0.177</v>
      </c>
      <c r="C14" s="58" t="n">
        <f aca="false">B14/B$22*B$24</f>
        <v>0.278031644485063</v>
      </c>
      <c r="D14" s="57" t="s">
        <v>682</v>
      </c>
      <c r="E14" s="59" t="n">
        <f aca="false">IFERROR(INDEX(Correspondance!$D$2:$D$3000,MATCH(A14,Correspondance!$A$2:$A$3000,0)),0)</f>
        <v>2.2</v>
      </c>
      <c r="F14" s="60" t="n">
        <f aca="false">C14*E14</f>
        <v>0.611669617867139</v>
      </c>
      <c r="G14" s="61"/>
      <c r="I14" s="63"/>
    </row>
    <row r="15" customFormat="false" ht="15.75" hidden="false" customHeight="false" outlineLevel="0" collapsed="false">
      <c r="A15" s="57" t="s">
        <v>1919</v>
      </c>
      <c r="B15" s="57" t="n">
        <v>0.08</v>
      </c>
      <c r="C15" s="58" t="n">
        <f aca="false">B15/B$22*B$24</f>
        <v>0.125664020106243</v>
      </c>
      <c r="D15" s="57" t="s">
        <v>434</v>
      </c>
      <c r="E15" s="59" t="n">
        <f aca="false">IFERROR(INDEX(Correspondance!$D$2:$D$3000,MATCH(A15,Correspondance!$A$2:$A$3000,0)),0)</f>
        <v>2</v>
      </c>
      <c r="F15" s="60" t="n">
        <f aca="false">C15*E15</f>
        <v>0.251328040212486</v>
      </c>
      <c r="G15" s="61"/>
      <c r="I15" s="63"/>
    </row>
    <row r="16" customFormat="false" ht="15.75" hidden="false" customHeight="false" outlineLevel="0" collapsed="false">
      <c r="A16" s="57" t="s">
        <v>1796</v>
      </c>
      <c r="B16" s="57" t="n">
        <v>0.009</v>
      </c>
      <c r="C16" s="58" t="n">
        <f aca="false">B16/B$22*B$24</f>
        <v>0.0141372022619524</v>
      </c>
      <c r="D16" s="57" t="s">
        <v>434</v>
      </c>
      <c r="E16" s="59" t="n">
        <f aca="false">IFERROR(INDEX(Correspondance!$D$2:$D$3000,MATCH(A16,Correspondance!$A$2:$A$3000,0)),0)</f>
        <v>18</v>
      </c>
      <c r="F16" s="60" t="n">
        <f aca="false">C16*E16</f>
        <v>0.254469640715142</v>
      </c>
      <c r="G16" s="61"/>
      <c r="I16" s="63"/>
    </row>
    <row r="17" customFormat="false" ht="15.75" hidden="false" customHeight="false" outlineLevel="0" collapsed="false">
      <c r="A17" s="57" t="s">
        <v>1951</v>
      </c>
      <c r="B17" s="57"/>
      <c r="C17" s="58" t="n">
        <f aca="false">B17/B$22*B$24</f>
        <v>0</v>
      </c>
      <c r="D17" s="57" t="s">
        <v>434</v>
      </c>
      <c r="E17" s="59" t="n">
        <f aca="false">IFERROR(INDEX(Correspondance!$D$2:$D$3000,MATCH(A17,Correspondance!$A$2:$A$3000,0)),0)</f>
        <v>16</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135.385702861712</v>
      </c>
      <c r="G19" s="61"/>
      <c r="I19" s="63"/>
    </row>
    <row r="20" customFormat="false" ht="18.75" hidden="false" customHeight="true" outlineLevel="0" collapsed="false">
      <c r="A20" s="68" t="s">
        <v>2628</v>
      </c>
      <c r="B20" s="69" t="n">
        <f aca="false">F19/B24</f>
        <v>1.23077911692466</v>
      </c>
      <c r="C20" s="70"/>
      <c r="G20" s="61"/>
      <c r="I20" s="63"/>
    </row>
    <row r="21" customFormat="false" ht="15.75" hidden="false" customHeight="false" outlineLevel="0" collapsed="false">
      <c r="A21" s="71" t="s">
        <v>2629</v>
      </c>
      <c r="B21" s="71" t="n">
        <f aca="false">SUM(B3:B18)</f>
        <v>17.507</v>
      </c>
      <c r="C21" s="66"/>
      <c r="G21" s="61"/>
      <c r="I21" s="63"/>
    </row>
    <row r="22" customFormat="false" ht="15.75" hidden="false" customHeight="false" outlineLevel="0" collapsed="false">
      <c r="A22" s="0" t="s">
        <v>2630</v>
      </c>
      <c r="B22" s="72" t="n">
        <f aca="false">B21/B23</f>
        <v>70.028</v>
      </c>
      <c r="C22" s="66"/>
      <c r="G22" s="61"/>
      <c r="I22" s="63"/>
    </row>
    <row r="23" customFormat="false" ht="15.75" hidden="false" customHeight="false" outlineLevel="0" collapsed="false">
      <c r="A23" s="0" t="s">
        <v>2631</v>
      </c>
      <c r="B23" s="0" t="n">
        <v>0.25</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252</v>
      </c>
      <c r="B1" s="50"/>
      <c r="C1" s="50"/>
      <c r="D1" s="50"/>
      <c r="E1" s="51" t="s">
        <v>2619</v>
      </c>
      <c r="F1" s="51"/>
      <c r="G1" s="52" t="s">
        <v>2895</v>
      </c>
    </row>
    <row r="2" customFormat="false" ht="24.75" hidden="false" customHeight="true" outlineLevel="0" collapsed="false">
      <c r="A2" s="50"/>
      <c r="B2" s="50"/>
      <c r="C2" s="50"/>
      <c r="D2" s="50"/>
      <c r="E2" s="53" t="s">
        <v>2636</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1685</v>
      </c>
      <c r="B4" s="57" t="n">
        <v>11.29</v>
      </c>
      <c r="C4" s="58" t="n">
        <f aca="false">B4/B$22*B$24</f>
        <v>17.7350946090682</v>
      </c>
      <c r="D4" s="57" t="s">
        <v>434</v>
      </c>
      <c r="E4" s="59" t="n">
        <f aca="false">IFERROR(INDEX(Correspondance!$D$2:$D$3000,MATCH(A4,Correspondance!$A$2:$A$3000,0)),0)</f>
        <v>8.5</v>
      </c>
      <c r="F4" s="60" t="n">
        <f aca="false">C4*E4</f>
        <v>150.74830417708</v>
      </c>
      <c r="G4" s="61" t="s">
        <v>2925</v>
      </c>
    </row>
    <row r="5" customFormat="false" ht="15.75" hidden="false" customHeight="false" outlineLevel="0" collapsed="false">
      <c r="A5" s="57" t="s">
        <v>1001</v>
      </c>
      <c r="B5" s="57" t="n">
        <v>0.903</v>
      </c>
      <c r="C5" s="58" t="n">
        <f aca="false">B5/B$22*B$24</f>
        <v>1.41849339521599</v>
      </c>
      <c r="D5" s="57" t="s">
        <v>434</v>
      </c>
      <c r="E5" s="59" t="n">
        <f aca="false">IFERROR(INDEX(Correspondance!$D$2:$D$3000,MATCH(A5,Correspondance!$A$2:$A$3000,0)),0)</f>
        <v>1.8</v>
      </c>
      <c r="F5" s="60" t="n">
        <f aca="false">C5*E5</f>
        <v>2.55328811138879</v>
      </c>
      <c r="G5" s="61"/>
      <c r="I5" s="62"/>
    </row>
    <row r="6" customFormat="false" ht="15.75" hidden="false" customHeight="false" outlineLevel="0" collapsed="false">
      <c r="A6" s="57" t="s">
        <v>587</v>
      </c>
      <c r="B6" s="57" t="n">
        <v>0.903</v>
      </c>
      <c r="C6" s="58" t="n">
        <f aca="false">B6/B$22*B$24</f>
        <v>1.41849339521599</v>
      </c>
      <c r="D6" s="57" t="s">
        <v>434</v>
      </c>
      <c r="E6" s="59" t="n">
        <f aca="false">IFERROR(INDEX(Correspondance!$D$2:$D$3000,MATCH(A6,Correspondance!$A$2:$A$3000,0)),0)</f>
        <v>8</v>
      </c>
      <c r="F6" s="60" t="n">
        <f aca="false">C6*E6</f>
        <v>11.347947161728</v>
      </c>
      <c r="G6" s="61"/>
      <c r="I6" s="63"/>
    </row>
    <row r="7" customFormat="false" ht="15.75" hidden="false" customHeight="false" outlineLevel="0" collapsed="false">
      <c r="A7" s="57" t="s">
        <v>1530</v>
      </c>
      <c r="B7" s="57" t="n">
        <v>1.69</v>
      </c>
      <c r="C7" s="58" t="n">
        <f aca="false">B7/B$22*B$24</f>
        <v>2.65476615494466</v>
      </c>
      <c r="D7" s="57" t="s">
        <v>434</v>
      </c>
      <c r="E7" s="59" t="n">
        <f aca="false">IFERROR(INDEX(Correspondance!$D$2:$D$3000,MATCH(A7,Correspondance!$A$2:$A$3000,0)),0)</f>
        <v>3.8</v>
      </c>
      <c r="F7" s="60" t="n">
        <f aca="false">C7*E7</f>
        <v>10.0881113887897</v>
      </c>
      <c r="G7" s="61"/>
      <c r="I7" s="63"/>
    </row>
    <row r="8" customFormat="false" ht="15.75" hidden="false" customHeight="false" outlineLevel="0" collapsed="false">
      <c r="A8" s="57" t="s">
        <v>1973</v>
      </c>
      <c r="B8" s="57" t="n">
        <v>0.903</v>
      </c>
      <c r="C8" s="58" t="n">
        <f aca="false">B8/B$22*B$24</f>
        <v>1.41849339521599</v>
      </c>
      <c r="D8" s="57" t="s">
        <v>682</v>
      </c>
      <c r="E8" s="59" t="n">
        <f aca="false">IFERROR(INDEX(Correspondance!$D$2:$D$3000,MATCH(A8,Correspondance!$A$2:$A$3000,0)),0)</f>
        <v>2</v>
      </c>
      <c r="F8" s="60" t="n">
        <f aca="false">C8*E8</f>
        <v>2.83698679043199</v>
      </c>
      <c r="G8" s="61"/>
      <c r="I8" s="63"/>
    </row>
    <row r="9" customFormat="false" ht="15.75" hidden="false" customHeight="false" outlineLevel="0" collapsed="false">
      <c r="A9" s="57" t="s">
        <v>1459</v>
      </c>
      <c r="B9" s="57" t="n">
        <v>2.26</v>
      </c>
      <c r="C9" s="58" t="n">
        <f aca="false">B9/B$22*B$24</f>
        <v>3.55016065690825</v>
      </c>
      <c r="D9" s="57" t="s">
        <v>682</v>
      </c>
      <c r="E9" s="59" t="n">
        <f aca="false">IFERROR(INDEX(Correspondance!$D$2:$D$3000,MATCH(A9,Correspondance!$A$2:$A$3000,0)),0)</f>
        <v>0</v>
      </c>
      <c r="F9" s="60" t="n">
        <f aca="false">C9*E9</f>
        <v>0</v>
      </c>
      <c r="G9" s="61"/>
      <c r="I9" s="63"/>
    </row>
    <row r="10" customFormat="false" ht="15.75" hidden="false" customHeight="false" outlineLevel="0" collapsed="false">
      <c r="A10" s="57" t="s">
        <v>1100</v>
      </c>
      <c r="B10" s="57" t="n">
        <v>0.113</v>
      </c>
      <c r="C10" s="58" t="n">
        <f aca="false">B10/B$22*B$24</f>
        <v>0.177508032845412</v>
      </c>
      <c r="D10" s="57" t="s">
        <v>434</v>
      </c>
      <c r="E10" s="59" t="n">
        <f aca="false">IFERROR(INDEX(Correspondance!$D$2:$D$3000,MATCH(A10,Correspondance!$A$2:$A$3000,0)),0)</f>
        <v>10</v>
      </c>
      <c r="F10" s="60" t="n">
        <f aca="false">C10*E10</f>
        <v>1.77508032845412</v>
      </c>
      <c r="G10" s="61"/>
      <c r="I10" s="63"/>
    </row>
    <row r="11" customFormat="false" ht="15.75" hidden="false" customHeight="false" outlineLevel="0" collapsed="false">
      <c r="A11" s="57" t="s">
        <v>1576</v>
      </c>
      <c r="B11" s="57" t="n">
        <v>1.13</v>
      </c>
      <c r="C11" s="58" t="n">
        <f aca="false">B11/B$22*B$24</f>
        <v>1.77508032845412</v>
      </c>
      <c r="D11" s="57" t="s">
        <v>434</v>
      </c>
      <c r="E11" s="59" t="n">
        <f aca="false">IFERROR(INDEX(Correspondance!$D$2:$D$3000,MATCH(A11,Correspondance!$A$2:$A$3000,0)),0)</f>
        <v>5.5</v>
      </c>
      <c r="F11" s="60" t="n">
        <f aca="false">C11*E11</f>
        <v>9.76294180649768</v>
      </c>
      <c r="G11" s="61"/>
      <c r="I11" s="63"/>
    </row>
    <row r="12" customFormat="false" ht="18.75" hidden="false" customHeight="true" outlineLevel="0" collapsed="false">
      <c r="A12" s="57" t="s">
        <v>1084</v>
      </c>
      <c r="B12" s="64" t="n">
        <v>0.169</v>
      </c>
      <c r="C12" s="58" t="n">
        <f aca="false">B12/B$22*B$24</f>
        <v>0.265476615494466</v>
      </c>
      <c r="D12" s="57" t="s">
        <v>434</v>
      </c>
      <c r="E12" s="59" t="n">
        <f aca="false">IFERROR(INDEX(Correspondance!$D$2:$D$3000,MATCH(A12,Correspondance!$A$2:$A$3000,0)),0)</f>
        <v>2.2</v>
      </c>
      <c r="F12" s="60" t="n">
        <f aca="false">C12*E12</f>
        <v>0.584048554087826</v>
      </c>
      <c r="G12" s="61"/>
      <c r="I12" s="63"/>
    </row>
    <row r="13" customFormat="false" ht="18.75" hidden="false" customHeight="true" outlineLevel="0" collapsed="false">
      <c r="A13" s="57" t="s">
        <v>1675</v>
      </c>
      <c r="B13" s="64" t="n">
        <v>0.169</v>
      </c>
      <c r="C13" s="58" t="n">
        <f aca="false">B13/B$22*B$24</f>
        <v>0.265476615494466</v>
      </c>
      <c r="D13" s="57" t="s">
        <v>682</v>
      </c>
      <c r="E13" s="59" t="n">
        <f aca="false">IFERROR(INDEX(Correspondance!$D$2:$D$3000,MATCH(A13,Correspondance!$A$2:$A$3000,0)),0)</f>
        <v>2.2</v>
      </c>
      <c r="F13" s="60" t="n">
        <f aca="false">C13*E13</f>
        <v>0.584048554087826</v>
      </c>
      <c r="G13" s="61"/>
      <c r="I13" s="63"/>
    </row>
    <row r="14" customFormat="false" ht="15.75" hidden="false" customHeight="false" outlineLevel="0" collapsed="false">
      <c r="A14" s="57" t="s">
        <v>1919</v>
      </c>
      <c r="B14" s="57" t="n">
        <v>0.068</v>
      </c>
      <c r="C14" s="58" t="n">
        <f aca="false">B14/B$22*B$24</f>
        <v>0.106818993216708</v>
      </c>
      <c r="D14" s="57" t="s">
        <v>434</v>
      </c>
      <c r="E14" s="59" t="n">
        <f aca="false">IFERROR(INDEX(Correspondance!$D$2:$D$3000,MATCH(A14,Correspondance!$A$2:$A$3000,0)),0)</f>
        <v>2</v>
      </c>
      <c r="F14" s="60" t="n">
        <f aca="false">C14*E14</f>
        <v>0.213637986433417</v>
      </c>
      <c r="G14" s="61"/>
      <c r="I14" s="63"/>
    </row>
    <row r="15" customFormat="false" ht="15.75" hidden="false" customHeight="false" outlineLevel="0" collapsed="false">
      <c r="A15" s="57" t="s">
        <v>1796</v>
      </c>
      <c r="B15" s="57" t="n">
        <v>0.009</v>
      </c>
      <c r="C15" s="58" t="n">
        <f aca="false">B15/B$22*B$24</f>
        <v>0.0141378079257408</v>
      </c>
      <c r="D15" s="57" t="s">
        <v>434</v>
      </c>
      <c r="E15" s="59" t="n">
        <f aca="false">IFERROR(INDEX(Correspondance!$D$2:$D$3000,MATCH(A15,Correspondance!$A$2:$A$3000,0)),0)</f>
        <v>18</v>
      </c>
      <c r="F15" s="60" t="n">
        <f aca="false">C15*E15</f>
        <v>0.254480542663335</v>
      </c>
      <c r="G15" s="61"/>
      <c r="I15" s="63"/>
    </row>
    <row r="16" customFormat="false" ht="15.75" hidden="false" customHeight="false" outlineLevel="0" collapsed="false">
      <c r="A16" s="57" t="s">
        <v>1948</v>
      </c>
      <c r="B16" s="57"/>
      <c r="C16" s="58" t="n">
        <f aca="false">B16/B$22*B$24</f>
        <v>0</v>
      </c>
      <c r="D16" s="57" t="s">
        <v>434</v>
      </c>
      <c r="E16" s="59" t="n">
        <f aca="false">IFERROR(INDEX(Correspondance!$D$2:$D$3000,MATCH(A16,Correspondance!$A$2:$A$3000,0)),0)</f>
        <v>16</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190.748875401642</v>
      </c>
      <c r="G19" s="61"/>
      <c r="I19" s="63"/>
    </row>
    <row r="20" customFormat="false" ht="18.75" hidden="false" customHeight="true" outlineLevel="0" collapsed="false">
      <c r="A20" s="68" t="s">
        <v>2628</v>
      </c>
      <c r="B20" s="69" t="n">
        <f aca="false">F19/B24</f>
        <v>1.73408068546948</v>
      </c>
      <c r="C20" s="70"/>
      <c r="G20" s="61"/>
      <c r="I20" s="63"/>
    </row>
    <row r="21" customFormat="false" ht="15.75" hidden="false" customHeight="false" outlineLevel="0" collapsed="false">
      <c r="A21" s="71" t="s">
        <v>2629</v>
      </c>
      <c r="B21" s="71" t="n">
        <f aca="false">SUM(B3:B18)</f>
        <v>19.607</v>
      </c>
      <c r="C21" s="66"/>
      <c r="G21" s="61"/>
      <c r="I21" s="63"/>
    </row>
    <row r="22" customFormat="false" ht="15.75" hidden="false" customHeight="false" outlineLevel="0" collapsed="false">
      <c r="A22" s="0" t="s">
        <v>2630</v>
      </c>
      <c r="B22" s="72" t="n">
        <f aca="false">B21/B23</f>
        <v>70.025</v>
      </c>
      <c r="C22" s="66"/>
      <c r="G22" s="61"/>
      <c r="I22" s="63"/>
    </row>
    <row r="23" customFormat="false" ht="15.75" hidden="false" customHeight="false" outlineLevel="0" collapsed="false">
      <c r="A23" s="0" t="s">
        <v>2631</v>
      </c>
      <c r="B23" s="0" t="n">
        <v>0.28</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254</v>
      </c>
      <c r="B1" s="50"/>
      <c r="C1" s="50"/>
      <c r="D1" s="50"/>
      <c r="E1" s="51" t="s">
        <v>2619</v>
      </c>
      <c r="F1" s="51"/>
      <c r="G1" s="52" t="s">
        <v>2889</v>
      </c>
    </row>
    <row r="2" customFormat="false" ht="24.75" hidden="false" customHeight="true" outlineLevel="0" collapsed="false">
      <c r="A2" s="50"/>
      <c r="B2" s="50"/>
      <c r="C2" s="50"/>
      <c r="D2" s="50"/>
      <c r="E2" s="53" t="s">
        <v>2636</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1479</v>
      </c>
      <c r="B4" s="57" t="n">
        <v>8.88</v>
      </c>
      <c r="C4" s="58" t="n">
        <f aca="false">B4/B$22*B$24</f>
        <v>13.9495030275334</v>
      </c>
      <c r="D4" s="57" t="s">
        <v>434</v>
      </c>
      <c r="E4" s="59" t="n">
        <f aca="false">IFERROR(INDEX(Correspondance!$D$2:$D$3000,MATCH(A4,Correspondance!$A$2:$A$3000,0)),0)</f>
        <v>8.5</v>
      </c>
      <c r="F4" s="60" t="n">
        <f aca="false">C4*E4</f>
        <v>118.570775734034</v>
      </c>
      <c r="G4" s="61" t="s">
        <v>2926</v>
      </c>
    </row>
    <row r="5" customFormat="false" ht="15.75" hidden="false" customHeight="false" outlineLevel="0" collapsed="false">
      <c r="A5" s="57" t="s">
        <v>1957</v>
      </c>
      <c r="B5" s="57" t="n">
        <v>4.44</v>
      </c>
      <c r="C5" s="58" t="n">
        <f aca="false">B5/B$22*B$24</f>
        <v>6.97475151376671</v>
      </c>
      <c r="D5" s="57" t="s">
        <v>434</v>
      </c>
      <c r="E5" s="59" t="n">
        <f aca="false">IFERROR(INDEX(Correspondance!$D$2:$D$3000,MATCH(A5,Correspondance!$A$2:$A$3000,0)),0)</f>
        <v>1.6</v>
      </c>
      <c r="F5" s="60" t="n">
        <f aca="false">C5*E5</f>
        <v>11.1596024220267</v>
      </c>
      <c r="G5" s="61"/>
      <c r="I5" s="62"/>
    </row>
    <row r="6" customFormat="false" ht="15.75" hidden="false" customHeight="false" outlineLevel="0" collapsed="false">
      <c r="A6" s="57" t="s">
        <v>1001</v>
      </c>
      <c r="B6" s="57" t="n">
        <v>1.07</v>
      </c>
      <c r="C6" s="58" t="n">
        <f aca="false">B6/B$22*B$24</f>
        <v>1.68085227921855</v>
      </c>
      <c r="D6" s="57" t="s">
        <v>434</v>
      </c>
      <c r="E6" s="59" t="n">
        <f aca="false">IFERROR(INDEX(Correspondance!$D$2:$D$3000,MATCH(A6,Correspondance!$A$2:$A$3000,0)),0)</f>
        <v>1.8</v>
      </c>
      <c r="F6" s="60" t="n">
        <f aca="false">C6*E6</f>
        <v>3.0255341025934</v>
      </c>
      <c r="G6" s="61"/>
      <c r="I6" s="63"/>
    </row>
    <row r="7" customFormat="false" ht="15.75" hidden="false" customHeight="false" outlineLevel="0" collapsed="false">
      <c r="A7" s="57" t="s">
        <v>1024</v>
      </c>
      <c r="B7" s="57" t="n">
        <v>0.888</v>
      </c>
      <c r="C7" s="58" t="n">
        <f aca="false">B7/B$22*B$24</f>
        <v>1.39495030275334</v>
      </c>
      <c r="D7" s="57" t="s">
        <v>434</v>
      </c>
      <c r="E7" s="59" t="n">
        <f aca="false">IFERROR(INDEX(Correspondance!$D$2:$D$3000,MATCH(A7,Correspondance!$A$2:$A$3000,0)),0)</f>
        <v>3</v>
      </c>
      <c r="F7" s="60" t="n">
        <f aca="false">C7*E7</f>
        <v>4.18485090826002</v>
      </c>
      <c r="G7" s="61"/>
      <c r="I7" s="63"/>
    </row>
    <row r="8" customFormat="false" ht="15.75" hidden="false" customHeight="false" outlineLevel="0" collapsed="false">
      <c r="A8" s="57" t="s">
        <v>894</v>
      </c>
      <c r="B8" s="57" t="n">
        <v>0.107</v>
      </c>
      <c r="C8" s="58" t="n">
        <f aca="false">B8/B$22*B$24</f>
        <v>0.168085227921855</v>
      </c>
      <c r="D8" s="57" t="s">
        <v>434</v>
      </c>
      <c r="E8" s="59" t="n">
        <f aca="false">IFERROR(INDEX(Correspondance!$D$2:$D$3000,MATCH(A8,Correspondance!$A$2:$A$3000,0)),0)</f>
        <v>5.5</v>
      </c>
      <c r="F8" s="60" t="n">
        <f aca="false">C8*E8</f>
        <v>0.924468753570204</v>
      </c>
      <c r="G8" s="61"/>
      <c r="I8" s="63"/>
    </row>
    <row r="9" customFormat="false" ht="15.75" hidden="false" customHeight="false" outlineLevel="0" collapsed="false">
      <c r="A9" s="57" t="s">
        <v>1197</v>
      </c>
      <c r="B9" s="57" t="n">
        <v>0.266</v>
      </c>
      <c r="C9" s="58" t="n">
        <f aca="false">B9/B$22*B$24</f>
        <v>0.417856734833771</v>
      </c>
      <c r="D9" s="57" t="s">
        <v>434</v>
      </c>
      <c r="E9" s="59" t="n">
        <f aca="false">IFERROR(INDEX(Correspondance!$D$2:$D$3000,MATCH(A9,Correspondance!$A$2:$A$3000,0)),0)</f>
        <v>2.6</v>
      </c>
      <c r="F9" s="60" t="n">
        <f aca="false">C9*E9</f>
        <v>1.08642751056781</v>
      </c>
      <c r="G9" s="61"/>
      <c r="I9" s="63"/>
    </row>
    <row r="10" customFormat="false" ht="15.75" hidden="false" customHeight="false" outlineLevel="0" collapsed="false">
      <c r="A10" s="57" t="s">
        <v>1973</v>
      </c>
      <c r="B10" s="57" t="n">
        <v>0.888</v>
      </c>
      <c r="C10" s="58" t="n">
        <f aca="false">B10/B$22*B$24</f>
        <v>1.39495030275334</v>
      </c>
      <c r="D10" s="57" t="s">
        <v>682</v>
      </c>
      <c r="E10" s="59" t="n">
        <f aca="false">IFERROR(INDEX(Correspondance!$D$2:$D$3000,MATCH(A10,Correspondance!$A$2:$A$3000,0)),0)</f>
        <v>2</v>
      </c>
      <c r="F10" s="60" t="n">
        <f aca="false">C10*E10</f>
        <v>2.78990060550668</v>
      </c>
      <c r="G10" s="61"/>
      <c r="I10" s="63"/>
    </row>
    <row r="11" customFormat="false" ht="15.75" hidden="false" customHeight="false" outlineLevel="0" collapsed="false">
      <c r="A11" s="57" t="s">
        <v>1120</v>
      </c>
      <c r="B11" s="57" t="n">
        <v>0.266</v>
      </c>
      <c r="C11" s="58" t="n">
        <f aca="false">B11/B$22*B$24</f>
        <v>0.417856734833771</v>
      </c>
      <c r="D11" s="57" t="s">
        <v>682</v>
      </c>
      <c r="E11" s="59" t="n">
        <f aca="false">IFERROR(INDEX(Correspondance!$D$2:$D$3000,MATCH(A11,Correspondance!$A$2:$A$3000,0)),0)</f>
        <v>7.5</v>
      </c>
      <c r="F11" s="60" t="n">
        <f aca="false">C11*E11</f>
        <v>3.13392551125328</v>
      </c>
      <c r="G11" s="61"/>
      <c r="I11" s="63"/>
    </row>
    <row r="12" customFormat="false" ht="18.75" hidden="false" customHeight="true" outlineLevel="0" collapsed="false">
      <c r="A12" s="57" t="s">
        <v>1227</v>
      </c>
      <c r="B12" s="64" t="n">
        <v>0.444</v>
      </c>
      <c r="C12" s="58" t="n">
        <f aca="false">B12/B$22*B$24</f>
        <v>0.697475151376671</v>
      </c>
      <c r="D12" s="57" t="s">
        <v>434</v>
      </c>
      <c r="E12" s="59" t="n">
        <f aca="false">IFERROR(INDEX(Correspondance!$D$2:$D$3000,MATCH(A12,Correspondance!$A$2:$A$3000,0)),0)</f>
        <v>5.5</v>
      </c>
      <c r="F12" s="60" t="n">
        <f aca="false">C12*E12</f>
        <v>3.83611333257169</v>
      </c>
      <c r="G12" s="61"/>
      <c r="I12" s="63"/>
    </row>
    <row r="13" customFormat="false" ht="18.75" hidden="false" customHeight="true" outlineLevel="0" collapsed="false">
      <c r="A13" s="57" t="s">
        <v>1104</v>
      </c>
      <c r="B13" s="64" t="n">
        <v>0.044</v>
      </c>
      <c r="C13" s="58" t="n">
        <f aca="false">B13/B$22*B$24</f>
        <v>0.0691191591454358</v>
      </c>
      <c r="D13" s="57" t="s">
        <v>434</v>
      </c>
      <c r="E13" s="59" t="n">
        <f aca="false">IFERROR(INDEX(Correspondance!$D$2:$D$3000,MATCH(A13,Correspondance!$A$2:$A$3000,0)),0)</f>
        <v>12</v>
      </c>
      <c r="F13" s="60" t="n">
        <f aca="false">C13*E13</f>
        <v>0.82942990974523</v>
      </c>
      <c r="G13" s="61"/>
      <c r="I13" s="63"/>
    </row>
    <row r="14" customFormat="false" ht="15.75" hidden="false" customHeight="false" outlineLevel="0" collapsed="false">
      <c r="A14" s="57" t="s">
        <v>1084</v>
      </c>
      <c r="B14" s="57" t="n">
        <v>0.133</v>
      </c>
      <c r="C14" s="58" t="n">
        <f aca="false">B14/B$22*B$24</f>
        <v>0.208928367416886</v>
      </c>
      <c r="D14" s="57" t="s">
        <v>434</v>
      </c>
      <c r="E14" s="59" t="n">
        <f aca="false">IFERROR(INDEX(Correspondance!$D$2:$D$3000,MATCH(A14,Correspondance!$A$2:$A$3000,0)),0)</f>
        <v>2.2</v>
      </c>
      <c r="F14" s="60" t="n">
        <f aca="false">C14*E14</f>
        <v>0.459642408317148</v>
      </c>
      <c r="G14" s="61"/>
      <c r="I14" s="63"/>
    </row>
    <row r="15" customFormat="false" ht="15.75" hidden="false" customHeight="false" outlineLevel="0" collapsed="false">
      <c r="A15" s="57" t="s">
        <v>1919</v>
      </c>
      <c r="B15" s="57" t="n">
        <v>0.071</v>
      </c>
      <c r="C15" s="58" t="n">
        <f aca="false">B15/B$22*B$24</f>
        <v>0.111533188621044</v>
      </c>
      <c r="D15" s="57" t="s">
        <v>434</v>
      </c>
      <c r="E15" s="59" t="n">
        <f aca="false">IFERROR(INDEX(Correspondance!$D$2:$D$3000,MATCH(A15,Correspondance!$A$2:$A$3000,0)),0)</f>
        <v>2</v>
      </c>
      <c r="F15" s="60" t="n">
        <f aca="false">C15*E15</f>
        <v>0.223066377242088</v>
      </c>
      <c r="G15" s="61"/>
      <c r="I15" s="63"/>
    </row>
    <row r="16" customFormat="false" ht="15.75" hidden="false" customHeight="false" outlineLevel="0" collapsed="false">
      <c r="A16" s="57" t="s">
        <v>1796</v>
      </c>
      <c r="B16" s="57" t="n">
        <v>0.009</v>
      </c>
      <c r="C16" s="58" t="n">
        <f aca="false">B16/B$22*B$24</f>
        <v>0.0141380098252028</v>
      </c>
      <c r="D16" s="57" t="s">
        <v>434</v>
      </c>
      <c r="E16" s="59" t="n">
        <f aca="false">IFERROR(INDEX(Correspondance!$D$2:$D$3000,MATCH(A16,Correspondance!$A$2:$A$3000,0)),0)</f>
        <v>18</v>
      </c>
      <c r="F16" s="60" t="n">
        <f aca="false">C16*E16</f>
        <v>0.25448417685365</v>
      </c>
      <c r="G16" s="61"/>
      <c r="I16" s="63"/>
    </row>
    <row r="17" customFormat="false" ht="15.75" hidden="false" customHeight="false" outlineLevel="0" collapsed="false">
      <c r="A17" s="57" t="s">
        <v>1669</v>
      </c>
      <c r="B17" s="57"/>
      <c r="C17" s="58" t="n">
        <f aca="false">B17/B$22*B$24</f>
        <v>0</v>
      </c>
      <c r="D17" s="57" t="s">
        <v>434</v>
      </c>
      <c r="E17" s="59" t="n">
        <f aca="false">IFERROR(INDEX(Correspondance!$D$2:$D$3000,MATCH(A17,Correspondance!$A$2:$A$3000,0)),0)</f>
        <v>11</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150.478221752542</v>
      </c>
      <c r="G19" s="61"/>
      <c r="I19" s="63"/>
    </row>
    <row r="20" customFormat="false" ht="18.75" hidden="false" customHeight="true" outlineLevel="0" collapsed="false">
      <c r="A20" s="68" t="s">
        <v>2628</v>
      </c>
      <c r="B20" s="69" t="n">
        <f aca="false">F19/B24</f>
        <v>1.36798383411402</v>
      </c>
      <c r="C20" s="70"/>
      <c r="G20" s="61"/>
      <c r="I20" s="63"/>
    </row>
    <row r="21" customFormat="false" ht="15.75" hidden="false" customHeight="false" outlineLevel="0" collapsed="false">
      <c r="A21" s="71" t="s">
        <v>2629</v>
      </c>
      <c r="B21" s="71" t="n">
        <f aca="false">SUM(B3:B18)</f>
        <v>17.506</v>
      </c>
      <c r="C21" s="66"/>
      <c r="G21" s="61"/>
      <c r="I21" s="63"/>
    </row>
    <row r="22" customFormat="false" ht="15.75" hidden="false" customHeight="false" outlineLevel="0" collapsed="false">
      <c r="A22" s="0" t="s">
        <v>2630</v>
      </c>
      <c r="B22" s="72" t="n">
        <f aca="false">B21/B23</f>
        <v>70.024</v>
      </c>
      <c r="C22" s="66"/>
      <c r="G22" s="61"/>
      <c r="I22" s="63"/>
    </row>
    <row r="23" customFormat="false" ht="15.75" hidden="false" customHeight="false" outlineLevel="0" collapsed="false">
      <c r="A23" s="0" t="s">
        <v>2631</v>
      </c>
      <c r="B23" s="0" t="n">
        <v>0.25</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255</v>
      </c>
      <c r="B1" s="50"/>
      <c r="C1" s="50"/>
      <c r="D1" s="50"/>
      <c r="E1" s="51" t="s">
        <v>2619</v>
      </c>
      <c r="F1" s="51"/>
      <c r="G1" s="52" t="s">
        <v>2927</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656</v>
      </c>
      <c r="B4" s="57" t="n">
        <v>19.52</v>
      </c>
      <c r="C4" s="58" t="n">
        <f aca="false">B4/B$22*B$24</f>
        <v>30.6792945787067</v>
      </c>
      <c r="D4" s="57" t="s">
        <v>434</v>
      </c>
      <c r="E4" s="59" t="n">
        <f aca="false">IFERROR(INDEX(Correspondance!$D$2:$D$3000,MATCH(A4,Correspondance!$A$2:$A$3000,0)),0)</f>
        <v>4</v>
      </c>
      <c r="F4" s="60" t="n">
        <f aca="false">C4*E4</f>
        <v>122.717178314827</v>
      </c>
      <c r="G4" s="61" t="s">
        <v>2928</v>
      </c>
    </row>
    <row r="5" customFormat="false" ht="15.75" hidden="false" customHeight="false" outlineLevel="0" collapsed="false">
      <c r="A5" s="57" t="s">
        <v>1973</v>
      </c>
      <c r="B5" s="57" t="n">
        <v>2.17</v>
      </c>
      <c r="C5" s="58" t="n">
        <f aca="false">B5/B$22*B$24</f>
        <v>3.41055682560418</v>
      </c>
      <c r="D5" s="57" t="s">
        <v>682</v>
      </c>
      <c r="E5" s="59" t="n">
        <f aca="false">IFERROR(INDEX(Correspondance!$D$2:$D$3000,MATCH(A5,Correspondance!$A$2:$A$3000,0)),0)</f>
        <v>2</v>
      </c>
      <c r="F5" s="60" t="n">
        <f aca="false">C5*E5</f>
        <v>6.82111365120836</v>
      </c>
      <c r="G5" s="61"/>
      <c r="I5" s="62"/>
    </row>
    <row r="6" customFormat="false" ht="15.75" hidden="false" customHeight="false" outlineLevel="0" collapsed="false">
      <c r="A6" s="57" t="s">
        <v>947</v>
      </c>
      <c r="B6" s="57" t="n">
        <v>0.651</v>
      </c>
      <c r="C6" s="58" t="n">
        <f aca="false">B6/B$22*B$24</f>
        <v>1.02316704768125</v>
      </c>
      <c r="D6" s="57" t="s">
        <v>434</v>
      </c>
      <c r="E6" s="59" t="n">
        <f aca="false">IFERROR(INDEX(Correspondance!$D$2:$D$3000,MATCH(A6,Correspondance!$A$2:$A$3000,0)),0)</f>
        <v>4.5</v>
      </c>
      <c r="F6" s="60" t="n">
        <f aca="false">C6*E6</f>
        <v>4.60425171456564</v>
      </c>
      <c r="G6" s="61"/>
      <c r="I6" s="63"/>
    </row>
    <row r="7" customFormat="false" ht="15.75" hidden="false" customHeight="false" outlineLevel="0" collapsed="false">
      <c r="A7" s="57" t="s">
        <v>1001</v>
      </c>
      <c r="B7" s="57" t="n">
        <v>0.434</v>
      </c>
      <c r="C7" s="58" t="n">
        <f aca="false">B7/B$22*B$24</f>
        <v>0.682111365120836</v>
      </c>
      <c r="D7" s="57" t="s">
        <v>434</v>
      </c>
      <c r="E7" s="59" t="n">
        <f aca="false">IFERROR(INDEX(Correspondance!$D$2:$D$3000,MATCH(A7,Correspondance!$A$2:$A$3000,0)),0)</f>
        <v>1.8</v>
      </c>
      <c r="F7" s="60" t="n">
        <f aca="false">C7*E7</f>
        <v>1.22780045721751</v>
      </c>
      <c r="G7" s="61"/>
      <c r="I7" s="63"/>
    </row>
    <row r="8" customFormat="false" ht="15.75" hidden="false" customHeight="false" outlineLevel="0" collapsed="false">
      <c r="A8" s="57" t="s">
        <v>894</v>
      </c>
      <c r="B8" s="57" t="n">
        <v>0.033</v>
      </c>
      <c r="C8" s="58" t="n">
        <f aca="false">B8/B$22*B$24</f>
        <v>0.051865610711953</v>
      </c>
      <c r="D8" s="57" t="s">
        <v>434</v>
      </c>
      <c r="E8" s="59" t="n">
        <f aca="false">IFERROR(INDEX(Correspondance!$D$2:$D$3000,MATCH(A8,Correspondance!$A$2:$A$3000,0)),0)</f>
        <v>5.5</v>
      </c>
      <c r="F8" s="60" t="n">
        <f aca="false">C8*E8</f>
        <v>0.285260858915741</v>
      </c>
      <c r="G8" s="61"/>
      <c r="I8" s="63"/>
    </row>
    <row r="9" customFormat="false" ht="15.75" hidden="false" customHeight="false" outlineLevel="0" collapsed="false">
      <c r="A9" s="57" t="s">
        <v>1491</v>
      </c>
      <c r="B9" s="57" t="n">
        <v>0.434</v>
      </c>
      <c r="C9" s="58" t="n">
        <f aca="false">B9/B$22*B$24</f>
        <v>0.682111365120836</v>
      </c>
      <c r="D9" s="57" t="s">
        <v>434</v>
      </c>
      <c r="E9" s="59" t="n">
        <f aca="false">IFERROR(INDEX(Correspondance!$D$2:$D$3000,MATCH(A9,Correspondance!$A$2:$A$3000,0)),0)</f>
        <v>9</v>
      </c>
      <c r="F9" s="60" t="n">
        <f aca="false">C9*E9</f>
        <v>6.13900228608752</v>
      </c>
      <c r="G9" s="61"/>
      <c r="I9" s="63"/>
    </row>
    <row r="10" customFormat="false" ht="15.75" hidden="false" customHeight="false" outlineLevel="0" collapsed="false">
      <c r="A10" s="57" t="s">
        <v>1576</v>
      </c>
      <c r="B10" s="57" t="n">
        <v>1.08</v>
      </c>
      <c r="C10" s="58" t="n">
        <f aca="false">B10/B$22*B$24</f>
        <v>1.69741998693664</v>
      </c>
      <c r="D10" s="57" t="s">
        <v>434</v>
      </c>
      <c r="E10" s="59" t="n">
        <f aca="false">IFERROR(INDEX(Correspondance!$D$2:$D$3000,MATCH(A10,Correspondance!$A$2:$A$3000,0)),0)</f>
        <v>5.5</v>
      </c>
      <c r="F10" s="60" t="n">
        <f aca="false">C10*E10</f>
        <v>9.33580992815154</v>
      </c>
      <c r="G10" s="61"/>
      <c r="I10" s="63"/>
    </row>
    <row r="11" customFormat="false" ht="15.75" hidden="false" customHeight="false" outlineLevel="0" collapsed="false">
      <c r="A11" s="57" t="s">
        <v>1007</v>
      </c>
      <c r="B11" s="57" t="n">
        <v>0.163</v>
      </c>
      <c r="C11" s="58" t="n">
        <f aca="false">B11/B$22*B$24</f>
        <v>0.256184683213586</v>
      </c>
      <c r="D11" s="57" t="s">
        <v>434</v>
      </c>
      <c r="E11" s="59" t="n">
        <f aca="false">IFERROR(INDEX(Correspondance!$D$2:$D$3000,MATCH(A11,Correspondance!$A$2:$A$3000,0)),0)</f>
        <v>8</v>
      </c>
      <c r="F11" s="60" t="n">
        <f aca="false">C11*E11</f>
        <v>2.04947746570869</v>
      </c>
      <c r="G11" s="61"/>
      <c r="I11" s="63"/>
    </row>
    <row r="12" customFormat="false" ht="18.75" hidden="false" customHeight="true" outlineLevel="0" collapsed="false">
      <c r="A12" s="57" t="s">
        <v>1796</v>
      </c>
      <c r="B12" s="64" t="n">
        <v>0.011</v>
      </c>
      <c r="C12" s="58" t="n">
        <f aca="false">B12/B$22*B$24</f>
        <v>0.0172885369039843</v>
      </c>
      <c r="D12" s="57" t="s">
        <v>434</v>
      </c>
      <c r="E12" s="59" t="n">
        <f aca="false">IFERROR(INDEX(Correspondance!$D$2:$D$3000,MATCH(A12,Correspondance!$A$2:$A$3000,0)),0)</f>
        <v>18</v>
      </c>
      <c r="F12" s="60" t="n">
        <f aca="false">C12*E12</f>
        <v>0.311193664271718</v>
      </c>
      <c r="G12" s="61"/>
      <c r="I12" s="63"/>
    </row>
    <row r="13" customFormat="false" ht="18.75" hidden="false" customHeight="true" outlineLevel="0" collapsed="false">
      <c r="A13" s="57" t="s">
        <v>1948</v>
      </c>
      <c r="B13" s="64"/>
      <c r="C13" s="58" t="n">
        <f aca="false">B13/B$22*B$24</f>
        <v>0</v>
      </c>
      <c r="D13" s="57" t="s">
        <v>434</v>
      </c>
      <c r="E13" s="59" t="n">
        <f aca="false">IFERROR(INDEX(Correspondance!$D$2:$D$3000,MATCH(A13,Correspondance!$A$2:$A$3000,0)),0)</f>
        <v>16</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153.491088340954</v>
      </c>
      <c r="G19" s="61"/>
      <c r="I19" s="63"/>
    </row>
    <row r="20" customFormat="false" ht="18.75" hidden="false" customHeight="true" outlineLevel="0" collapsed="false">
      <c r="A20" s="68" t="s">
        <v>2628</v>
      </c>
      <c r="B20" s="69" t="n">
        <f aca="false">F19/B24</f>
        <v>1.39537353037231</v>
      </c>
      <c r="C20" s="70"/>
      <c r="G20" s="61"/>
      <c r="I20" s="63"/>
    </row>
    <row r="21" customFormat="false" ht="15.75" hidden="false" customHeight="false" outlineLevel="0" collapsed="false">
      <c r="A21" s="71" t="s">
        <v>2629</v>
      </c>
      <c r="B21" s="71" t="n">
        <f aca="false">SUM(B3:B18)</f>
        <v>24.496</v>
      </c>
      <c r="C21" s="66"/>
      <c r="G21" s="61"/>
      <c r="I21" s="63"/>
    </row>
    <row r="22" customFormat="false" ht="15.75" hidden="false" customHeight="false" outlineLevel="0" collapsed="false">
      <c r="A22" s="0" t="s">
        <v>2630</v>
      </c>
      <c r="B22" s="72" t="n">
        <f aca="false">B21/B23</f>
        <v>69.9885714285714</v>
      </c>
      <c r="C22" s="66"/>
      <c r="G22" s="61"/>
      <c r="I22" s="63"/>
    </row>
    <row r="23" customFormat="false" ht="15.75" hidden="false" customHeight="false" outlineLevel="0" collapsed="false">
      <c r="A23" s="0" t="s">
        <v>2631</v>
      </c>
      <c r="B23" s="0" t="n">
        <v>0.35</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257</v>
      </c>
      <c r="B1" s="50"/>
      <c r="C1" s="50"/>
      <c r="D1" s="50"/>
      <c r="E1" s="51" t="s">
        <v>2619</v>
      </c>
      <c r="F1" s="51"/>
      <c r="G1" s="52" t="s">
        <v>2889</v>
      </c>
    </row>
    <row r="2" customFormat="false" ht="24.75" hidden="false" customHeight="true" outlineLevel="0" collapsed="false">
      <c r="A2" s="50"/>
      <c r="B2" s="50"/>
      <c r="C2" s="50"/>
      <c r="D2" s="50"/>
      <c r="E2" s="53" t="s">
        <v>2636</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1572</v>
      </c>
      <c r="B4" s="57" t="n">
        <v>9.02</v>
      </c>
      <c r="C4" s="58" t="n">
        <f aca="false">B4/B$22*B$24</f>
        <v>14.1742857142857</v>
      </c>
      <c r="D4" s="57" t="s">
        <v>434</v>
      </c>
      <c r="E4" s="59" t="n">
        <f aca="false">IFERROR(INDEX(Correspondance!$D$2:$D$3000,MATCH(A4,Correspondance!$A$2:$A$3000,0)),0)</f>
        <v>2</v>
      </c>
      <c r="F4" s="60" t="n">
        <f aca="false">C4*E4</f>
        <v>28.3485714285714</v>
      </c>
      <c r="G4" s="61" t="s">
        <v>2929</v>
      </c>
    </row>
    <row r="5" customFormat="false" ht="15.75" hidden="false" customHeight="false" outlineLevel="0" collapsed="false">
      <c r="A5" s="57" t="s">
        <v>566</v>
      </c>
      <c r="B5" s="57" t="n">
        <v>4.51</v>
      </c>
      <c r="C5" s="58" t="n">
        <f aca="false">B5/B$22*B$24</f>
        <v>7.08714285714286</v>
      </c>
      <c r="D5" s="57" t="s">
        <v>434</v>
      </c>
      <c r="E5" s="59" t="n">
        <f aca="false">IFERROR(INDEX(Correspondance!$D$2:$D$3000,MATCH(A5,Correspondance!$A$2:$A$3000,0)),0)</f>
        <v>6.5</v>
      </c>
      <c r="F5" s="60" t="n">
        <f aca="false">C5*E5</f>
        <v>46.0664285714286</v>
      </c>
      <c r="G5" s="61"/>
      <c r="I5" s="62"/>
    </row>
    <row r="6" customFormat="false" ht="15.75" hidden="false" customHeight="false" outlineLevel="0" collapsed="false">
      <c r="A6" s="57" t="s">
        <v>1518</v>
      </c>
      <c r="B6" s="57" t="n">
        <v>2.71</v>
      </c>
      <c r="C6" s="58" t="n">
        <f aca="false">B6/B$22*B$24</f>
        <v>4.25857142857143</v>
      </c>
      <c r="D6" s="57" t="s">
        <v>434</v>
      </c>
      <c r="E6" s="59" t="n">
        <f aca="false">IFERROR(INDEX(Correspondance!$D$2:$D$3000,MATCH(A6,Correspondance!$A$2:$A$3000,0)),0)</f>
        <v>9.5</v>
      </c>
      <c r="F6" s="60" t="n">
        <f aca="false">C6*E6</f>
        <v>40.4564285714286</v>
      </c>
      <c r="G6" s="61"/>
      <c r="I6" s="63"/>
    </row>
    <row r="7" customFormat="false" ht="15.75" hidden="false" customHeight="false" outlineLevel="0" collapsed="false">
      <c r="A7" s="57" t="s">
        <v>1001</v>
      </c>
      <c r="B7" s="57" t="n">
        <v>0.902</v>
      </c>
      <c r="C7" s="58" t="n">
        <f aca="false">B7/B$22*B$24</f>
        <v>1.41742857142857</v>
      </c>
      <c r="D7" s="57" t="s">
        <v>434</v>
      </c>
      <c r="E7" s="59" t="n">
        <f aca="false">IFERROR(INDEX(Correspondance!$D$2:$D$3000,MATCH(A7,Correspondance!$A$2:$A$3000,0)),0)</f>
        <v>1.8</v>
      </c>
      <c r="F7" s="60" t="n">
        <f aca="false">C7*E7</f>
        <v>2.55137142857143</v>
      </c>
      <c r="G7" s="61"/>
      <c r="I7" s="63"/>
    </row>
    <row r="8" customFormat="false" ht="15.75" hidden="false" customHeight="false" outlineLevel="0" collapsed="false">
      <c r="A8" s="57" t="s">
        <v>894</v>
      </c>
      <c r="B8" s="57" t="n">
        <v>0.054</v>
      </c>
      <c r="C8" s="58" t="n">
        <f aca="false">B8/B$22*B$24</f>
        <v>0.0848571428571429</v>
      </c>
      <c r="D8" s="57" t="s">
        <v>434</v>
      </c>
      <c r="E8" s="59" t="n">
        <f aca="false">IFERROR(INDEX(Correspondance!$D$2:$D$3000,MATCH(A8,Correspondance!$A$2:$A$3000,0)),0)</f>
        <v>5.5</v>
      </c>
      <c r="F8" s="60" t="n">
        <f aca="false">C8*E8</f>
        <v>0.466714285714286</v>
      </c>
      <c r="G8" s="61"/>
      <c r="I8" s="63"/>
    </row>
    <row r="9" customFormat="false" ht="15.75" hidden="false" customHeight="false" outlineLevel="0" collapsed="false">
      <c r="A9" s="57" t="s">
        <v>2001</v>
      </c>
      <c r="B9" s="57" t="n">
        <v>0.361</v>
      </c>
      <c r="C9" s="58" t="n">
        <f aca="false">B9/B$22*B$24</f>
        <v>0.567285714285714</v>
      </c>
      <c r="D9" s="57" t="s">
        <v>434</v>
      </c>
      <c r="E9" s="59" t="n">
        <f aca="false">IFERROR(INDEX(Correspondance!$D$2:$D$3000,MATCH(A9,Correspondance!$A$2:$A$3000,0)),0)</f>
        <v>3.8</v>
      </c>
      <c r="F9" s="60" t="n">
        <f aca="false">C9*E9</f>
        <v>2.15568571428571</v>
      </c>
      <c r="G9" s="61"/>
      <c r="I9" s="63"/>
    </row>
    <row r="10" customFormat="false" ht="15.75" hidden="false" customHeight="false" outlineLevel="0" collapsed="false">
      <c r="A10" s="57" t="s">
        <v>1070</v>
      </c>
      <c r="B10" s="57" t="n">
        <v>0.361</v>
      </c>
      <c r="C10" s="58" t="n">
        <f aca="false">B10/B$22*B$24</f>
        <v>0.567285714285714</v>
      </c>
      <c r="D10" s="57" t="s">
        <v>434</v>
      </c>
      <c r="E10" s="59" t="n">
        <f aca="false">IFERROR(INDEX(Correspondance!$D$2:$D$3000,MATCH(A10,Correspondance!$A$2:$A$3000,0)),0)</f>
        <v>2</v>
      </c>
      <c r="F10" s="60" t="n">
        <f aca="false">C10*E10</f>
        <v>1.13457142857143</v>
      </c>
      <c r="G10" s="61"/>
      <c r="I10" s="63"/>
    </row>
    <row r="11" customFormat="false" ht="15.75" hidden="false" customHeight="false" outlineLevel="0" collapsed="false">
      <c r="A11" s="57" t="s">
        <v>1957</v>
      </c>
      <c r="B11" s="57" t="n">
        <v>2.26</v>
      </c>
      <c r="C11" s="58" t="n">
        <f aca="false">B11/B$22*B$24</f>
        <v>3.55142857142857</v>
      </c>
      <c r="D11" s="57" t="s">
        <v>434</v>
      </c>
      <c r="E11" s="59" t="n">
        <f aca="false">IFERROR(INDEX(Correspondance!$D$2:$D$3000,MATCH(A11,Correspondance!$A$2:$A$3000,0)),0)</f>
        <v>1.6</v>
      </c>
      <c r="F11" s="60" t="n">
        <f aca="false">C11*E11</f>
        <v>5.68228571428572</v>
      </c>
      <c r="G11" s="61"/>
      <c r="I11" s="63"/>
    </row>
    <row r="12" customFormat="false" ht="18.75" hidden="false" customHeight="true" outlineLevel="0" collapsed="false">
      <c r="A12" s="57" t="s">
        <v>1120</v>
      </c>
      <c r="B12" s="64" t="n">
        <v>0.18</v>
      </c>
      <c r="C12" s="58" t="n">
        <f aca="false">B12/B$22*B$24</f>
        <v>0.282857142857143</v>
      </c>
      <c r="D12" s="57" t="s">
        <v>682</v>
      </c>
      <c r="E12" s="59" t="n">
        <f aca="false">IFERROR(INDEX(Correspondance!$D$2:$D$3000,MATCH(A12,Correspondance!$A$2:$A$3000,0)),0)</f>
        <v>7.5</v>
      </c>
      <c r="F12" s="60" t="n">
        <f aca="false">C12*E12</f>
        <v>2.12142857142857</v>
      </c>
      <c r="G12" s="61"/>
      <c r="I12" s="63"/>
    </row>
    <row r="13" customFormat="false" ht="18.75" hidden="false" customHeight="true" outlineLevel="0" collapsed="false">
      <c r="A13" s="57" t="s">
        <v>706</v>
      </c>
      <c r="B13" s="64" t="n">
        <v>0.541</v>
      </c>
      <c r="C13" s="58" t="n">
        <f aca="false">B13/B$22*B$24</f>
        <v>0.850142857142857</v>
      </c>
      <c r="D13" s="57" t="s">
        <v>434</v>
      </c>
      <c r="E13" s="59" t="n">
        <f aca="false">IFERROR(INDEX(Correspondance!$D$2:$D$3000,MATCH(A13,Correspondance!$A$2:$A$3000,0)),0)</f>
        <v>7.5</v>
      </c>
      <c r="F13" s="60" t="n">
        <f aca="false">C13*E13</f>
        <v>6.37607142857143</v>
      </c>
      <c r="G13" s="61"/>
      <c r="I13" s="63"/>
    </row>
    <row r="14" customFormat="false" ht="15.75" hidden="false" customHeight="false" outlineLevel="0" collapsed="false">
      <c r="A14" s="57" t="s">
        <v>1919</v>
      </c>
      <c r="B14" s="57" t="n">
        <v>0.09</v>
      </c>
      <c r="C14" s="58" t="n">
        <f aca="false">B14/B$22*B$24</f>
        <v>0.141428571428571</v>
      </c>
      <c r="D14" s="57" t="s">
        <v>434</v>
      </c>
      <c r="E14" s="59" t="n">
        <f aca="false">IFERROR(INDEX(Correspondance!$D$2:$D$3000,MATCH(A14,Correspondance!$A$2:$A$3000,0)),0)</f>
        <v>2</v>
      </c>
      <c r="F14" s="60" t="n">
        <f aca="false">C14*E14</f>
        <v>0.282857142857143</v>
      </c>
      <c r="G14" s="61"/>
      <c r="I14" s="63"/>
    </row>
    <row r="15" customFormat="false" ht="15.75" hidden="false" customHeight="false" outlineLevel="0" collapsed="false">
      <c r="A15" s="57" t="s">
        <v>1796</v>
      </c>
      <c r="B15" s="57" t="n">
        <v>0.011</v>
      </c>
      <c r="C15" s="58" t="n">
        <f aca="false">B15/B$22*B$24</f>
        <v>0.0172857142857143</v>
      </c>
      <c r="D15" s="57" t="s">
        <v>434</v>
      </c>
      <c r="E15" s="59" t="n">
        <f aca="false">IFERROR(INDEX(Correspondance!$D$2:$D$3000,MATCH(A15,Correspondance!$A$2:$A$3000,0)),0)</f>
        <v>18</v>
      </c>
      <c r="F15" s="60" t="n">
        <f aca="false">C15*E15</f>
        <v>0.311142857142857</v>
      </c>
      <c r="G15" s="61"/>
      <c r="I15" s="63"/>
    </row>
    <row r="16" customFormat="false" ht="15.75" hidden="false" customHeight="false" outlineLevel="0" collapsed="false">
      <c r="A16" s="57" t="s">
        <v>1671</v>
      </c>
      <c r="B16" s="57"/>
      <c r="C16" s="58" t="n">
        <f aca="false">B16/B$22*B$24</f>
        <v>0</v>
      </c>
      <c r="D16" s="57" t="s">
        <v>434</v>
      </c>
      <c r="E16" s="59" t="n">
        <f aca="false">IFERROR(INDEX(Correspondance!$D$2:$D$3000,MATCH(A16,Correspondance!$A$2:$A$3000,0)),0)</f>
        <v>11</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135.953557142857</v>
      </c>
      <c r="G19" s="61"/>
      <c r="I19" s="63"/>
    </row>
    <row r="20" customFormat="false" ht="18.75" hidden="false" customHeight="true" outlineLevel="0" collapsed="false">
      <c r="A20" s="68" t="s">
        <v>2628</v>
      </c>
      <c r="B20" s="69" t="n">
        <f aca="false">F19/B24</f>
        <v>1.23594142857143</v>
      </c>
      <c r="C20" s="70"/>
      <c r="G20" s="61"/>
      <c r="I20" s="63"/>
    </row>
    <row r="21" customFormat="false" ht="15.75" hidden="false" customHeight="false" outlineLevel="0" collapsed="false">
      <c r="A21" s="71" t="s">
        <v>2629</v>
      </c>
      <c r="B21" s="71" t="n">
        <f aca="false">SUM(B3:B18)</f>
        <v>21</v>
      </c>
      <c r="C21" s="66"/>
      <c r="G21" s="61"/>
      <c r="I21" s="63"/>
    </row>
    <row r="22" customFormat="false" ht="15.75" hidden="false" customHeight="false" outlineLevel="0" collapsed="false">
      <c r="A22" s="0" t="s">
        <v>2630</v>
      </c>
      <c r="B22" s="72" t="n">
        <f aca="false">B21/B23</f>
        <v>70</v>
      </c>
      <c r="C22" s="66"/>
      <c r="G22" s="61"/>
      <c r="I22" s="63"/>
    </row>
    <row r="23" customFormat="false" ht="15.75" hidden="false" customHeight="false" outlineLevel="0" collapsed="false">
      <c r="A23" s="0" t="s">
        <v>2631</v>
      </c>
      <c r="B23" s="0" t="n">
        <v>0.3</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259</v>
      </c>
      <c r="B1" s="50"/>
      <c r="C1" s="50"/>
      <c r="D1" s="50"/>
      <c r="E1" s="51" t="s">
        <v>2619</v>
      </c>
      <c r="F1" s="51"/>
      <c r="G1" s="52" t="s">
        <v>2889</v>
      </c>
    </row>
    <row r="2" customFormat="false" ht="24.75" hidden="false" customHeight="true" outlineLevel="0" collapsed="false">
      <c r="A2" s="50"/>
      <c r="B2" s="50"/>
      <c r="C2" s="50"/>
      <c r="D2" s="50"/>
      <c r="E2" s="53" t="s">
        <v>2636</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1964</v>
      </c>
      <c r="B4" s="57" t="n">
        <v>9.23</v>
      </c>
      <c r="C4" s="58" t="n">
        <f aca="false">B4/B$22*B$24</f>
        <v>14.5005865850548</v>
      </c>
      <c r="D4" s="57" t="s">
        <v>434</v>
      </c>
      <c r="E4" s="59" t="n">
        <f aca="false">IFERROR(INDEX(Correspondance!$D$2:$D$3000,MATCH(A4,Correspondance!$A$2:$A$3000,0)),0)</f>
        <v>2.4</v>
      </c>
      <c r="F4" s="60" t="n">
        <f aca="false">C4*E4</f>
        <v>34.8014078041316</v>
      </c>
      <c r="G4" s="61" t="s">
        <v>2930</v>
      </c>
    </row>
    <row r="5" customFormat="false" ht="15.75" hidden="false" customHeight="false" outlineLevel="0" collapsed="false">
      <c r="A5" s="57" t="s">
        <v>566</v>
      </c>
      <c r="B5" s="57" t="n">
        <v>4.61</v>
      </c>
      <c r="C5" s="58" t="n">
        <f aca="false">B5/B$22*B$24</f>
        <v>7.24243815353226</v>
      </c>
      <c r="D5" s="57" t="s">
        <v>434</v>
      </c>
      <c r="E5" s="59" t="n">
        <f aca="false">IFERROR(INDEX(Correspondance!$D$2:$D$3000,MATCH(A5,Correspondance!$A$2:$A$3000,0)),0)</f>
        <v>6.5</v>
      </c>
      <c r="F5" s="60" t="n">
        <f aca="false">C5*E5</f>
        <v>47.0758479979597</v>
      </c>
      <c r="G5" s="61"/>
      <c r="I5" s="62"/>
    </row>
    <row r="6" customFormat="false" ht="15.75" hidden="false" customHeight="false" outlineLevel="0" collapsed="false">
      <c r="A6" s="57" t="s">
        <v>1518</v>
      </c>
      <c r="B6" s="57" t="n">
        <v>1.85</v>
      </c>
      <c r="C6" s="58" t="n">
        <f aca="false">B6/B$22*B$24</f>
        <v>2.90640142820709</v>
      </c>
      <c r="D6" s="57" t="s">
        <v>434</v>
      </c>
      <c r="E6" s="59" t="n">
        <f aca="false">IFERROR(INDEX(Correspondance!$D$2:$D$3000,MATCH(A6,Correspondance!$A$2:$A$3000,0)),0)</f>
        <v>9.5</v>
      </c>
      <c r="F6" s="60" t="n">
        <f aca="false">C6*E6</f>
        <v>27.6108135679674</v>
      </c>
      <c r="G6" s="61"/>
      <c r="I6" s="63"/>
    </row>
    <row r="7" customFormat="false" ht="15.75" hidden="false" customHeight="false" outlineLevel="0" collapsed="false">
      <c r="A7" s="57" t="s">
        <v>1001</v>
      </c>
      <c r="B7" s="57" t="n">
        <v>0.738</v>
      </c>
      <c r="C7" s="58" t="n">
        <f aca="false">B7/B$22*B$24</f>
        <v>1.15941851568477</v>
      </c>
      <c r="D7" s="57" t="s">
        <v>434</v>
      </c>
      <c r="E7" s="59" t="n">
        <f aca="false">IFERROR(INDEX(Correspondance!$D$2:$D$3000,MATCH(A7,Correspondance!$A$2:$A$3000,0)),0)</f>
        <v>1.8</v>
      </c>
      <c r="F7" s="60" t="n">
        <f aca="false">C7*E7</f>
        <v>2.08695332823259</v>
      </c>
      <c r="G7" s="61"/>
      <c r="I7" s="63"/>
    </row>
    <row r="8" customFormat="false" ht="15.75" hidden="false" customHeight="false" outlineLevel="0" collapsed="false">
      <c r="A8" s="57" t="s">
        <v>894</v>
      </c>
      <c r="B8" s="57" t="n">
        <v>0.046</v>
      </c>
      <c r="C8" s="58" t="n">
        <f aca="false">B8/B$22*B$24</f>
        <v>0.0722672787554195</v>
      </c>
      <c r="D8" s="57" t="s">
        <v>434</v>
      </c>
      <c r="E8" s="59" t="n">
        <f aca="false">IFERROR(INDEX(Correspondance!$D$2:$D$3000,MATCH(A8,Correspondance!$A$2:$A$3000,0)),0)</f>
        <v>5.5</v>
      </c>
      <c r="F8" s="60" t="n">
        <f aca="false">C8*E8</f>
        <v>0.397470033154807</v>
      </c>
      <c r="G8" s="61"/>
      <c r="I8" s="63"/>
    </row>
    <row r="9" customFormat="false" ht="15.75" hidden="false" customHeight="false" outlineLevel="0" collapsed="false">
      <c r="A9" s="57" t="s">
        <v>2001</v>
      </c>
      <c r="B9" s="57" t="n">
        <v>0.277</v>
      </c>
      <c r="C9" s="58" t="n">
        <f aca="false">B9/B$22*B$24</f>
        <v>0.435174700331548</v>
      </c>
      <c r="D9" s="57" t="s">
        <v>434</v>
      </c>
      <c r="E9" s="59" t="n">
        <f aca="false">IFERROR(INDEX(Correspondance!$D$2:$D$3000,MATCH(A9,Correspondance!$A$2:$A$3000,0)),0)</f>
        <v>3.8</v>
      </c>
      <c r="F9" s="60" t="n">
        <f aca="false">C9*E9</f>
        <v>1.65366386125988</v>
      </c>
      <c r="G9" s="61"/>
      <c r="I9" s="63"/>
    </row>
    <row r="10" customFormat="false" ht="15.75" hidden="false" customHeight="false" outlineLevel="0" collapsed="false">
      <c r="A10" s="57" t="s">
        <v>1070</v>
      </c>
      <c r="B10" s="57" t="n">
        <v>0.369</v>
      </c>
      <c r="C10" s="58" t="n">
        <f aca="false">B10/B$22*B$24</f>
        <v>0.579709257842387</v>
      </c>
      <c r="D10" s="57" t="s">
        <v>434</v>
      </c>
      <c r="E10" s="59" t="n">
        <f aca="false">IFERROR(INDEX(Correspondance!$D$2:$D$3000,MATCH(A10,Correspondance!$A$2:$A$3000,0)),0)</f>
        <v>2</v>
      </c>
      <c r="F10" s="60" t="n">
        <f aca="false">C10*E10</f>
        <v>1.15941851568477</v>
      </c>
      <c r="G10" s="61"/>
      <c r="I10" s="63"/>
    </row>
    <row r="11" customFormat="false" ht="15.75" hidden="false" customHeight="false" outlineLevel="0" collapsed="false">
      <c r="A11" s="57" t="s">
        <v>1694</v>
      </c>
      <c r="B11" s="57" t="n">
        <v>0.369</v>
      </c>
      <c r="C11" s="58" t="n">
        <f aca="false">B11/B$22*B$24</f>
        <v>0.579709257842387</v>
      </c>
      <c r="D11" s="57" t="s">
        <v>682</v>
      </c>
      <c r="E11" s="59" t="n">
        <f aca="false">IFERROR(INDEX(Correspondance!$D$2:$D$3000,MATCH(A11,Correspondance!$A$2:$A$3000,0)),0)</f>
        <v>2.4</v>
      </c>
      <c r="F11" s="60" t="n">
        <f aca="false">C11*E11</f>
        <v>1.39130221882173</v>
      </c>
      <c r="G11" s="61"/>
      <c r="I11" s="63"/>
    </row>
    <row r="12" customFormat="false" ht="18.75" hidden="false" customHeight="true" outlineLevel="0" collapsed="false">
      <c r="A12" s="57" t="s">
        <v>1882</v>
      </c>
      <c r="B12" s="64" t="n">
        <v>0.738</v>
      </c>
      <c r="C12" s="58" t="n">
        <f aca="false">B12/B$22*B$24</f>
        <v>1.15941851568477</v>
      </c>
      <c r="D12" s="57" t="s">
        <v>434</v>
      </c>
      <c r="E12" s="59" t="n">
        <f aca="false">IFERROR(INDEX(Correspondance!$D$2:$D$3000,MATCH(A12,Correspondance!$A$2:$A$3000,0)),0)</f>
        <v>1.9</v>
      </c>
      <c r="F12" s="60" t="n">
        <f aca="false">C12*E12</f>
        <v>2.20289517980107</v>
      </c>
      <c r="G12" s="61"/>
      <c r="I12" s="63"/>
    </row>
    <row r="13" customFormat="false" ht="18.75" hidden="false" customHeight="true" outlineLevel="0" collapsed="false">
      <c r="A13" s="57" t="s">
        <v>1459</v>
      </c>
      <c r="B13" s="64" t="n">
        <v>1.11</v>
      </c>
      <c r="C13" s="58" t="n">
        <f aca="false">B13/B$22*B$24</f>
        <v>1.74384085692425</v>
      </c>
      <c r="D13" s="57" t="s">
        <v>682</v>
      </c>
      <c r="E13" s="59" t="n">
        <f aca="false">IFERROR(INDEX(Correspondance!$D$2:$D$3000,MATCH(A13,Correspondance!$A$2:$A$3000,0)),0)</f>
        <v>0</v>
      </c>
      <c r="F13" s="60" t="n">
        <f aca="false">C13*E13</f>
        <v>0</v>
      </c>
      <c r="G13" s="61"/>
      <c r="I13" s="63"/>
    </row>
    <row r="14" customFormat="false" ht="15.75" hidden="false" customHeight="false" outlineLevel="0" collapsed="false">
      <c r="A14" s="57" t="s">
        <v>1120</v>
      </c>
      <c r="B14" s="57" t="n">
        <v>0.185</v>
      </c>
      <c r="C14" s="58" t="n">
        <f aca="false">B14/B$22*B$24</f>
        <v>0.290640142820709</v>
      </c>
      <c r="D14" s="57" t="s">
        <v>682</v>
      </c>
      <c r="E14" s="59" t="n">
        <f aca="false">IFERROR(INDEX(Correspondance!$D$2:$D$3000,MATCH(A14,Correspondance!$A$2:$A$3000,0)),0)</f>
        <v>7.5</v>
      </c>
      <c r="F14" s="60" t="n">
        <f aca="false">C14*E14</f>
        <v>2.17980107115532</v>
      </c>
      <c r="G14" s="61"/>
      <c r="I14" s="63"/>
    </row>
    <row r="15" customFormat="false" ht="15.75" hidden="false" customHeight="false" outlineLevel="0" collapsed="false">
      <c r="A15" s="57" t="s">
        <v>1919</v>
      </c>
      <c r="B15" s="57" t="n">
        <v>0.074</v>
      </c>
      <c r="C15" s="58" t="n">
        <f aca="false">B15/B$22*B$24</f>
        <v>0.116256057128284</v>
      </c>
      <c r="D15" s="57" t="s">
        <v>434</v>
      </c>
      <c r="E15" s="59" t="n">
        <f aca="false">IFERROR(INDEX(Correspondance!$D$2:$D$3000,MATCH(A15,Correspondance!$A$2:$A$3000,0)),0)</f>
        <v>2</v>
      </c>
      <c r="F15" s="60" t="n">
        <f aca="false">C15*E15</f>
        <v>0.232512114256567</v>
      </c>
      <c r="G15" s="61"/>
      <c r="I15" s="63"/>
    </row>
    <row r="16" customFormat="false" ht="15.75" hidden="false" customHeight="false" outlineLevel="0" collapsed="false">
      <c r="A16" s="57" t="s">
        <v>1796</v>
      </c>
      <c r="B16" s="57" t="n">
        <v>0.009</v>
      </c>
      <c r="C16" s="58" t="n">
        <f aca="false">B16/B$22*B$24</f>
        <v>0.0141392501912777</v>
      </c>
      <c r="D16" s="57" t="s">
        <v>434</v>
      </c>
      <c r="E16" s="59" t="n">
        <f aca="false">IFERROR(INDEX(Correspondance!$D$2:$D$3000,MATCH(A16,Correspondance!$A$2:$A$3000,0)),0)</f>
        <v>18</v>
      </c>
      <c r="F16" s="60" t="n">
        <f aca="false">C16*E16</f>
        <v>0.254506503442999</v>
      </c>
      <c r="G16" s="61"/>
      <c r="I16" s="63"/>
    </row>
    <row r="17" customFormat="false" ht="15.75" hidden="false" customHeight="false" outlineLevel="0" collapsed="false">
      <c r="A17" s="57" t="s">
        <v>1781</v>
      </c>
      <c r="B17" s="57"/>
      <c r="C17" s="58" t="n">
        <f aca="false">B17/B$22*B$24</f>
        <v>0</v>
      </c>
      <c r="D17" s="57" t="s">
        <v>434</v>
      </c>
      <c r="E17" s="59" t="n">
        <f aca="false">IFERROR(INDEX(Correspondance!$D$2:$D$3000,MATCH(A17,Correspondance!$A$2:$A$3000,0)),0)</f>
        <v>8</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121.046592195868</v>
      </c>
      <c r="G19" s="61"/>
      <c r="I19" s="63"/>
    </row>
    <row r="20" customFormat="false" ht="18.75" hidden="false" customHeight="true" outlineLevel="0" collapsed="false">
      <c r="A20" s="68" t="s">
        <v>2628</v>
      </c>
      <c r="B20" s="69" t="n">
        <f aca="false">F19/B24</f>
        <v>1.10042356541699</v>
      </c>
      <c r="C20" s="70"/>
      <c r="G20" s="61"/>
      <c r="I20" s="63"/>
    </row>
    <row r="21" customFormat="false" ht="15.75" hidden="false" customHeight="false" outlineLevel="0" collapsed="false">
      <c r="A21" s="71" t="s">
        <v>2629</v>
      </c>
      <c r="B21" s="71" t="n">
        <f aca="false">SUM(B3:B18)</f>
        <v>19.605</v>
      </c>
      <c r="C21" s="66"/>
      <c r="G21" s="61"/>
      <c r="I21" s="63"/>
    </row>
    <row r="22" customFormat="false" ht="15.75" hidden="false" customHeight="false" outlineLevel="0" collapsed="false">
      <c r="A22" s="0" t="s">
        <v>2630</v>
      </c>
      <c r="B22" s="72" t="n">
        <f aca="false">B21/B23</f>
        <v>70.0178571428571</v>
      </c>
      <c r="C22" s="66"/>
      <c r="G22" s="61"/>
      <c r="I22" s="63"/>
    </row>
    <row r="23" customFormat="false" ht="15.75" hidden="false" customHeight="false" outlineLevel="0" collapsed="false">
      <c r="A23" s="0" t="s">
        <v>2631</v>
      </c>
      <c r="B23" s="0" t="n">
        <v>0.28</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261</v>
      </c>
      <c r="B1" s="50"/>
      <c r="C1" s="50"/>
      <c r="D1" s="50"/>
      <c r="E1" s="51" t="s">
        <v>2619</v>
      </c>
      <c r="F1" s="51"/>
      <c r="G1" s="52" t="s">
        <v>2931</v>
      </c>
    </row>
    <row r="2" customFormat="false" ht="24.75" hidden="false" customHeight="true" outlineLevel="0" collapsed="false">
      <c r="A2" s="50"/>
      <c r="B2" s="50"/>
      <c r="C2" s="50"/>
      <c r="D2" s="50"/>
      <c r="E2" s="53" t="s">
        <v>2636</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1481</v>
      </c>
      <c r="B4" s="57" t="n">
        <v>9.42</v>
      </c>
      <c r="C4" s="58" t="n">
        <f aca="false">B4/B$22*B$24</f>
        <v>14.7958115183246</v>
      </c>
      <c r="D4" s="57" t="s">
        <v>434</v>
      </c>
      <c r="E4" s="59" t="n">
        <f aca="false">IFERROR(INDEX(Correspondance!$D$2:$D$3000,MATCH(A4,Correspondance!$A$2:$A$3000,0)),0)</f>
        <v>2.6</v>
      </c>
      <c r="F4" s="60" t="n">
        <f aca="false">C4*E4</f>
        <v>38.469109947644</v>
      </c>
      <c r="G4" s="61" t="s">
        <v>2932</v>
      </c>
    </row>
    <row r="5" customFormat="false" ht="15.75" hidden="false" customHeight="false" outlineLevel="0" collapsed="false">
      <c r="A5" s="57" t="s">
        <v>566</v>
      </c>
      <c r="B5" s="57" t="n">
        <v>3.77</v>
      </c>
      <c r="C5" s="58" t="n">
        <f aca="false">B5/B$22*B$24</f>
        <v>5.92146596858639</v>
      </c>
      <c r="D5" s="57" t="s">
        <v>434</v>
      </c>
      <c r="E5" s="59" t="n">
        <f aca="false">IFERROR(INDEX(Correspondance!$D$2:$D$3000,MATCH(A5,Correspondance!$A$2:$A$3000,0)),0)</f>
        <v>6.5</v>
      </c>
      <c r="F5" s="60" t="n">
        <f aca="false">C5*E5</f>
        <v>38.4895287958115</v>
      </c>
      <c r="G5" s="61"/>
      <c r="I5" s="62"/>
    </row>
    <row r="6" customFormat="false" ht="15.75" hidden="false" customHeight="false" outlineLevel="0" collapsed="false">
      <c r="A6" s="57" t="s">
        <v>1472</v>
      </c>
      <c r="B6" s="57" t="n">
        <v>2.83</v>
      </c>
      <c r="C6" s="58" t="n">
        <f aca="false">B6/B$22*B$24</f>
        <v>4.44502617801047</v>
      </c>
      <c r="D6" s="57" t="s">
        <v>434</v>
      </c>
      <c r="E6" s="59" t="n">
        <f aca="false">IFERROR(INDEX(Correspondance!$D$2:$D$3000,MATCH(A6,Correspondance!$A$2:$A$3000,0)),0)</f>
        <v>12.5</v>
      </c>
      <c r="F6" s="60" t="n">
        <f aca="false">C6*E6</f>
        <v>55.5628272251309</v>
      </c>
      <c r="G6" s="61"/>
      <c r="I6" s="63"/>
    </row>
    <row r="7" customFormat="false" ht="15.75" hidden="false" customHeight="false" outlineLevel="0" collapsed="false">
      <c r="A7" s="57" t="s">
        <v>1001</v>
      </c>
      <c r="B7" s="57" t="n">
        <v>0.942</v>
      </c>
      <c r="C7" s="58" t="n">
        <f aca="false">B7/B$22*B$24</f>
        <v>1.47958115183246</v>
      </c>
      <c r="D7" s="57" t="s">
        <v>434</v>
      </c>
      <c r="E7" s="59" t="n">
        <f aca="false">IFERROR(INDEX(Correspondance!$D$2:$D$3000,MATCH(A7,Correspondance!$A$2:$A$3000,0)),0)</f>
        <v>1.8</v>
      </c>
      <c r="F7" s="60" t="n">
        <f aca="false">C7*E7</f>
        <v>2.66324607329843</v>
      </c>
      <c r="G7" s="61"/>
      <c r="I7" s="63"/>
    </row>
    <row r="8" customFormat="false" ht="15.75" hidden="false" customHeight="false" outlineLevel="0" collapsed="false">
      <c r="A8" s="57" t="s">
        <v>894</v>
      </c>
      <c r="B8" s="57" t="n">
        <v>0.075</v>
      </c>
      <c r="C8" s="58" t="n">
        <f aca="false">B8/B$22*B$24</f>
        <v>0.117801047120419</v>
      </c>
      <c r="D8" s="57" t="s">
        <v>434</v>
      </c>
      <c r="E8" s="59" t="n">
        <f aca="false">IFERROR(INDEX(Correspondance!$D$2:$D$3000,MATCH(A8,Correspondance!$A$2:$A$3000,0)),0)</f>
        <v>5.5</v>
      </c>
      <c r="F8" s="60" t="n">
        <f aca="false">C8*E8</f>
        <v>0.647905759162304</v>
      </c>
      <c r="G8" s="61"/>
      <c r="I8" s="63"/>
    </row>
    <row r="9" customFormat="false" ht="15.75" hidden="false" customHeight="false" outlineLevel="0" collapsed="false">
      <c r="A9" s="57" t="s">
        <v>1957</v>
      </c>
      <c r="B9" s="57" t="n">
        <v>2.36</v>
      </c>
      <c r="C9" s="58" t="n">
        <f aca="false">B9/B$22*B$24</f>
        <v>3.70680628272251</v>
      </c>
      <c r="D9" s="57" t="s">
        <v>434</v>
      </c>
      <c r="E9" s="59" t="n">
        <f aca="false">IFERROR(INDEX(Correspondance!$D$2:$D$3000,MATCH(A9,Correspondance!$A$2:$A$3000,0)),0)</f>
        <v>1.6</v>
      </c>
      <c r="F9" s="60" t="n">
        <f aca="false">C9*E9</f>
        <v>5.93089005235602</v>
      </c>
      <c r="G9" s="61"/>
      <c r="I9" s="63"/>
    </row>
    <row r="10" customFormat="false" ht="15.75" hidden="false" customHeight="false" outlineLevel="0" collapsed="false">
      <c r="A10" s="57" t="s">
        <v>1197</v>
      </c>
      <c r="B10" s="57" t="n">
        <v>0.094</v>
      </c>
      <c r="C10" s="58" t="n">
        <f aca="false">B10/B$22*B$24</f>
        <v>0.147643979057592</v>
      </c>
      <c r="D10" s="57" t="s">
        <v>434</v>
      </c>
      <c r="E10" s="59" t="n">
        <f aca="false">IFERROR(INDEX(Correspondance!$D$2:$D$3000,MATCH(A10,Correspondance!$A$2:$A$3000,0)),0)</f>
        <v>2.6</v>
      </c>
      <c r="F10" s="60" t="n">
        <f aca="false">C10*E10</f>
        <v>0.383874345549738</v>
      </c>
      <c r="G10" s="61"/>
      <c r="I10" s="63"/>
    </row>
    <row r="11" customFormat="false" ht="15.75" hidden="false" customHeight="false" outlineLevel="0" collapsed="false">
      <c r="A11" s="57" t="s">
        <v>2001</v>
      </c>
      <c r="B11" s="57" t="n">
        <v>0.283</v>
      </c>
      <c r="C11" s="58" t="n">
        <f aca="false">B11/B$22*B$24</f>
        <v>0.444502617801047</v>
      </c>
      <c r="D11" s="57" t="s">
        <v>434</v>
      </c>
      <c r="E11" s="59" t="n">
        <f aca="false">IFERROR(INDEX(Correspondance!$D$2:$D$3000,MATCH(A11,Correspondance!$A$2:$A$3000,0)),0)</f>
        <v>3.8</v>
      </c>
      <c r="F11" s="60" t="n">
        <f aca="false">C11*E11</f>
        <v>1.68910994764398</v>
      </c>
      <c r="G11" s="61"/>
      <c r="I11" s="63"/>
    </row>
    <row r="12" customFormat="false" ht="18.75" hidden="false" customHeight="true" outlineLevel="0" collapsed="false">
      <c r="A12" s="57" t="s">
        <v>1070</v>
      </c>
      <c r="B12" s="64" t="n">
        <v>0.283</v>
      </c>
      <c r="C12" s="58" t="n">
        <f aca="false">B12/B$22*B$24</f>
        <v>0.444502617801047</v>
      </c>
      <c r="D12" s="57" t="s">
        <v>434</v>
      </c>
      <c r="E12" s="59" t="n">
        <f aca="false">IFERROR(INDEX(Correspondance!$D$2:$D$3000,MATCH(A12,Correspondance!$A$2:$A$3000,0)),0)</f>
        <v>2</v>
      </c>
      <c r="F12" s="60" t="n">
        <f aca="false">C12*E12</f>
        <v>0.889005235602094</v>
      </c>
      <c r="G12" s="61"/>
      <c r="I12" s="63"/>
    </row>
    <row r="13" customFormat="false" ht="18.75" hidden="false" customHeight="true" outlineLevel="0" collapsed="false">
      <c r="A13" s="57" t="s">
        <v>1120</v>
      </c>
      <c r="B13" s="64" t="n">
        <v>0.283</v>
      </c>
      <c r="C13" s="58" t="n">
        <f aca="false">B13/B$22*B$24</f>
        <v>0.444502617801047</v>
      </c>
      <c r="D13" s="57" t="s">
        <v>682</v>
      </c>
      <c r="E13" s="59" t="n">
        <f aca="false">IFERROR(INDEX(Correspondance!$D$2:$D$3000,MATCH(A13,Correspondance!$A$2:$A$3000,0)),0)</f>
        <v>7.5</v>
      </c>
      <c r="F13" s="60" t="n">
        <f aca="false">C13*E13</f>
        <v>3.33376963350785</v>
      </c>
      <c r="G13" s="61"/>
      <c r="I13" s="63"/>
    </row>
    <row r="14" customFormat="false" ht="15.75" hidden="false" customHeight="false" outlineLevel="0" collapsed="false">
      <c r="A14" s="57" t="s">
        <v>706</v>
      </c>
      <c r="B14" s="57" t="n">
        <v>0.565</v>
      </c>
      <c r="C14" s="58" t="n">
        <f aca="false">B14/B$22*B$24</f>
        <v>0.887434554973822</v>
      </c>
      <c r="D14" s="57" t="s">
        <v>434</v>
      </c>
      <c r="E14" s="59" t="n">
        <f aca="false">IFERROR(INDEX(Correspondance!$D$2:$D$3000,MATCH(A14,Correspondance!$A$2:$A$3000,0)),0)</f>
        <v>7.5</v>
      </c>
      <c r="F14" s="60" t="n">
        <f aca="false">C14*E14</f>
        <v>6.65575916230366</v>
      </c>
      <c r="G14" s="61"/>
      <c r="I14" s="63"/>
    </row>
    <row r="15" customFormat="false" ht="15.75" hidden="false" customHeight="false" outlineLevel="0" collapsed="false">
      <c r="A15" s="57" t="s">
        <v>1919</v>
      </c>
      <c r="B15" s="57" t="n">
        <v>0.094</v>
      </c>
      <c r="C15" s="58" t="n">
        <f aca="false">B15/B$22*B$24</f>
        <v>0.147643979057592</v>
      </c>
      <c r="D15" s="57" t="s">
        <v>434</v>
      </c>
      <c r="E15" s="59" t="n">
        <f aca="false">IFERROR(INDEX(Correspondance!$D$2:$D$3000,MATCH(A15,Correspondance!$A$2:$A$3000,0)),0)</f>
        <v>2</v>
      </c>
      <c r="F15" s="60" t="n">
        <f aca="false">C15*E15</f>
        <v>0.295287958115183</v>
      </c>
      <c r="G15" s="61"/>
      <c r="I15" s="63"/>
    </row>
    <row r="16" customFormat="false" ht="15.75" hidden="false" customHeight="false" outlineLevel="0" collapsed="false">
      <c r="A16" s="57" t="s">
        <v>1796</v>
      </c>
      <c r="B16" s="57" t="n">
        <v>0.011</v>
      </c>
      <c r="C16" s="58" t="n">
        <f aca="false">B16/B$22*B$24</f>
        <v>0.0172774869109948</v>
      </c>
      <c r="D16" s="57" t="s">
        <v>434</v>
      </c>
      <c r="E16" s="59" t="n">
        <f aca="false">IFERROR(INDEX(Correspondance!$D$2:$D$3000,MATCH(A16,Correspondance!$A$2:$A$3000,0)),0)</f>
        <v>18</v>
      </c>
      <c r="F16" s="60" t="n">
        <f aca="false">C16*E16</f>
        <v>0.310994764397906</v>
      </c>
      <c r="G16" s="61"/>
      <c r="I16" s="63"/>
    </row>
    <row r="17" customFormat="false" ht="15.75" hidden="false" customHeight="false" outlineLevel="0" collapsed="false">
      <c r="A17" s="57" t="s">
        <v>1589</v>
      </c>
      <c r="B17" s="57"/>
      <c r="C17" s="58" t="n">
        <f aca="false">B17/B$22*B$24</f>
        <v>0</v>
      </c>
      <c r="D17" s="57" t="s">
        <v>434</v>
      </c>
      <c r="E17" s="59" t="n">
        <f aca="false">IFERROR(INDEX(Correspondance!$D$2:$D$3000,MATCH(A17,Correspondance!$A$2:$A$3000,0)),0)</f>
        <v>12</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155.321308900524</v>
      </c>
      <c r="G19" s="61"/>
      <c r="I19" s="63"/>
    </row>
    <row r="20" customFormat="false" ht="18.75" hidden="false" customHeight="true" outlineLevel="0" collapsed="false">
      <c r="A20" s="68" t="s">
        <v>2628</v>
      </c>
      <c r="B20" s="69" t="n">
        <f aca="false">F19/B24</f>
        <v>1.41201189909567</v>
      </c>
      <c r="C20" s="70"/>
      <c r="G20" s="61"/>
      <c r="I20" s="63"/>
    </row>
    <row r="21" customFormat="false" ht="15.75" hidden="false" customHeight="false" outlineLevel="0" collapsed="false">
      <c r="A21" s="71" t="s">
        <v>2629</v>
      </c>
      <c r="B21" s="71" t="n">
        <f aca="false">SUM(B3:B18)</f>
        <v>21.01</v>
      </c>
      <c r="C21" s="66"/>
      <c r="G21" s="61"/>
      <c r="I21" s="63"/>
    </row>
    <row r="22" customFormat="false" ht="15.75" hidden="false" customHeight="false" outlineLevel="0" collapsed="false">
      <c r="A22" s="0" t="s">
        <v>2630</v>
      </c>
      <c r="B22" s="72" t="n">
        <f aca="false">B21/B23</f>
        <v>70.0333333333333</v>
      </c>
      <c r="C22" s="66"/>
      <c r="G22" s="61"/>
      <c r="I22" s="63"/>
    </row>
    <row r="23" customFormat="false" ht="15.75" hidden="false" customHeight="false" outlineLevel="0" collapsed="false">
      <c r="A23" s="0" t="s">
        <v>2631</v>
      </c>
      <c r="B23" s="0" t="n">
        <v>0.3</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262</v>
      </c>
      <c r="B1" s="50"/>
      <c r="C1" s="50"/>
      <c r="D1" s="50"/>
      <c r="E1" s="51" t="s">
        <v>2619</v>
      </c>
      <c r="F1" s="51"/>
      <c r="G1" s="52" t="s">
        <v>2933</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1841</v>
      </c>
      <c r="B4" s="57" t="n">
        <v>8.99</v>
      </c>
      <c r="C4" s="58" t="n">
        <f aca="false">B4/B$22*B$24</f>
        <v>14.1264221213203</v>
      </c>
      <c r="D4" s="57" t="s">
        <v>434</v>
      </c>
      <c r="E4" s="59" t="n">
        <f aca="false">IFERROR(INDEX(Correspondance!$D$2:$D$3000,MATCH(A4,Correspondance!$A$2:$A$3000,0)),0)</f>
        <v>1.2</v>
      </c>
      <c r="F4" s="60" t="n">
        <f aca="false">C4*E4</f>
        <v>16.9517065455844</v>
      </c>
      <c r="G4" s="61" t="s">
        <v>2934</v>
      </c>
    </row>
    <row r="5" customFormat="false" ht="15.75" hidden="false" customHeight="false" outlineLevel="0" collapsed="false">
      <c r="A5" s="57" t="s">
        <v>566</v>
      </c>
      <c r="B5" s="57" t="n">
        <v>3.6</v>
      </c>
      <c r="C5" s="58" t="n">
        <f aca="false">B5/B$22*B$24</f>
        <v>5.6568542421305</v>
      </c>
      <c r="D5" s="57" t="s">
        <v>434</v>
      </c>
      <c r="E5" s="59" t="n">
        <f aca="false">IFERROR(INDEX(Correspondance!$D$2:$D$3000,MATCH(A5,Correspondance!$A$2:$A$3000,0)),0)</f>
        <v>6.5</v>
      </c>
      <c r="F5" s="60" t="n">
        <f aca="false">C5*E5</f>
        <v>36.7695525738483</v>
      </c>
      <c r="G5" s="61"/>
      <c r="I5" s="62"/>
    </row>
    <row r="6" customFormat="false" ht="15.75" hidden="false" customHeight="false" outlineLevel="0" collapsed="false">
      <c r="A6" s="57" t="s">
        <v>1971</v>
      </c>
      <c r="B6" s="57" t="n">
        <v>2.25</v>
      </c>
      <c r="C6" s="58" t="n">
        <f aca="false">B6/B$22*B$24</f>
        <v>3.53553390133157</v>
      </c>
      <c r="D6" s="57" t="s">
        <v>434</v>
      </c>
      <c r="E6" s="59" t="n">
        <f aca="false">IFERROR(INDEX(Correspondance!$D$2:$D$3000,MATCH(A6,Correspondance!$A$2:$A$3000,0)),0)</f>
        <v>9.5</v>
      </c>
      <c r="F6" s="60" t="n">
        <f aca="false">C6*E6</f>
        <v>33.5875720626499</v>
      </c>
      <c r="G6" s="61"/>
      <c r="I6" s="63"/>
    </row>
    <row r="7" customFormat="false" ht="15.75" hidden="false" customHeight="false" outlineLevel="0" collapsed="false">
      <c r="A7" s="57" t="s">
        <v>1001</v>
      </c>
      <c r="B7" s="57" t="n">
        <v>0.72</v>
      </c>
      <c r="C7" s="58" t="n">
        <f aca="false">B7/B$22*B$24</f>
        <v>1.1313708484261</v>
      </c>
      <c r="D7" s="57" t="s">
        <v>434</v>
      </c>
      <c r="E7" s="59" t="n">
        <f aca="false">IFERROR(INDEX(Correspondance!$D$2:$D$3000,MATCH(A7,Correspondance!$A$2:$A$3000,0)),0)</f>
        <v>1.8</v>
      </c>
      <c r="F7" s="60" t="n">
        <f aca="false">C7*E7</f>
        <v>2.03646752716698</v>
      </c>
      <c r="G7" s="61"/>
      <c r="I7" s="63"/>
    </row>
    <row r="8" customFormat="false" ht="15.75" hidden="false" customHeight="false" outlineLevel="0" collapsed="false">
      <c r="A8" s="57" t="s">
        <v>894</v>
      </c>
      <c r="B8" s="57" t="n">
        <v>0.045</v>
      </c>
      <c r="C8" s="58" t="n">
        <f aca="false">B8/B$22*B$24</f>
        <v>0.0707106780266313</v>
      </c>
      <c r="D8" s="57" t="s">
        <v>434</v>
      </c>
      <c r="E8" s="59" t="n">
        <f aca="false">IFERROR(INDEX(Correspondance!$D$2:$D$3000,MATCH(A8,Correspondance!$A$2:$A$3000,0)),0)</f>
        <v>5.5</v>
      </c>
      <c r="F8" s="60" t="n">
        <f aca="false">C8*E8</f>
        <v>0.388908729146472</v>
      </c>
      <c r="G8" s="61"/>
      <c r="I8" s="63"/>
    </row>
    <row r="9" customFormat="false" ht="15.75" hidden="false" customHeight="false" outlineLevel="0" collapsed="false">
      <c r="A9" s="57" t="s">
        <v>1007</v>
      </c>
      <c r="B9" s="57" t="n">
        <v>0.09</v>
      </c>
      <c r="C9" s="58" t="n">
        <f aca="false">B9/B$22*B$24</f>
        <v>0.141421356053263</v>
      </c>
      <c r="D9" s="57" t="s">
        <v>434</v>
      </c>
      <c r="E9" s="59" t="n">
        <f aca="false">IFERROR(INDEX(Correspondance!$D$2:$D$3000,MATCH(A9,Correspondance!$A$2:$A$3000,0)),0)</f>
        <v>8</v>
      </c>
      <c r="F9" s="60" t="n">
        <f aca="false">C9*E9</f>
        <v>1.1313708484261</v>
      </c>
      <c r="G9" s="61"/>
      <c r="I9" s="63"/>
    </row>
    <row r="10" customFormat="false" ht="15.75" hidden="false" customHeight="false" outlineLevel="0" collapsed="false">
      <c r="A10" s="57" t="s">
        <v>2000</v>
      </c>
      <c r="B10" s="57" t="n">
        <v>0.45</v>
      </c>
      <c r="C10" s="58" t="n">
        <f aca="false">B10/B$22*B$24</f>
        <v>0.707106780266313</v>
      </c>
      <c r="D10" s="57" t="s">
        <v>682</v>
      </c>
      <c r="E10" s="59" t="n">
        <f aca="false">IFERROR(INDEX(Correspondance!$D$2:$D$3000,MATCH(A10,Correspondance!$A$2:$A$3000,0)),0)</f>
        <v>3.8</v>
      </c>
      <c r="F10" s="60" t="n">
        <f aca="false">C10*E10</f>
        <v>2.68700576501199</v>
      </c>
      <c r="G10" s="61"/>
      <c r="I10" s="63"/>
    </row>
    <row r="11" customFormat="false" ht="15.75" hidden="false" customHeight="false" outlineLevel="0" collapsed="false">
      <c r="A11" s="57" t="s">
        <v>1070</v>
      </c>
      <c r="B11" s="57" t="n">
        <v>0.27</v>
      </c>
      <c r="C11" s="58" t="n">
        <f aca="false">B11/B$22*B$24</f>
        <v>0.424264068159788</v>
      </c>
      <c r="D11" s="57" t="s">
        <v>434</v>
      </c>
      <c r="E11" s="59" t="n">
        <f aca="false">IFERROR(INDEX(Correspondance!$D$2:$D$3000,MATCH(A11,Correspondance!$A$2:$A$3000,0)),0)</f>
        <v>2</v>
      </c>
      <c r="F11" s="60" t="n">
        <f aca="false">C11*E11</f>
        <v>0.848528136319576</v>
      </c>
      <c r="G11" s="61"/>
      <c r="I11" s="63"/>
    </row>
    <row r="12" customFormat="false" ht="18.75" hidden="false" customHeight="true" outlineLevel="0" collapsed="false">
      <c r="A12" s="57" t="s">
        <v>1098</v>
      </c>
      <c r="B12" s="64" t="n">
        <v>0.135</v>
      </c>
      <c r="C12" s="58" t="n">
        <f aca="false">B12/B$22*B$24</f>
        <v>0.212132034079894</v>
      </c>
      <c r="D12" s="57" t="s">
        <v>434</v>
      </c>
      <c r="E12" s="59" t="n">
        <f aca="false">IFERROR(INDEX(Correspondance!$D$2:$D$3000,MATCH(A12,Correspondance!$A$2:$A$3000,0)),0)</f>
        <v>12</v>
      </c>
      <c r="F12" s="60" t="n">
        <f aca="false">C12*E12</f>
        <v>2.54558440895873</v>
      </c>
      <c r="G12" s="61"/>
      <c r="I12" s="63"/>
    </row>
    <row r="13" customFormat="false" ht="18.75" hidden="false" customHeight="true" outlineLevel="0" collapsed="false">
      <c r="A13" s="57" t="s">
        <v>1459</v>
      </c>
      <c r="B13" s="64" t="n">
        <v>2.7</v>
      </c>
      <c r="C13" s="58" t="n">
        <f aca="false">B13/B$22*B$24</f>
        <v>4.24264068159788</v>
      </c>
      <c r="D13" s="57" t="s">
        <v>682</v>
      </c>
      <c r="E13" s="59" t="n">
        <f aca="false">IFERROR(INDEX(Correspondance!$D$2:$D$3000,MATCH(A13,Correspondance!$A$2:$A$3000,0)),0)</f>
        <v>0</v>
      </c>
      <c r="F13" s="60" t="n">
        <f aca="false">C13*E13</f>
        <v>0</v>
      </c>
      <c r="G13" s="61"/>
      <c r="I13" s="63"/>
    </row>
    <row r="14" customFormat="false" ht="15.75" hidden="false" customHeight="false" outlineLevel="0" collapsed="false">
      <c r="A14" s="57" t="s">
        <v>1197</v>
      </c>
      <c r="B14" s="57" t="n">
        <v>0.18</v>
      </c>
      <c r="C14" s="58" t="n">
        <f aca="false">B14/B$22*B$24</f>
        <v>0.282842712106525</v>
      </c>
      <c r="D14" s="57" t="s">
        <v>682</v>
      </c>
      <c r="E14" s="59" t="n">
        <f aca="false">IFERROR(INDEX(Correspondance!$D$2:$D$3000,MATCH(A14,Correspondance!$A$2:$A$3000,0)),0)</f>
        <v>2.6</v>
      </c>
      <c r="F14" s="60" t="n">
        <f aca="false">C14*E14</f>
        <v>0.735391051476966</v>
      </c>
      <c r="G14" s="61"/>
      <c r="I14" s="63"/>
    </row>
    <row r="15" customFormat="false" ht="15.75" hidden="false" customHeight="false" outlineLevel="0" collapsed="false">
      <c r="A15" s="57" t="s">
        <v>1919</v>
      </c>
      <c r="B15" s="57" t="n">
        <v>0.072</v>
      </c>
      <c r="C15" s="58" t="n">
        <f aca="false">B15/B$22*B$24</f>
        <v>0.11313708484261</v>
      </c>
      <c r="D15" s="57" t="s">
        <v>434</v>
      </c>
      <c r="E15" s="59" t="n">
        <f aca="false">IFERROR(INDEX(Correspondance!$D$2:$D$3000,MATCH(A15,Correspondance!$A$2:$A$3000,0)),0)</f>
        <v>2</v>
      </c>
      <c r="F15" s="60" t="n">
        <f aca="false">C15*E15</f>
        <v>0.22627416968522</v>
      </c>
      <c r="G15" s="61"/>
      <c r="I15" s="63"/>
    </row>
    <row r="16" customFormat="false" ht="15.75" hidden="false" customHeight="false" outlineLevel="0" collapsed="false">
      <c r="A16" s="57" t="s">
        <v>1796</v>
      </c>
      <c r="B16" s="57" t="n">
        <v>0.009</v>
      </c>
      <c r="C16" s="58" t="n">
        <f aca="false">B16/B$22*B$24</f>
        <v>0.0141421356053263</v>
      </c>
      <c r="D16" s="57" t="s">
        <v>434</v>
      </c>
      <c r="E16" s="59" t="n">
        <f aca="false">IFERROR(INDEX(Correspondance!$D$2:$D$3000,MATCH(A16,Correspondance!$A$2:$A$3000,0)),0)</f>
        <v>18</v>
      </c>
      <c r="F16" s="60" t="n">
        <f aca="false">C16*E16</f>
        <v>0.254558440895873</v>
      </c>
      <c r="G16" s="61"/>
      <c r="I16" s="63"/>
    </row>
    <row r="17" customFormat="false" ht="15.75" hidden="false" customHeight="false" outlineLevel="0" collapsed="false">
      <c r="A17" s="57" t="s">
        <v>1948</v>
      </c>
      <c r="B17" s="57"/>
      <c r="C17" s="58" t="n">
        <f aca="false">B17/B$22*B$24</f>
        <v>0</v>
      </c>
      <c r="D17" s="57" t="s">
        <v>434</v>
      </c>
      <c r="E17" s="59" t="n">
        <f aca="false">IFERROR(INDEX(Correspondance!$D$2:$D$3000,MATCH(A17,Correspondance!$A$2:$A$3000,0)),0)</f>
        <v>16</v>
      </c>
      <c r="F17" s="60" t="n">
        <f aca="false">C17*E17</f>
        <v>0</v>
      </c>
      <c r="G17" s="61"/>
      <c r="I17" s="63"/>
    </row>
    <row r="18" customFormat="false" ht="15.75" hidden="false" customHeight="false" outlineLevel="0" collapsed="false">
      <c r="A18" s="57" t="s">
        <v>1675</v>
      </c>
      <c r="B18" s="57" t="n">
        <v>0.09</v>
      </c>
      <c r="C18" s="58" t="n">
        <f aca="false">B18/B$22*B$24</f>
        <v>0.141421356053263</v>
      </c>
      <c r="D18" s="57" t="s">
        <v>682</v>
      </c>
      <c r="E18" s="59" t="n">
        <f aca="false">IFERROR(INDEX(Correspondance!$D$2:$D$3000,MATCH(A18,Correspondance!$A$2:$A$3000,0)),0)</f>
        <v>2.2</v>
      </c>
      <c r="F18" s="60" t="n">
        <f aca="false">C18*E18</f>
        <v>0.311126983317178</v>
      </c>
      <c r="G18" s="61"/>
      <c r="I18" s="63"/>
    </row>
    <row r="19" customFormat="false" ht="15.75" hidden="false" customHeight="false" outlineLevel="0" collapsed="false">
      <c r="C19" s="66"/>
      <c r="F19" s="67" t="n">
        <f aca="false">SUM(F4:F18)</f>
        <v>98.4740472424876</v>
      </c>
      <c r="G19" s="61"/>
      <c r="I19" s="63"/>
    </row>
    <row r="20" customFormat="false" ht="18.75" hidden="false" customHeight="true" outlineLevel="0" collapsed="false">
      <c r="A20" s="68" t="s">
        <v>2628</v>
      </c>
      <c r="B20" s="69" t="n">
        <f aca="false">F19/B24</f>
        <v>0.895218611295342</v>
      </c>
      <c r="C20" s="70"/>
      <c r="G20" s="61"/>
      <c r="I20" s="63"/>
    </row>
    <row r="21" customFormat="false" ht="15.75" hidden="false" customHeight="false" outlineLevel="0" collapsed="false">
      <c r="A21" s="71" t="s">
        <v>2629</v>
      </c>
      <c r="B21" s="71" t="n">
        <f aca="false">SUM(B3:B18)</f>
        <v>19.601</v>
      </c>
      <c r="C21" s="66"/>
      <c r="G21" s="61"/>
      <c r="I21" s="63"/>
    </row>
    <row r="22" customFormat="false" ht="15.75" hidden="false" customHeight="false" outlineLevel="0" collapsed="false">
      <c r="A22" s="0" t="s">
        <v>2630</v>
      </c>
      <c r="B22" s="72" t="n">
        <f aca="false">B21/B23</f>
        <v>70.0035714285714</v>
      </c>
      <c r="C22" s="66"/>
      <c r="G22" s="61"/>
      <c r="I22" s="63"/>
    </row>
    <row r="23" customFormat="false" ht="15.75" hidden="false" customHeight="false" outlineLevel="0" collapsed="false">
      <c r="A23" s="0" t="s">
        <v>2631</v>
      </c>
      <c r="B23" s="0" t="n">
        <v>0.28</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263</v>
      </c>
      <c r="B1" s="50"/>
      <c r="C1" s="50"/>
      <c r="D1" s="50"/>
      <c r="E1" s="51" t="s">
        <v>2619</v>
      </c>
      <c r="F1" s="51"/>
      <c r="G1" s="52" t="s">
        <v>2935</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1503</v>
      </c>
      <c r="B4" s="57" t="n">
        <v>8.31</v>
      </c>
      <c r="C4" s="58" t="n">
        <f aca="false">B4/B$22*B$24</f>
        <v>13.0568757304246</v>
      </c>
      <c r="D4" s="57" t="s">
        <v>434</v>
      </c>
      <c r="E4" s="59" t="n">
        <f aca="false">IFERROR(INDEX(Correspondance!$D$2:$D$3000,MATCH(A4,Correspondance!$A$2:$A$3000,0)),0)</f>
        <v>7</v>
      </c>
      <c r="F4" s="60" t="n">
        <f aca="false">C4*E4</f>
        <v>91.3981301129723</v>
      </c>
      <c r="G4" s="61" t="s">
        <v>2936</v>
      </c>
    </row>
    <row r="5" customFormat="false" ht="15.75" hidden="false" customHeight="false" outlineLevel="0" collapsed="false">
      <c r="A5" s="57" t="s">
        <v>1844</v>
      </c>
      <c r="B5" s="57" t="n">
        <v>4.99</v>
      </c>
      <c r="C5" s="58" t="n">
        <f aca="false">B5/B$22*B$24</f>
        <v>7.84041033631996</v>
      </c>
      <c r="D5" s="57" t="s">
        <v>434</v>
      </c>
      <c r="E5" s="59" t="n">
        <f aca="false">IFERROR(INDEX(Correspondance!$D$2:$D$3000,MATCH(A5,Correspondance!$A$2:$A$3000,0)),0)</f>
        <v>1.7</v>
      </c>
      <c r="F5" s="60" t="n">
        <f aca="false">C5*E5</f>
        <v>13.3286975717439</v>
      </c>
      <c r="G5" s="61"/>
      <c r="I5" s="62"/>
    </row>
    <row r="6" customFormat="false" ht="15.75" hidden="false" customHeight="false" outlineLevel="0" collapsed="false">
      <c r="A6" s="57" t="s">
        <v>1003</v>
      </c>
      <c r="B6" s="57" t="n">
        <v>0.831</v>
      </c>
      <c r="C6" s="58" t="n">
        <f aca="false">B6/B$22*B$24</f>
        <v>1.30568757304246</v>
      </c>
      <c r="D6" s="57" t="s">
        <v>434</v>
      </c>
      <c r="E6" s="59" t="n">
        <f aca="false">IFERROR(INDEX(Correspondance!$D$2:$D$3000,MATCH(A6,Correspondance!$A$2:$A$3000,0)),0)</f>
        <v>1.9</v>
      </c>
      <c r="F6" s="60" t="n">
        <f aca="false">C6*E6</f>
        <v>2.48080638878068</v>
      </c>
      <c r="G6" s="61"/>
      <c r="I6" s="63"/>
    </row>
    <row r="7" customFormat="false" ht="15.75" hidden="false" customHeight="false" outlineLevel="0" collapsed="false">
      <c r="A7" s="57" t="s">
        <v>1491</v>
      </c>
      <c r="B7" s="57" t="n">
        <v>0.249</v>
      </c>
      <c r="C7" s="58" t="n">
        <f aca="false">B7/B$22*B$24</f>
        <v>0.39123490455785</v>
      </c>
      <c r="D7" s="57" t="s">
        <v>434</v>
      </c>
      <c r="E7" s="59" t="n">
        <f aca="false">IFERROR(INDEX(Correspondance!$D$2:$D$3000,MATCH(A7,Correspondance!$A$2:$A$3000,0)),0)</f>
        <v>9</v>
      </c>
      <c r="F7" s="60" t="n">
        <f aca="false">C7*E7</f>
        <v>3.52111414102065</v>
      </c>
      <c r="G7" s="61"/>
      <c r="I7" s="63"/>
    </row>
    <row r="8" customFormat="false" ht="15.75" hidden="false" customHeight="false" outlineLevel="0" collapsed="false">
      <c r="A8" s="57" t="s">
        <v>1937</v>
      </c>
      <c r="B8" s="57" t="n">
        <v>0.083</v>
      </c>
      <c r="C8" s="58" t="n">
        <f aca="false">B8/B$22*B$24</f>
        <v>0.130411634852617</v>
      </c>
      <c r="D8" s="57" t="s">
        <v>434</v>
      </c>
      <c r="E8" s="59" t="n">
        <f aca="false">IFERROR(INDEX(Correspondance!$D$2:$D$3000,MATCH(A8,Correspondance!$A$2:$A$3000,0)),0)</f>
        <v>1.3</v>
      </c>
      <c r="F8" s="60" t="n">
        <f aca="false">C8*E8</f>
        <v>0.169535125308402</v>
      </c>
      <c r="G8" s="61"/>
      <c r="I8" s="63"/>
    </row>
    <row r="9" customFormat="false" ht="15.75" hidden="false" customHeight="false" outlineLevel="0" collapsed="false">
      <c r="A9" s="57" t="s">
        <v>1545</v>
      </c>
      <c r="B9" s="57" t="n">
        <v>0.831</v>
      </c>
      <c r="C9" s="58" t="n">
        <f aca="false">B9/B$22*B$24</f>
        <v>1.30568757304246</v>
      </c>
      <c r="D9" s="57" t="s">
        <v>682</v>
      </c>
      <c r="E9" s="59" t="n">
        <f aca="false">IFERROR(INDEX(Correspondance!$D$2:$D$3000,MATCH(A9,Correspondance!$A$2:$A$3000,0)),0)</f>
        <v>2.5</v>
      </c>
      <c r="F9" s="60" t="n">
        <f aca="false">C9*E9</f>
        <v>3.26421893260616</v>
      </c>
      <c r="G9" s="61"/>
      <c r="I9" s="63"/>
    </row>
    <row r="10" customFormat="false" ht="15.75" hidden="false" customHeight="false" outlineLevel="0" collapsed="false">
      <c r="A10" s="57" t="s">
        <v>1919</v>
      </c>
      <c r="B10" s="57" t="n">
        <v>0.025</v>
      </c>
      <c r="C10" s="58" t="n">
        <f aca="false">B10/B$22*B$24</f>
        <v>0.0392806129074146</v>
      </c>
      <c r="D10" s="57" t="s">
        <v>434</v>
      </c>
      <c r="E10" s="59" t="n">
        <f aca="false">IFERROR(INDEX(Correspondance!$D$2:$D$3000,MATCH(A10,Correspondance!$A$2:$A$3000,0)),0)</f>
        <v>2</v>
      </c>
      <c r="F10" s="60" t="n">
        <f aca="false">C10*E10</f>
        <v>0.0785612258148292</v>
      </c>
      <c r="G10" s="61"/>
      <c r="I10" s="63"/>
    </row>
    <row r="11" customFormat="false" ht="15.75" hidden="false" customHeight="false" outlineLevel="0" collapsed="false">
      <c r="A11" s="57" t="s">
        <v>1814</v>
      </c>
      <c r="B11" s="57"/>
      <c r="C11" s="58" t="n">
        <f aca="false">B11/B$22*B$24</f>
        <v>0</v>
      </c>
      <c r="D11" s="57" t="s">
        <v>434</v>
      </c>
      <c r="E11" s="59" t="n">
        <f aca="false">IFERROR(INDEX(Correspondance!$D$2:$D$3000,MATCH(A11,Correspondance!$A$2:$A$3000,0)),0)</f>
        <v>18</v>
      </c>
      <c r="F11" s="60" t="n">
        <f aca="false">C11*E11</f>
        <v>0</v>
      </c>
      <c r="G11" s="61"/>
      <c r="I11" s="63"/>
    </row>
    <row r="12" customFormat="false" ht="18.75" hidden="false" customHeight="true" outlineLevel="0" collapsed="false">
      <c r="A12" s="57" t="s">
        <v>1521</v>
      </c>
      <c r="B12" s="64"/>
      <c r="C12" s="58" t="n">
        <f aca="false">B12/B$22*B$24</f>
        <v>0</v>
      </c>
      <c r="D12" s="57" t="s">
        <v>434</v>
      </c>
      <c r="E12" s="59" t="n">
        <f aca="false">IFERROR(INDEX(Correspondance!$D$2:$D$3000,MATCH(A12,Correspondance!$A$2:$A$3000,0)),0)</f>
        <v>12</v>
      </c>
      <c r="F12" s="60" t="n">
        <f aca="false">C12*E12</f>
        <v>0</v>
      </c>
      <c r="G12" s="61"/>
      <c r="I12" s="63"/>
    </row>
    <row r="13" customFormat="false" ht="18.75" hidden="false" customHeight="true" outlineLevel="0" collapsed="false">
      <c r="A13" s="57" t="s">
        <v>1675</v>
      </c>
      <c r="B13" s="64" t="n">
        <v>0.083</v>
      </c>
      <c r="C13" s="58" t="n">
        <f aca="false">B13/B$22*B$24</f>
        <v>0.130411634852617</v>
      </c>
      <c r="D13" s="57" t="s">
        <v>682</v>
      </c>
      <c r="E13" s="59" t="n">
        <f aca="false">IFERROR(INDEX(Correspondance!$D$2:$D$3000,MATCH(A13,Correspondance!$A$2:$A$3000,0)),0)</f>
        <v>2.2</v>
      </c>
      <c r="F13" s="60" t="n">
        <f aca="false">C13*E13</f>
        <v>0.286905596675756</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114.527969094923</v>
      </c>
      <c r="G19" s="61"/>
      <c r="I19" s="63"/>
    </row>
    <row r="20" customFormat="false" ht="18.75" hidden="false" customHeight="true" outlineLevel="0" collapsed="false">
      <c r="A20" s="68" t="s">
        <v>2628</v>
      </c>
      <c r="B20" s="69" t="n">
        <f aca="false">F19/B24</f>
        <v>1.04116335540839</v>
      </c>
      <c r="C20" s="70"/>
      <c r="G20" s="61"/>
      <c r="I20" s="63"/>
    </row>
    <row r="21" customFormat="false" ht="15.75" hidden="false" customHeight="false" outlineLevel="0" collapsed="false">
      <c r="A21" s="71" t="s">
        <v>2629</v>
      </c>
      <c r="B21" s="71" t="n">
        <f aca="false">SUM(B3:B18)</f>
        <v>15.402</v>
      </c>
      <c r="C21" s="66"/>
      <c r="G21" s="61"/>
      <c r="I21" s="63"/>
    </row>
    <row r="22" customFormat="false" ht="15.75" hidden="false" customHeight="false" outlineLevel="0" collapsed="false">
      <c r="A22" s="0" t="s">
        <v>2630</v>
      </c>
      <c r="B22" s="72" t="n">
        <f aca="false">B21/B23</f>
        <v>70.0090909090909</v>
      </c>
      <c r="C22" s="66"/>
      <c r="G22" s="61"/>
      <c r="I22" s="63"/>
    </row>
    <row r="23" customFormat="false" ht="15.75" hidden="false" customHeight="false" outlineLevel="0" collapsed="false">
      <c r="A23" s="0" t="s">
        <v>2631</v>
      </c>
      <c r="B23" s="0" t="n">
        <v>0.22</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264</v>
      </c>
      <c r="B1" s="50"/>
      <c r="C1" s="50"/>
      <c r="D1" s="50"/>
      <c r="E1" s="51" t="s">
        <v>2619</v>
      </c>
      <c r="F1" s="51"/>
      <c r="G1" s="52" t="s">
        <v>2937</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1502</v>
      </c>
      <c r="B4" s="57" t="n">
        <v>8.41</v>
      </c>
      <c r="C4" s="58" t="n">
        <f aca="false">B4/B$22*B$24</f>
        <v>13.2261062263207</v>
      </c>
      <c r="D4" s="57" t="s">
        <v>434</v>
      </c>
      <c r="E4" s="59" t="n">
        <f aca="false">IFERROR(INDEX(Correspondance!$D$2:$D$3000,MATCH(A4,Correspondance!$A$2:$A$3000,0)),0)</f>
        <v>8.5</v>
      </c>
      <c r="F4" s="60" t="n">
        <f aca="false">C4*E4</f>
        <v>112.421902923726</v>
      </c>
      <c r="G4" s="61" t="s">
        <v>2938</v>
      </c>
    </row>
    <row r="5" customFormat="false" ht="15.75" hidden="false" customHeight="false" outlineLevel="0" collapsed="false">
      <c r="A5" s="57" t="s">
        <v>1139</v>
      </c>
      <c r="B5" s="57" t="n">
        <v>0.252</v>
      </c>
      <c r="C5" s="58" t="n">
        <f aca="false">B5/B$22*B$24</f>
        <v>0.396311387518765</v>
      </c>
      <c r="D5" s="57" t="s">
        <v>434</v>
      </c>
      <c r="E5" s="59" t="n">
        <f aca="false">IFERROR(INDEX(Correspondance!$D$2:$D$3000,MATCH(A5,Correspondance!$A$2:$A$3000,0)),0)</f>
        <v>180</v>
      </c>
      <c r="F5" s="60" t="n">
        <f aca="false">C5*E5</f>
        <v>71.3360497533777</v>
      </c>
      <c r="G5" s="61"/>
      <c r="I5" s="62"/>
    </row>
    <row r="6" customFormat="false" ht="15.75" hidden="false" customHeight="false" outlineLevel="0" collapsed="false">
      <c r="A6" s="57" t="s">
        <v>921</v>
      </c>
      <c r="B6" s="57" t="n">
        <v>1.26</v>
      </c>
      <c r="C6" s="58" t="n">
        <f aca="false">B6/B$22*B$24</f>
        <v>1.98155693759382</v>
      </c>
      <c r="D6" s="57" t="s">
        <v>434</v>
      </c>
      <c r="E6" s="59" t="n">
        <f aca="false">IFERROR(INDEX(Correspondance!$D$2:$D$3000,MATCH(A6,Correspondance!$A$2:$A$3000,0)),0)</f>
        <v>3.8</v>
      </c>
      <c r="F6" s="60" t="n">
        <f aca="false">C6*E6</f>
        <v>7.52991636285653</v>
      </c>
      <c r="G6" s="61"/>
      <c r="I6" s="63"/>
    </row>
    <row r="7" customFormat="false" ht="15.75" hidden="false" customHeight="false" outlineLevel="0" collapsed="false">
      <c r="A7" s="57" t="s">
        <v>947</v>
      </c>
      <c r="B7" s="57" t="n">
        <v>0.252</v>
      </c>
      <c r="C7" s="58" t="n">
        <f aca="false">B7/B$22*B$24</f>
        <v>0.396311387518765</v>
      </c>
      <c r="D7" s="57" t="s">
        <v>434</v>
      </c>
      <c r="E7" s="59" t="n">
        <f aca="false">IFERROR(INDEX(Correspondance!$D$2:$D$3000,MATCH(A7,Correspondance!$A$2:$A$3000,0)),0)</f>
        <v>4.5</v>
      </c>
      <c r="F7" s="60" t="n">
        <f aca="false">C7*E7</f>
        <v>1.78340124383444</v>
      </c>
      <c r="G7" s="61"/>
      <c r="I7" s="63"/>
    </row>
    <row r="8" customFormat="false" ht="15.75" hidden="false" customHeight="false" outlineLevel="0" collapsed="false">
      <c r="A8" s="57" t="s">
        <v>1973</v>
      </c>
      <c r="B8" s="57" t="n">
        <v>0.421</v>
      </c>
      <c r="C8" s="58" t="n">
        <f aca="false">B8/B$22*B$24</f>
        <v>0.662091643434127</v>
      </c>
      <c r="D8" s="57" t="s">
        <v>682</v>
      </c>
      <c r="E8" s="59" t="n">
        <f aca="false">IFERROR(INDEX(Correspondance!$D$2:$D$3000,MATCH(A8,Correspondance!$A$2:$A$3000,0)),0)</f>
        <v>2</v>
      </c>
      <c r="F8" s="60" t="n">
        <f aca="false">C8*E8</f>
        <v>1.32418328686825</v>
      </c>
      <c r="G8" s="61"/>
      <c r="I8" s="63"/>
    </row>
    <row r="9" customFormat="false" ht="15.75" hidden="false" customHeight="false" outlineLevel="0" collapsed="false">
      <c r="A9" s="57" t="s">
        <v>1576</v>
      </c>
      <c r="B9" s="57" t="n">
        <v>1.68</v>
      </c>
      <c r="C9" s="58" t="n">
        <f aca="false">B9/B$22*B$24</f>
        <v>2.64207591679177</v>
      </c>
      <c r="D9" s="57" t="s">
        <v>682</v>
      </c>
      <c r="E9" s="59" t="n">
        <f aca="false">IFERROR(INDEX(Correspondance!$D$2:$D$3000,MATCH(A9,Correspondance!$A$2:$A$3000,0)),0)</f>
        <v>5.5</v>
      </c>
      <c r="F9" s="60" t="n">
        <f aca="false">C9*E9</f>
        <v>14.5314175423547</v>
      </c>
      <c r="G9" s="61"/>
      <c r="I9" s="63"/>
    </row>
    <row r="10" customFormat="false" ht="15.75" hidden="false" customHeight="false" outlineLevel="0" collapsed="false">
      <c r="A10" s="57" t="s">
        <v>1100</v>
      </c>
      <c r="B10" s="57" t="n">
        <v>0.084</v>
      </c>
      <c r="C10" s="58" t="n">
        <f aca="false">B10/B$22*B$24</f>
        <v>0.132103795839588</v>
      </c>
      <c r="D10" s="57" t="s">
        <v>434</v>
      </c>
      <c r="E10" s="59" t="n">
        <f aca="false">IFERROR(INDEX(Correspondance!$D$2:$D$3000,MATCH(A10,Correspondance!$A$2:$A$3000,0)),0)</f>
        <v>10</v>
      </c>
      <c r="F10" s="60" t="n">
        <f aca="false">C10*E10</f>
        <v>1.32103795839588</v>
      </c>
      <c r="G10" s="61"/>
      <c r="I10" s="63"/>
    </row>
    <row r="11" customFormat="false" ht="15.75" hidden="false" customHeight="false" outlineLevel="0" collapsed="false">
      <c r="A11" s="57" t="s">
        <v>1459</v>
      </c>
      <c r="B11" s="57" t="n">
        <v>1.26</v>
      </c>
      <c r="C11" s="58" t="n">
        <f aca="false">B11/B$22*B$24</f>
        <v>1.98155693759382</v>
      </c>
      <c r="D11" s="57" t="s">
        <v>682</v>
      </c>
      <c r="E11" s="59" t="n">
        <f aca="false">IFERROR(INDEX(Correspondance!$D$2:$D$3000,MATCH(A11,Correspondance!$A$2:$A$3000,0)),0)</f>
        <v>0</v>
      </c>
      <c r="F11" s="60" t="n">
        <f aca="false">C11*E11</f>
        <v>0</v>
      </c>
      <c r="G11" s="61"/>
      <c r="I11" s="63"/>
    </row>
    <row r="12" customFormat="false" ht="18.75" hidden="false" customHeight="true" outlineLevel="0" collapsed="false">
      <c r="A12" s="57" t="s">
        <v>1084</v>
      </c>
      <c r="B12" s="64" t="n">
        <v>0.084</v>
      </c>
      <c r="C12" s="58" t="n">
        <f aca="false">B12/B$22*B$24</f>
        <v>0.132103795839588</v>
      </c>
      <c r="D12" s="57" t="s">
        <v>434</v>
      </c>
      <c r="E12" s="59" t="n">
        <f aca="false">IFERROR(INDEX(Correspondance!$D$2:$D$3000,MATCH(A12,Correspondance!$A$2:$A$3000,0)),0)</f>
        <v>2.2</v>
      </c>
      <c r="F12" s="60" t="n">
        <f aca="false">C12*E12</f>
        <v>0.290628350847094</v>
      </c>
      <c r="G12" s="61"/>
      <c r="I12" s="63"/>
    </row>
    <row r="13" customFormat="false" ht="18.75" hidden="false" customHeight="true" outlineLevel="0" collapsed="false">
      <c r="A13" s="57" t="s">
        <v>1491</v>
      </c>
      <c r="B13" s="64" t="n">
        <v>0.168</v>
      </c>
      <c r="C13" s="58" t="n">
        <f aca="false">B13/B$22*B$24</f>
        <v>0.264207591679177</v>
      </c>
      <c r="D13" s="57" t="s">
        <v>434</v>
      </c>
      <c r="E13" s="59" t="n">
        <f aca="false">IFERROR(INDEX(Correspondance!$D$2:$D$3000,MATCH(A13,Correspondance!$A$2:$A$3000,0)),0)</f>
        <v>9</v>
      </c>
      <c r="F13" s="60" t="n">
        <f aca="false">C13*E13</f>
        <v>2.37786832511259</v>
      </c>
      <c r="G13" s="61"/>
      <c r="I13" s="63"/>
    </row>
    <row r="14" customFormat="false" ht="15.75" hidden="false" customHeight="false" outlineLevel="0" collapsed="false">
      <c r="A14" s="57" t="s">
        <v>1919</v>
      </c>
      <c r="B14" s="57" t="n">
        <v>0.034</v>
      </c>
      <c r="C14" s="58" t="n">
        <f aca="false">B14/B$22*B$24</f>
        <v>0.0534705840303095</v>
      </c>
      <c r="D14" s="57" t="s">
        <v>434</v>
      </c>
      <c r="E14" s="59" t="n">
        <f aca="false">IFERROR(INDEX(Correspondance!$D$2:$D$3000,MATCH(A14,Correspondance!$A$2:$A$3000,0)),0)</f>
        <v>2</v>
      </c>
      <c r="F14" s="60" t="n">
        <f aca="false">C14*E14</f>
        <v>0.106941168060619</v>
      </c>
      <c r="G14" s="61"/>
      <c r="I14" s="63"/>
    </row>
    <row r="15" customFormat="false" ht="15.75" hidden="false" customHeight="false" outlineLevel="0" collapsed="false">
      <c r="A15" s="57" t="s">
        <v>1814</v>
      </c>
      <c r="B15" s="57"/>
      <c r="C15" s="58" t="n">
        <f aca="false">B15/B$22*B$24</f>
        <v>0</v>
      </c>
      <c r="D15" s="57" t="s">
        <v>434</v>
      </c>
      <c r="E15" s="59" t="n">
        <f aca="false">IFERROR(INDEX(Correspondance!$D$2:$D$3000,MATCH(A15,Correspondance!$A$2:$A$3000,0)),0)</f>
        <v>18</v>
      </c>
      <c r="F15" s="60" t="n">
        <f aca="false">C15*E15</f>
        <v>0</v>
      </c>
      <c r="G15" s="61"/>
      <c r="I15" s="63"/>
    </row>
    <row r="16" customFormat="false" ht="15.75" hidden="false" customHeight="false" outlineLevel="0" collapsed="false">
      <c r="A16" s="57" t="s">
        <v>1675</v>
      </c>
      <c r="B16" s="57" t="n">
        <v>0.084</v>
      </c>
      <c r="C16" s="58" t="n">
        <f aca="false">B16/B$22*B$24</f>
        <v>0.132103795839588</v>
      </c>
      <c r="D16" s="57" t="s">
        <v>682</v>
      </c>
      <c r="E16" s="59" t="n">
        <f aca="false">IFERROR(INDEX(Correspondance!$D$2:$D$3000,MATCH(A16,Correspondance!$A$2:$A$3000,0)),0)</f>
        <v>2.2</v>
      </c>
      <c r="F16" s="60" t="n">
        <f aca="false">C16*E16</f>
        <v>0.290628350847094</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213.313975266281</v>
      </c>
      <c r="G19" s="61"/>
      <c r="I19" s="63"/>
    </row>
    <row r="20" customFormat="false" ht="18.75" hidden="false" customHeight="true" outlineLevel="0" collapsed="false">
      <c r="A20" s="68" t="s">
        <v>2628</v>
      </c>
      <c r="B20" s="69" t="n">
        <f aca="false">F19/B24</f>
        <v>1.93921795696619</v>
      </c>
      <c r="C20" s="70"/>
      <c r="G20" s="61"/>
      <c r="I20" s="63"/>
    </row>
    <row r="21" customFormat="false" ht="15.75" hidden="false" customHeight="false" outlineLevel="0" collapsed="false">
      <c r="A21" s="71" t="s">
        <v>2629</v>
      </c>
      <c r="B21" s="71" t="n">
        <f aca="false">SUM(B3:B18)</f>
        <v>13.989</v>
      </c>
      <c r="C21" s="66"/>
      <c r="G21" s="61"/>
      <c r="I21" s="63"/>
    </row>
    <row r="22" customFormat="false" ht="15.75" hidden="false" customHeight="false" outlineLevel="0" collapsed="false">
      <c r="A22" s="0" t="s">
        <v>2630</v>
      </c>
      <c r="B22" s="72" t="n">
        <f aca="false">B21/B23</f>
        <v>69.945</v>
      </c>
      <c r="C22" s="66"/>
      <c r="G22" s="61"/>
      <c r="I22" s="63"/>
    </row>
    <row r="23" customFormat="false" ht="15.75" hidden="false" customHeight="false" outlineLevel="0" collapsed="false">
      <c r="A23" s="0" t="s">
        <v>2631</v>
      </c>
      <c r="B23" s="0" t="n">
        <v>0.2</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266</v>
      </c>
      <c r="B1" s="50"/>
      <c r="C1" s="50"/>
      <c r="D1" s="50"/>
      <c r="E1" s="51" t="s">
        <v>2619</v>
      </c>
      <c r="F1" s="51"/>
      <c r="G1" s="52" t="s">
        <v>2861</v>
      </c>
    </row>
    <row r="2" customFormat="false" ht="24.75" hidden="false" customHeight="true" outlineLevel="0" collapsed="false">
      <c r="A2" s="50"/>
      <c r="B2" s="50"/>
      <c r="C2" s="50"/>
      <c r="D2" s="50"/>
      <c r="E2" s="53" t="s">
        <v>2636</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1911</v>
      </c>
      <c r="B4" s="57" t="n">
        <v>4.25</v>
      </c>
      <c r="C4" s="58" t="n">
        <f aca="false">B4/B$22*B$24</f>
        <v>6.6807738814994</v>
      </c>
      <c r="D4" s="57" t="s">
        <v>434</v>
      </c>
      <c r="E4" s="59" t="n">
        <f aca="false">IFERROR(INDEX(Correspondance!$D$2:$D$3000,MATCH(A4,Correspondance!$A$2:$A$3000,0)),0)</f>
        <v>11</v>
      </c>
      <c r="F4" s="60" t="n">
        <f aca="false">C4*E4</f>
        <v>73.4885126964933</v>
      </c>
      <c r="G4" s="61" t="s">
        <v>2939</v>
      </c>
    </row>
    <row r="5" customFormat="false" ht="15.75" hidden="false" customHeight="false" outlineLevel="0" collapsed="false">
      <c r="A5" s="57" t="s">
        <v>1977</v>
      </c>
      <c r="B5" s="57" t="n">
        <v>1.7</v>
      </c>
      <c r="C5" s="58" t="n">
        <f aca="false">B5/B$22*B$24</f>
        <v>2.67230955259976</v>
      </c>
      <c r="D5" s="57" t="s">
        <v>682</v>
      </c>
      <c r="E5" s="59" t="n">
        <f aca="false">IFERROR(INDEX(Correspondance!$D$2:$D$3000,MATCH(A5,Correspondance!$A$2:$A$3000,0)),0)</f>
        <v>2</v>
      </c>
      <c r="F5" s="60" t="n">
        <f aca="false">C5*E5</f>
        <v>5.34461910519952</v>
      </c>
      <c r="G5" s="61"/>
      <c r="I5" s="62"/>
    </row>
    <row r="6" customFormat="false" ht="15.75" hidden="false" customHeight="false" outlineLevel="0" collapsed="false">
      <c r="A6" s="57" t="s">
        <v>1459</v>
      </c>
      <c r="B6" s="57" t="n">
        <v>1.28</v>
      </c>
      <c r="C6" s="58" t="n">
        <f aca="false">B6/B$22*B$24</f>
        <v>2.01209189842805</v>
      </c>
      <c r="D6" s="57" t="s">
        <v>682</v>
      </c>
      <c r="E6" s="59" t="n">
        <f aca="false">IFERROR(INDEX(Correspondance!$D$2:$D$3000,MATCH(A6,Correspondance!$A$2:$A$3000,0)),0)</f>
        <v>0</v>
      </c>
      <c r="F6" s="60" t="n">
        <f aca="false">C6*E6</f>
        <v>0</v>
      </c>
      <c r="G6" s="61"/>
      <c r="I6" s="63"/>
    </row>
    <row r="7" customFormat="false" ht="15.75" hidden="false" customHeight="false" outlineLevel="0" collapsed="false">
      <c r="A7" s="57" t="s">
        <v>1001</v>
      </c>
      <c r="B7" s="57" t="n">
        <v>0.425</v>
      </c>
      <c r="C7" s="58" t="n">
        <f aca="false">B7/B$22*B$24</f>
        <v>0.668077388149939</v>
      </c>
      <c r="D7" s="57" t="s">
        <v>434</v>
      </c>
      <c r="E7" s="59" t="n">
        <f aca="false">IFERROR(INDEX(Correspondance!$D$2:$D$3000,MATCH(A7,Correspondance!$A$2:$A$3000,0)),0)</f>
        <v>1.8</v>
      </c>
      <c r="F7" s="60" t="n">
        <f aca="false">C7*E7</f>
        <v>1.20253929866989</v>
      </c>
      <c r="G7" s="61"/>
      <c r="I7" s="63"/>
    </row>
    <row r="8" customFormat="false" ht="15.75" hidden="false" customHeight="false" outlineLevel="0" collapsed="false">
      <c r="A8" s="57" t="s">
        <v>917</v>
      </c>
      <c r="B8" s="57" t="n">
        <v>0.425</v>
      </c>
      <c r="C8" s="58" t="n">
        <f aca="false">B8/B$22*B$24</f>
        <v>0.668077388149939</v>
      </c>
      <c r="D8" s="57" t="s">
        <v>434</v>
      </c>
      <c r="E8" s="59" t="n">
        <f aca="false">IFERROR(INDEX(Correspondance!$D$2:$D$3000,MATCH(A8,Correspondance!$A$2:$A$3000,0)),0)</f>
        <v>1.8</v>
      </c>
      <c r="F8" s="60" t="n">
        <f aca="false">C8*E8</f>
        <v>1.20253929866989</v>
      </c>
      <c r="G8" s="61"/>
      <c r="I8" s="63"/>
    </row>
    <row r="9" customFormat="false" ht="15.75" hidden="false" customHeight="false" outlineLevel="0" collapsed="false">
      <c r="A9" s="57" t="s">
        <v>587</v>
      </c>
      <c r="B9" s="57" t="n">
        <v>0.34</v>
      </c>
      <c r="C9" s="58" t="n">
        <f aca="false">B9/B$22*B$24</f>
        <v>0.534461910519952</v>
      </c>
      <c r="D9" s="57" t="s">
        <v>434</v>
      </c>
      <c r="E9" s="59" t="n">
        <f aca="false">IFERROR(INDEX(Correspondance!$D$2:$D$3000,MATCH(A9,Correspondance!$A$2:$A$3000,0)),0)</f>
        <v>8</v>
      </c>
      <c r="F9" s="60" t="n">
        <f aca="false">C9*E9</f>
        <v>4.27569528415961</v>
      </c>
      <c r="G9" s="61"/>
      <c r="I9" s="63"/>
    </row>
    <row r="10" customFormat="false" ht="15.75" hidden="false" customHeight="false" outlineLevel="0" collapsed="false">
      <c r="A10" s="57" t="s">
        <v>1227</v>
      </c>
      <c r="B10" s="57" t="n">
        <v>0.213</v>
      </c>
      <c r="C10" s="58" t="n">
        <f aca="false">B10/B$22*B$24</f>
        <v>0.334824667472793</v>
      </c>
      <c r="D10" s="57" t="s">
        <v>434</v>
      </c>
      <c r="E10" s="59" t="n">
        <f aca="false">IFERROR(INDEX(Correspondance!$D$2:$D$3000,MATCH(A10,Correspondance!$A$2:$A$3000,0)),0)</f>
        <v>5.5</v>
      </c>
      <c r="F10" s="60" t="n">
        <f aca="false">C10*E10</f>
        <v>1.84153567110036</v>
      </c>
      <c r="G10" s="61"/>
      <c r="I10" s="63"/>
    </row>
    <row r="11" customFormat="false" ht="15.75" hidden="false" customHeight="false" outlineLevel="0" collapsed="false">
      <c r="A11" s="57" t="s">
        <v>1197</v>
      </c>
      <c r="B11" s="57" t="n">
        <v>0.085</v>
      </c>
      <c r="C11" s="58" t="n">
        <f aca="false">B11/B$22*B$24</f>
        <v>0.133615477629988</v>
      </c>
      <c r="D11" s="57" t="s">
        <v>682</v>
      </c>
      <c r="E11" s="59" t="n">
        <f aca="false">IFERROR(INDEX(Correspondance!$D$2:$D$3000,MATCH(A11,Correspondance!$A$2:$A$3000,0)),0)</f>
        <v>2.6</v>
      </c>
      <c r="F11" s="60" t="n">
        <f aca="false">C11*E11</f>
        <v>0.347400241837969</v>
      </c>
      <c r="G11" s="61"/>
      <c r="I11" s="63"/>
    </row>
    <row r="12" customFormat="false" ht="18.75" hidden="false" customHeight="true" outlineLevel="0" collapsed="false">
      <c r="A12" s="57" t="s">
        <v>894</v>
      </c>
      <c r="B12" s="64" t="n">
        <v>0.043</v>
      </c>
      <c r="C12" s="58" t="n">
        <f aca="false">B12/B$22*B$24</f>
        <v>0.0675937122128174</v>
      </c>
      <c r="D12" s="57" t="s">
        <v>434</v>
      </c>
      <c r="E12" s="59" t="n">
        <f aca="false">IFERROR(INDEX(Correspondance!$D$2:$D$3000,MATCH(A12,Correspondance!$A$2:$A$3000,0)),0)</f>
        <v>5.5</v>
      </c>
      <c r="F12" s="60" t="n">
        <f aca="false">C12*E12</f>
        <v>0.371765417170496</v>
      </c>
      <c r="G12" s="61"/>
      <c r="I12" s="63"/>
    </row>
    <row r="13" customFormat="false" ht="18.75" hidden="false" customHeight="true" outlineLevel="0" collapsed="false">
      <c r="A13" s="57" t="s">
        <v>1084</v>
      </c>
      <c r="B13" s="64" t="n">
        <v>0.213</v>
      </c>
      <c r="C13" s="58" t="n">
        <f aca="false">B13/B$22*B$24</f>
        <v>0.334824667472793</v>
      </c>
      <c r="D13" s="57" t="s">
        <v>434</v>
      </c>
      <c r="E13" s="59" t="n">
        <f aca="false">IFERROR(INDEX(Correspondance!$D$2:$D$3000,MATCH(A13,Correspondance!$A$2:$A$3000,0)),0)</f>
        <v>2.2</v>
      </c>
      <c r="F13" s="60" t="n">
        <f aca="false">C13*E13</f>
        <v>0.736614268440145</v>
      </c>
      <c r="G13" s="61"/>
      <c r="I13" s="63"/>
    </row>
    <row r="14" customFormat="false" ht="15.75" hidden="false" customHeight="false" outlineLevel="0" collapsed="false">
      <c r="A14" s="57" t="s">
        <v>1919</v>
      </c>
      <c r="B14" s="57" t="n">
        <v>0.034</v>
      </c>
      <c r="C14" s="58" t="n">
        <f aca="false">B14/B$22*B$24</f>
        <v>0.0534461910519952</v>
      </c>
      <c r="D14" s="57" t="s">
        <v>434</v>
      </c>
      <c r="E14" s="59" t="n">
        <f aca="false">IFERROR(INDEX(Correspondance!$D$2:$D$3000,MATCH(A14,Correspondance!$A$2:$A$3000,0)),0)</f>
        <v>2</v>
      </c>
      <c r="F14" s="60" t="n">
        <f aca="false">C14*E14</f>
        <v>0.10689238210399</v>
      </c>
      <c r="G14" s="61"/>
      <c r="I14" s="63"/>
    </row>
    <row r="15" customFormat="false" ht="15.75" hidden="false" customHeight="false" outlineLevel="0" collapsed="false">
      <c r="A15" s="57" t="s">
        <v>1796</v>
      </c>
      <c r="B15" s="57" t="n">
        <v>0.004</v>
      </c>
      <c r="C15" s="58" t="n">
        <f aca="false">B15/B$22*B$24</f>
        <v>0.00628778718258767</v>
      </c>
      <c r="D15" s="57" t="s">
        <v>434</v>
      </c>
      <c r="E15" s="59" t="n">
        <f aca="false">IFERROR(INDEX(Correspondance!$D$2:$D$3000,MATCH(A15,Correspondance!$A$2:$A$3000,0)),0)</f>
        <v>18</v>
      </c>
      <c r="F15" s="60" t="n">
        <f aca="false">C15*E15</f>
        <v>0.113180169286578</v>
      </c>
      <c r="G15" s="61"/>
      <c r="I15" s="63"/>
    </row>
    <row r="16" customFormat="false" ht="15.75" hidden="false" customHeight="false" outlineLevel="0" collapsed="false">
      <c r="A16" s="57" t="s">
        <v>1985</v>
      </c>
      <c r="B16" s="57"/>
      <c r="C16" s="58" t="n">
        <f aca="false">B16/B$22*B$24</f>
        <v>0</v>
      </c>
      <c r="D16" s="57" t="s">
        <v>434</v>
      </c>
      <c r="E16" s="59" t="n">
        <f aca="false">IFERROR(INDEX(Correspondance!$D$2:$D$3000,MATCH(A16,Correspondance!$A$2:$A$3000,0)),0)</f>
        <v>1.6</v>
      </c>
      <c r="F16" s="60" t="n">
        <f aca="false">C16*E16</f>
        <v>0</v>
      </c>
      <c r="G16" s="61"/>
      <c r="I16" s="63"/>
    </row>
    <row r="17" customFormat="false" ht="15.75" hidden="false" customHeight="false" outlineLevel="0" collapsed="false">
      <c r="A17" s="57" t="s">
        <v>1675</v>
      </c>
      <c r="B17" s="57" t="n">
        <v>0.085</v>
      </c>
      <c r="C17" s="58" t="n">
        <f aca="false">B17/B$22*B$24</f>
        <v>0.133615477629988</v>
      </c>
      <c r="D17" s="57" t="s">
        <v>682</v>
      </c>
      <c r="E17" s="59" t="n">
        <f aca="false">IFERROR(INDEX(Correspondance!$D$2:$D$3000,MATCH(A17,Correspondance!$A$2:$A$3000,0)),0)</f>
        <v>2.2</v>
      </c>
      <c r="F17" s="60" t="n">
        <f aca="false">C17*E17</f>
        <v>0.293954050785973</v>
      </c>
      <c r="G17" s="61"/>
      <c r="I17" s="63"/>
    </row>
    <row r="18" customFormat="false" ht="15.75" hidden="false" customHeight="false" outlineLevel="0" collapsed="false">
      <c r="A18" s="57" t="s">
        <v>1505</v>
      </c>
      <c r="B18" s="57"/>
      <c r="C18" s="58" t="n">
        <f aca="false">B18/B$22*B$24</f>
        <v>0</v>
      </c>
      <c r="D18" s="57" t="s">
        <v>434</v>
      </c>
      <c r="E18" s="59" t="n">
        <f aca="false">IFERROR(INDEX(Correspondance!$D$2:$D$3000,MATCH(A18,Correspondance!$A$2:$A$3000,0)),0)</f>
        <v>9</v>
      </c>
      <c r="F18" s="60" t="n">
        <f aca="false">C18*E18</f>
        <v>0</v>
      </c>
      <c r="G18" s="61"/>
      <c r="I18" s="63"/>
    </row>
    <row r="19" customFormat="false" ht="15.75" hidden="false" customHeight="false" outlineLevel="0" collapsed="false">
      <c r="C19" s="66"/>
      <c r="F19" s="67" t="n">
        <f aca="false">SUM(F4:F18)</f>
        <v>89.3252478839178</v>
      </c>
      <c r="G19" s="61"/>
      <c r="I19" s="63"/>
    </row>
    <row r="20" customFormat="false" ht="18.75" hidden="false" customHeight="true" outlineLevel="0" collapsed="false">
      <c r="A20" s="68" t="s">
        <v>2628</v>
      </c>
      <c r="B20" s="69" t="n">
        <f aca="false">F19/B24</f>
        <v>0.812047708035616</v>
      </c>
      <c r="C20" s="70"/>
      <c r="G20" s="61"/>
      <c r="I20" s="63"/>
    </row>
    <row r="21" customFormat="false" ht="15.75" hidden="false" customHeight="false" outlineLevel="0" collapsed="false">
      <c r="A21" s="71" t="s">
        <v>2629</v>
      </c>
      <c r="B21" s="71" t="n">
        <f aca="false">SUM(B3:B18)</f>
        <v>9.097</v>
      </c>
      <c r="C21" s="66"/>
      <c r="G21" s="61"/>
      <c r="I21" s="63"/>
    </row>
    <row r="22" customFormat="false" ht="15.75" hidden="false" customHeight="false" outlineLevel="0" collapsed="false">
      <c r="A22" s="0" t="s">
        <v>2630</v>
      </c>
      <c r="B22" s="72" t="n">
        <f aca="false">B21/B23</f>
        <v>69.9769230769231</v>
      </c>
      <c r="C22" s="66"/>
      <c r="G22" s="61"/>
      <c r="I22" s="63"/>
    </row>
    <row r="23" customFormat="false" ht="15.75" hidden="false" customHeight="false" outlineLevel="0" collapsed="false">
      <c r="A23" s="0" t="s">
        <v>2631</v>
      </c>
      <c r="B23" s="0" t="n">
        <v>0.13</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40.17"/>
    <col collapsed="false" customWidth="true" hidden="false" outlineLevel="0" max="3" min="2" style="0" width="10.83"/>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81" t="s">
        <v>2940</v>
      </c>
      <c r="B1" s="81"/>
      <c r="C1" s="81"/>
      <c r="D1" s="81"/>
      <c r="E1" s="51" t="s">
        <v>2619</v>
      </c>
      <c r="F1" s="51"/>
      <c r="G1" s="75" t="s">
        <v>2861</v>
      </c>
    </row>
    <row r="2" customFormat="false" ht="24.75" hidden="false" customHeight="true" outlineLevel="0" collapsed="false">
      <c r="A2" s="81"/>
      <c r="B2" s="81"/>
      <c r="C2" s="81"/>
      <c r="D2" s="81"/>
      <c r="E2" s="53" t="s">
        <v>2636</v>
      </c>
      <c r="F2" s="53"/>
      <c r="G2" s="75"/>
    </row>
    <row r="3" customFormat="false" ht="51.75" hidden="false" customHeight="true" outlineLevel="0" collapsed="false">
      <c r="A3" s="54" t="s">
        <v>2588</v>
      </c>
      <c r="B3" s="55" t="s">
        <v>2622</v>
      </c>
      <c r="C3" s="55" t="s">
        <v>2623</v>
      </c>
      <c r="D3" s="56" t="s">
        <v>2624</v>
      </c>
      <c r="E3" s="56" t="s">
        <v>2625</v>
      </c>
      <c r="F3" s="56" t="s">
        <v>2626</v>
      </c>
      <c r="G3" s="75"/>
    </row>
    <row r="4" customFormat="false" ht="16.5" hidden="false" customHeight="true" outlineLevel="0" collapsed="false">
      <c r="A4" s="57" t="s">
        <v>1909</v>
      </c>
      <c r="B4" s="84" t="n">
        <v>13</v>
      </c>
      <c r="C4" s="58" t="n">
        <f aca="false">B4/B$24*B$26</f>
        <v>20.4285714285714</v>
      </c>
      <c r="D4" s="57" t="s">
        <v>434</v>
      </c>
      <c r="E4" s="59" t="n">
        <f aca="false">IFERROR(INDEX(Correspondance!$D$2:$D$3000,MATCH(A4,Correspondance!$A$2:$A$3000,0)),0)</f>
        <v>11</v>
      </c>
      <c r="F4" s="77" t="n">
        <f aca="false">C4*E4</f>
        <v>224.714285714286</v>
      </c>
      <c r="G4" s="78" t="s">
        <v>2941</v>
      </c>
    </row>
    <row r="5" customFormat="false" ht="15.75" hidden="false" customHeight="false" outlineLevel="0" collapsed="false">
      <c r="A5" s="57" t="s">
        <v>1977</v>
      </c>
      <c r="B5" s="84" t="n">
        <v>5.2</v>
      </c>
      <c r="C5" s="58" t="n">
        <f aca="false">B5/B$24*B$26</f>
        <v>8.17142857142857</v>
      </c>
      <c r="D5" s="57" t="s">
        <v>682</v>
      </c>
      <c r="E5" s="59" t="n">
        <f aca="false">IFERROR(INDEX(Correspondance!$D$2:$D$3000,MATCH(A5,Correspondance!$A$2:$A$3000,0)),0)</f>
        <v>2</v>
      </c>
      <c r="F5" s="77" t="n">
        <f aca="false">C5*E5</f>
        <v>16.3428571428571</v>
      </c>
      <c r="G5" s="78"/>
      <c r="I5" s="62"/>
    </row>
    <row r="6" customFormat="false" ht="15.75" hidden="false" customHeight="false" outlineLevel="0" collapsed="false">
      <c r="A6" s="57" t="s">
        <v>1459</v>
      </c>
      <c r="B6" s="84" t="n">
        <v>5.2</v>
      </c>
      <c r="C6" s="58" t="n">
        <f aca="false">B6/B$24*B$26</f>
        <v>8.17142857142857</v>
      </c>
      <c r="D6" s="57"/>
      <c r="E6" s="59" t="n">
        <f aca="false">IFERROR(INDEX(Correspondance!$D$2:$D$3000,MATCH(A6,Correspondance!$A$2:$A$3000,0)),0)</f>
        <v>0</v>
      </c>
      <c r="F6" s="77"/>
      <c r="G6" s="78"/>
      <c r="I6" s="86"/>
    </row>
    <row r="7" customFormat="false" ht="15.75" hidden="false" customHeight="false" outlineLevel="0" collapsed="false">
      <c r="A7" s="57" t="s">
        <v>1001</v>
      </c>
      <c r="B7" s="84" t="n">
        <v>1.3</v>
      </c>
      <c r="C7" s="58" t="n">
        <f aca="false">B7/B$24*B$26</f>
        <v>2.04285714285714</v>
      </c>
      <c r="D7" s="57" t="s">
        <v>434</v>
      </c>
      <c r="E7" s="59" t="n">
        <f aca="false">IFERROR(INDEX(Correspondance!$D$2:$D$3000,MATCH(A7,Correspondance!$A$2:$A$3000,0)),0)</f>
        <v>1.8</v>
      </c>
      <c r="F7" s="77" t="n">
        <f aca="false">C7*E7</f>
        <v>3.67714285714286</v>
      </c>
      <c r="G7" s="78"/>
      <c r="I7" s="63"/>
    </row>
    <row r="8" customFormat="false" ht="15.75" hidden="false" customHeight="false" outlineLevel="0" collapsed="false">
      <c r="A8" s="57" t="s">
        <v>917</v>
      </c>
      <c r="B8" s="84" t="n">
        <v>1.3</v>
      </c>
      <c r="C8" s="58" t="n">
        <f aca="false">B8/B$24*B$26</f>
        <v>2.04285714285714</v>
      </c>
      <c r="D8" s="57" t="s">
        <v>434</v>
      </c>
      <c r="E8" s="59" t="n">
        <f aca="false">IFERROR(INDEX(Correspondance!$D$2:$D$3000,MATCH(A8,Correspondance!$A$2:$A$3000,0)),0)</f>
        <v>1.8</v>
      </c>
      <c r="F8" s="77" t="n">
        <f aca="false">C8*E8</f>
        <v>3.67714285714286</v>
      </c>
      <c r="G8" s="78"/>
      <c r="I8" s="63"/>
    </row>
    <row r="9" customFormat="false" ht="15.75" hidden="false" customHeight="false" outlineLevel="0" collapsed="false">
      <c r="A9" s="57" t="s">
        <v>1197</v>
      </c>
      <c r="B9" s="84" t="n">
        <v>0.26</v>
      </c>
      <c r="C9" s="58" t="n">
        <f aca="false">B9/B$24*B$26</f>
        <v>0.408571428571429</v>
      </c>
      <c r="D9" s="57" t="s">
        <v>682</v>
      </c>
      <c r="E9" s="59" t="n">
        <f aca="false">IFERROR(INDEX(Correspondance!$D$2:$D$3000,MATCH(A9,Correspondance!$A$2:$A$3000,0)),0)</f>
        <v>2.6</v>
      </c>
      <c r="F9" s="77" t="n">
        <f aca="false">C9*E9</f>
        <v>1.06228571428571</v>
      </c>
      <c r="G9" s="78"/>
      <c r="I9" s="63"/>
    </row>
    <row r="10" customFormat="false" ht="15.75" hidden="false" customHeight="false" outlineLevel="0" collapsed="false">
      <c r="A10" s="57" t="s">
        <v>1084</v>
      </c>
      <c r="B10" s="84" t="n">
        <v>0.715</v>
      </c>
      <c r="C10" s="58" t="n">
        <f aca="false">B10/B$24*B$26</f>
        <v>1.12357142857143</v>
      </c>
      <c r="D10" s="57" t="s">
        <v>434</v>
      </c>
      <c r="E10" s="59" t="n">
        <f aca="false">IFERROR(INDEX(Correspondance!$D$2:$D$3000,MATCH(A10,Correspondance!$A$2:$A$3000,0)),0)</f>
        <v>2.2</v>
      </c>
      <c r="F10" s="77" t="n">
        <f aca="false">C10*E10</f>
        <v>2.47185714285714</v>
      </c>
      <c r="G10" s="78"/>
      <c r="I10" s="63"/>
    </row>
    <row r="11" customFormat="false" ht="15.75" hidden="false" customHeight="false" outlineLevel="0" collapsed="false">
      <c r="A11" s="57" t="s">
        <v>1919</v>
      </c>
      <c r="B11" s="84" t="n">
        <v>0.091</v>
      </c>
      <c r="C11" s="58" t="n">
        <f aca="false">B11/B$24*B$26</f>
        <v>0.143</v>
      </c>
      <c r="D11" s="57" t="s">
        <v>434</v>
      </c>
      <c r="E11" s="59" t="n">
        <f aca="false">IFERROR(INDEX(Correspondance!$D$2:$D$3000,MATCH(A11,Correspondance!$A$2:$A$3000,0)),0)</f>
        <v>2</v>
      </c>
      <c r="F11" s="77" t="n">
        <f aca="false">C11*E11</f>
        <v>0.286</v>
      </c>
      <c r="G11" s="78"/>
      <c r="I11" s="63"/>
    </row>
    <row r="12" customFormat="false" ht="15.75" hidden="false" customHeight="false" outlineLevel="0" collapsed="false">
      <c r="A12" s="57" t="s">
        <v>1796</v>
      </c>
      <c r="B12" s="84" t="n">
        <v>0.008</v>
      </c>
      <c r="C12" s="58" t="n">
        <f aca="false">B12/B$24*B$26</f>
        <v>0.0125714285714286</v>
      </c>
      <c r="D12" s="57" t="s">
        <v>434</v>
      </c>
      <c r="E12" s="59" t="n">
        <f aca="false">IFERROR(INDEX(Correspondance!$D$2:$D$3000,MATCH(A12,Correspondance!$A$2:$A$3000,0)),0)</f>
        <v>18</v>
      </c>
      <c r="F12" s="77" t="n">
        <f aca="false">C12*E12</f>
        <v>0.226285714285714</v>
      </c>
      <c r="G12" s="78"/>
      <c r="I12" s="63"/>
    </row>
    <row r="13" customFormat="false" ht="15.75" hidden="false" customHeight="false" outlineLevel="0" collapsed="false">
      <c r="A13" s="57" t="s">
        <v>1473</v>
      </c>
      <c r="B13" s="84" t="n">
        <v>0.13</v>
      </c>
      <c r="C13" s="58" t="n">
        <f aca="false">B13/B$24*B$26</f>
        <v>0.204285714285714</v>
      </c>
      <c r="D13" s="57" t="s">
        <v>434</v>
      </c>
      <c r="E13" s="59" t="n">
        <f aca="false">IFERROR(INDEX(Correspondance!$D$2:$D$3000,MATCH(A13,Correspondance!$A$2:$A$3000,0)),0)</f>
        <v>6</v>
      </c>
      <c r="F13" s="77" t="n">
        <f aca="false">C13*E13</f>
        <v>1.22571428571429</v>
      </c>
      <c r="G13" s="78"/>
      <c r="I13" s="63"/>
    </row>
    <row r="14" customFormat="false" ht="15.75" hidden="false" customHeight="false" outlineLevel="0" collapsed="false">
      <c r="A14" s="57" t="s">
        <v>1704</v>
      </c>
      <c r="B14" s="84"/>
      <c r="C14" s="58" t="n">
        <f aca="false">B14/B$24*B$26</f>
        <v>0</v>
      </c>
      <c r="D14" s="57" t="s">
        <v>434</v>
      </c>
      <c r="E14" s="59" t="n">
        <f aca="false">IFERROR(INDEX(Correspondance!$D$2:$D$3000,MATCH(A14,Correspondance!$A$2:$A$3000,0)),0)</f>
        <v>16</v>
      </c>
      <c r="F14" s="77" t="n">
        <f aca="false">C14*E14</f>
        <v>0</v>
      </c>
      <c r="G14" s="78"/>
      <c r="I14" s="63"/>
    </row>
    <row r="15" customFormat="false" ht="15.75" hidden="false" customHeight="false" outlineLevel="0" collapsed="false">
      <c r="A15" s="57" t="s">
        <v>1675</v>
      </c>
      <c r="B15" s="84" t="n">
        <v>0.26</v>
      </c>
      <c r="C15" s="58" t="n">
        <f aca="false">B15/B$24*B$26</f>
        <v>0.408571428571429</v>
      </c>
      <c r="D15" s="57" t="s">
        <v>682</v>
      </c>
      <c r="E15" s="59" t="n">
        <f aca="false">IFERROR(INDEX(Correspondance!$D$2:$D$3000,MATCH(A15,Correspondance!$A$2:$A$3000,0)),0)</f>
        <v>2.2</v>
      </c>
      <c r="F15" s="77" t="n">
        <f aca="false">C15*E15</f>
        <v>0.898857142857143</v>
      </c>
      <c r="G15" s="78"/>
      <c r="I15" s="63"/>
    </row>
    <row r="16" customFormat="false" ht="15.75" hidden="false" customHeight="false" outlineLevel="0" collapsed="false">
      <c r="A16" s="57" t="s">
        <v>1504</v>
      </c>
      <c r="B16" s="57"/>
      <c r="C16" s="58" t="n">
        <f aca="false">B16/B$24*B$26</f>
        <v>0</v>
      </c>
      <c r="D16" s="57" t="s">
        <v>682</v>
      </c>
      <c r="E16" s="59" t="n">
        <f aca="false">IFERROR(INDEX(Correspondance!$D$2:$D$3000,MATCH(A16,Correspondance!$A$2:$A$3000,0)),0)</f>
        <v>9</v>
      </c>
      <c r="F16" s="77" t="n">
        <f aca="false">C16*E16</f>
        <v>0</v>
      </c>
      <c r="G16" s="78"/>
      <c r="I16" s="63"/>
    </row>
    <row r="17" customFormat="false" ht="15.75" hidden="false" customHeight="false" outlineLevel="0" collapsed="false">
      <c r="A17" s="57"/>
      <c r="B17" s="57"/>
      <c r="C17" s="58" t="n">
        <f aca="false">B17/B$24*B$26</f>
        <v>0</v>
      </c>
      <c r="D17" s="57" t="s">
        <v>434</v>
      </c>
      <c r="E17" s="65"/>
      <c r="F17" s="77" t="n">
        <f aca="false">C17*E17</f>
        <v>0</v>
      </c>
      <c r="G17" s="78"/>
      <c r="I17" s="63"/>
    </row>
    <row r="18" customFormat="false" ht="15.75" hidden="false" customHeight="false" outlineLevel="0" collapsed="false">
      <c r="A18" s="57"/>
      <c r="B18" s="57"/>
      <c r="C18" s="58" t="n">
        <f aca="false">B18/B$24*B$26</f>
        <v>0</v>
      </c>
      <c r="D18" s="57" t="s">
        <v>434</v>
      </c>
      <c r="E18" s="65"/>
      <c r="F18" s="77" t="n">
        <f aca="false">C18*E18</f>
        <v>0</v>
      </c>
      <c r="G18" s="78"/>
      <c r="I18" s="63"/>
    </row>
    <row r="19" customFormat="false" ht="15.75" hidden="false" customHeight="false" outlineLevel="0" collapsed="false">
      <c r="A19" s="57"/>
      <c r="B19" s="57"/>
      <c r="C19" s="58" t="n">
        <f aca="false">B19/B$24*B$26</f>
        <v>0</v>
      </c>
      <c r="D19" s="57"/>
      <c r="E19" s="65"/>
      <c r="F19" s="77" t="n">
        <f aca="false">C19*E19</f>
        <v>0</v>
      </c>
      <c r="G19" s="78"/>
      <c r="I19" s="63"/>
    </row>
    <row r="20" customFormat="false" ht="15.75" hidden="false" customHeight="false" outlineLevel="0" collapsed="false">
      <c r="A20" s="57"/>
      <c r="B20" s="57"/>
      <c r="C20" s="58" t="n">
        <f aca="false">B20/B$24*B$26</f>
        <v>0</v>
      </c>
      <c r="D20" s="57"/>
      <c r="E20" s="65"/>
      <c r="F20" s="77" t="n">
        <f aca="false">C20*E20</f>
        <v>0</v>
      </c>
      <c r="G20" s="78"/>
      <c r="I20" s="63"/>
    </row>
    <row r="21" customFormat="false" ht="15.75" hidden="false" customHeight="false" outlineLevel="0" collapsed="false">
      <c r="C21" s="66"/>
      <c r="F21" s="67" t="n">
        <f aca="false">SUM(F4:F20)</f>
        <v>254.582428571429</v>
      </c>
      <c r="G21" s="78"/>
      <c r="I21" s="63"/>
    </row>
    <row r="22" customFormat="false" ht="18.75" hidden="false" customHeight="true" outlineLevel="0" collapsed="false">
      <c r="A22" s="68" t="s">
        <v>2628</v>
      </c>
      <c r="B22" s="69" t="n">
        <f aca="false">F21/B26</f>
        <v>2.31438571428571</v>
      </c>
      <c r="C22" s="70"/>
      <c r="G22" s="78"/>
      <c r="I22" s="63"/>
    </row>
    <row r="23" customFormat="false" ht="15.75" hidden="false" customHeight="false" outlineLevel="0" collapsed="false">
      <c r="A23" s="71" t="s">
        <v>2629</v>
      </c>
      <c r="B23" s="71" t="n">
        <v>9.1</v>
      </c>
      <c r="C23" s="66"/>
      <c r="G23" s="78"/>
      <c r="I23" s="63"/>
    </row>
    <row r="24" customFormat="false" ht="15.75" hidden="false" customHeight="false" outlineLevel="0" collapsed="false">
      <c r="A24" s="0" t="s">
        <v>2630</v>
      </c>
      <c r="B24" s="72" t="n">
        <f aca="false">B23/B25</f>
        <v>70</v>
      </c>
      <c r="C24" s="66"/>
      <c r="G24" s="78"/>
      <c r="I24" s="63"/>
    </row>
    <row r="25" customFormat="false" ht="15.75" hidden="false" customHeight="false" outlineLevel="0" collapsed="false">
      <c r="A25" s="0" t="s">
        <v>2631</v>
      </c>
      <c r="B25" s="0" t="n">
        <v>0.13</v>
      </c>
      <c r="C25" s="79" t="s">
        <v>2632</v>
      </c>
      <c r="G25" s="78"/>
      <c r="I25" s="63"/>
    </row>
    <row r="26" customFormat="false" ht="18.75" hidden="false" customHeight="true" outlineLevel="0" collapsed="false">
      <c r="A26" s="74" t="s">
        <v>2633</v>
      </c>
      <c r="B26" s="74" t="n">
        <f aca="false">Paramètres!$B$5</f>
        <v>110</v>
      </c>
      <c r="C26" s="79" t="s">
        <v>2634</v>
      </c>
      <c r="G26" s="78"/>
      <c r="I26" s="63"/>
    </row>
    <row r="27" customFormat="false" ht="15.75" hidden="false" customHeight="false" outlineLevel="0" collapsed="false">
      <c r="I27" s="63"/>
    </row>
  </sheetData>
  <mergeCells count="5">
    <mergeCell ref="A1:D2"/>
    <mergeCell ref="E1:F1"/>
    <mergeCell ref="G1:G3"/>
    <mergeCell ref="E2:F2"/>
    <mergeCell ref="G4:G26"/>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270</v>
      </c>
      <c r="B1" s="50"/>
      <c r="C1" s="50"/>
      <c r="D1" s="50"/>
      <c r="E1" s="51" t="s">
        <v>2619</v>
      </c>
      <c r="F1" s="51"/>
      <c r="G1" s="52" t="s">
        <v>2861</v>
      </c>
    </row>
    <row r="2" customFormat="false" ht="24.75" hidden="false" customHeight="true" outlineLevel="0" collapsed="false">
      <c r="A2" s="50"/>
      <c r="B2" s="50"/>
      <c r="C2" s="50"/>
      <c r="D2" s="50"/>
      <c r="E2" s="53" t="s">
        <v>2636</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1910</v>
      </c>
      <c r="B4" s="57" t="n">
        <v>4.36</v>
      </c>
      <c r="C4" s="58" t="n">
        <f aca="false">B4/B$22*B$24</f>
        <v>6.85067574991759</v>
      </c>
      <c r="D4" s="57" t="s">
        <v>434</v>
      </c>
      <c r="E4" s="59" t="n">
        <f aca="false">IFERROR(INDEX(Correspondance!$D$2:$D$3000,MATCH(A4,Correspondance!$A$2:$A$3000,0)),0)</f>
        <v>11</v>
      </c>
      <c r="F4" s="60" t="n">
        <f aca="false">C4*E4</f>
        <v>75.3574332490935</v>
      </c>
      <c r="G4" s="61" t="s">
        <v>2942</v>
      </c>
    </row>
    <row r="5" customFormat="false" ht="15.75" hidden="false" customHeight="false" outlineLevel="0" collapsed="false">
      <c r="A5" s="57" t="s">
        <v>1353</v>
      </c>
      <c r="B5" s="57" t="n">
        <v>1.74</v>
      </c>
      <c r="C5" s="58" t="n">
        <f aca="false">B5/B$22*B$24</f>
        <v>2.73398527634326</v>
      </c>
      <c r="D5" s="57" t="s">
        <v>682</v>
      </c>
      <c r="E5" s="59" t="n">
        <f aca="false">IFERROR(INDEX(Correspondance!$D$2:$D$3000,MATCH(A5,Correspondance!$A$2:$A$3000,0)),0)</f>
        <v>3</v>
      </c>
      <c r="F5" s="60" t="n">
        <f aca="false">C5*E5</f>
        <v>8.20195582902978</v>
      </c>
      <c r="G5" s="61"/>
      <c r="I5" s="62"/>
    </row>
    <row r="6" customFormat="false" ht="15.75" hidden="false" customHeight="false" outlineLevel="0" collapsed="false">
      <c r="A6" s="57" t="s">
        <v>1459</v>
      </c>
      <c r="B6" s="57" t="n">
        <v>1.31</v>
      </c>
      <c r="C6" s="58" t="n">
        <f aca="false">B6/B$22*B$24</f>
        <v>2.05834523678717</v>
      </c>
      <c r="D6" s="57" t="s">
        <v>682</v>
      </c>
      <c r="E6" s="59" t="n">
        <f aca="false">IFERROR(INDEX(Correspondance!$D$2:$D$3000,MATCH(A6,Correspondance!$A$2:$A$3000,0)),0)</f>
        <v>0</v>
      </c>
      <c r="F6" s="60" t="n">
        <f aca="false">C6*E6</f>
        <v>0</v>
      </c>
      <c r="G6" s="61"/>
      <c r="I6" s="63"/>
    </row>
    <row r="7" customFormat="false" ht="15.75" hidden="false" customHeight="false" outlineLevel="0" collapsed="false">
      <c r="A7" s="57" t="s">
        <v>1003</v>
      </c>
      <c r="B7" s="57" t="n">
        <v>0.872</v>
      </c>
      <c r="C7" s="58" t="n">
        <f aca="false">B7/B$22*B$24</f>
        <v>1.37013514998352</v>
      </c>
      <c r="D7" s="57" t="s">
        <v>434</v>
      </c>
      <c r="E7" s="59" t="n">
        <f aca="false">IFERROR(INDEX(Correspondance!$D$2:$D$3000,MATCH(A7,Correspondance!$A$2:$A$3000,0)),0)</f>
        <v>1.9</v>
      </c>
      <c r="F7" s="60" t="n">
        <f aca="false">C7*E7</f>
        <v>2.60325678496868</v>
      </c>
      <c r="G7" s="61"/>
      <c r="I7" s="63"/>
    </row>
    <row r="8" customFormat="false" ht="15.75" hidden="false" customHeight="false" outlineLevel="0" collapsed="false">
      <c r="A8" s="57" t="s">
        <v>1063</v>
      </c>
      <c r="B8" s="57" t="n">
        <v>0.131</v>
      </c>
      <c r="C8" s="58" t="n">
        <f aca="false">B8/B$22*B$24</f>
        <v>0.205834523678717</v>
      </c>
      <c r="D8" s="57" t="s">
        <v>434</v>
      </c>
      <c r="E8" s="59" t="n">
        <f aca="false">IFERROR(INDEX(Correspondance!$D$2:$D$3000,MATCH(A8,Correspondance!$A$2:$A$3000,0)),0)</f>
        <v>2.2</v>
      </c>
      <c r="F8" s="60" t="n">
        <f aca="false">C8*E8</f>
        <v>0.452835952093177</v>
      </c>
      <c r="G8" s="61"/>
      <c r="I8" s="63"/>
    </row>
    <row r="9" customFormat="false" ht="15.75" hidden="false" customHeight="false" outlineLevel="0" collapsed="false">
      <c r="A9" s="57" t="s">
        <v>1426</v>
      </c>
      <c r="B9" s="57" t="n">
        <v>0.218</v>
      </c>
      <c r="C9" s="58" t="n">
        <f aca="false">B9/B$22*B$24</f>
        <v>0.34253378749588</v>
      </c>
      <c r="D9" s="57" t="s">
        <v>434</v>
      </c>
      <c r="E9" s="59" t="n">
        <f aca="false">IFERROR(INDEX(Correspondance!$D$2:$D$3000,MATCH(A9,Correspondance!$A$2:$A$3000,0)),0)</f>
        <v>7</v>
      </c>
      <c r="F9" s="60" t="n">
        <f aca="false">C9*E9</f>
        <v>2.39773651247116</v>
      </c>
      <c r="G9" s="61"/>
      <c r="I9" s="63"/>
    </row>
    <row r="10" customFormat="false" ht="15.75" hidden="false" customHeight="false" outlineLevel="0" collapsed="false">
      <c r="A10" s="57" t="s">
        <v>1725</v>
      </c>
      <c r="B10" s="57" t="n">
        <v>0.087</v>
      </c>
      <c r="C10" s="58" t="n">
        <f aca="false">B10/B$22*B$24</f>
        <v>0.136699263817163</v>
      </c>
      <c r="D10" s="57" t="s">
        <v>434</v>
      </c>
      <c r="E10" s="59" t="n">
        <f aca="false">IFERROR(INDEX(Correspondance!$D$2:$D$3000,MATCH(A10,Correspondance!$A$2:$A$3000,0)),0)</f>
        <v>9</v>
      </c>
      <c r="F10" s="60" t="n">
        <f aca="false">C10*E10</f>
        <v>1.23029337435447</v>
      </c>
      <c r="G10" s="61"/>
      <c r="I10" s="63"/>
    </row>
    <row r="11" customFormat="false" ht="15.75" hidden="false" customHeight="false" outlineLevel="0" collapsed="false">
      <c r="A11" s="57" t="s">
        <v>1982</v>
      </c>
      <c r="B11" s="57" t="n">
        <v>0.044</v>
      </c>
      <c r="C11" s="58" t="n">
        <f aca="false">B11/B$22*B$24</f>
        <v>0.0691352598615537</v>
      </c>
      <c r="D11" s="57" t="s">
        <v>682</v>
      </c>
      <c r="E11" s="59" t="n">
        <f aca="false">IFERROR(INDEX(Correspondance!$D$2:$D$3000,MATCH(A11,Correspondance!$A$2:$A$3000,0)),0)</f>
        <v>1.5</v>
      </c>
      <c r="F11" s="60" t="n">
        <f aca="false">C11*E11</f>
        <v>0.103702889792331</v>
      </c>
      <c r="G11" s="61"/>
      <c r="I11" s="63"/>
    </row>
    <row r="12" customFormat="false" ht="18.75" hidden="false" customHeight="true" outlineLevel="0" collapsed="false">
      <c r="A12" s="57" t="s">
        <v>1633</v>
      </c>
      <c r="B12" s="64" t="n">
        <v>0.044</v>
      </c>
      <c r="C12" s="58" t="n">
        <f aca="false">B12/B$22*B$24</f>
        <v>0.0691352598615537</v>
      </c>
      <c r="D12" s="57" t="s">
        <v>434</v>
      </c>
      <c r="E12" s="59" t="n">
        <f aca="false">IFERROR(INDEX(Correspondance!$D$2:$D$3000,MATCH(A12,Correspondance!$A$2:$A$3000,0)),0)</f>
        <v>9</v>
      </c>
      <c r="F12" s="60" t="n">
        <f aca="false">C12*E12</f>
        <v>0.622217338753983</v>
      </c>
      <c r="G12" s="61"/>
      <c r="I12" s="63"/>
    </row>
    <row r="13" customFormat="false" ht="18.75" hidden="false" customHeight="true" outlineLevel="0" collapsed="false">
      <c r="A13" s="57" t="s">
        <v>1084</v>
      </c>
      <c r="B13" s="64" t="n">
        <v>0.174</v>
      </c>
      <c r="C13" s="58" t="n">
        <f aca="false">B13/B$22*B$24</f>
        <v>0.273398527634326</v>
      </c>
      <c r="D13" s="57" t="s">
        <v>434</v>
      </c>
      <c r="E13" s="59" t="n">
        <f aca="false">IFERROR(INDEX(Correspondance!$D$2:$D$3000,MATCH(A13,Correspondance!$A$2:$A$3000,0)),0)</f>
        <v>2.2</v>
      </c>
      <c r="F13" s="60" t="n">
        <f aca="false">C13*E13</f>
        <v>0.601476760795517</v>
      </c>
      <c r="G13" s="61"/>
      <c r="I13" s="63"/>
    </row>
    <row r="14" customFormat="false" ht="15.75" hidden="false" customHeight="false" outlineLevel="0" collapsed="false">
      <c r="A14" s="57" t="s">
        <v>1919</v>
      </c>
      <c r="B14" s="57" t="n">
        <v>0.031</v>
      </c>
      <c r="C14" s="58" t="n">
        <f aca="false">B14/B$22*B$24</f>
        <v>0.0487089330842765</v>
      </c>
      <c r="D14" s="57" t="s">
        <v>434</v>
      </c>
      <c r="E14" s="59" t="n">
        <f aca="false">IFERROR(INDEX(Correspondance!$D$2:$D$3000,MATCH(A14,Correspondance!$A$2:$A$3000,0)),0)</f>
        <v>2</v>
      </c>
      <c r="F14" s="60" t="n">
        <f aca="false">C14*E14</f>
        <v>0.0974178661685529</v>
      </c>
      <c r="G14" s="61"/>
      <c r="I14" s="63"/>
    </row>
    <row r="15" customFormat="false" ht="15.75" hidden="false" customHeight="false" outlineLevel="0" collapsed="false">
      <c r="A15" s="57" t="s">
        <v>1796</v>
      </c>
      <c r="B15" s="57" t="n">
        <v>0.003</v>
      </c>
      <c r="C15" s="58" t="n">
        <f aca="false">B15/B$22*B$24</f>
        <v>0.00471376771783321</v>
      </c>
      <c r="D15" s="57" t="s">
        <v>434</v>
      </c>
      <c r="E15" s="59" t="n">
        <f aca="false">IFERROR(INDEX(Correspondance!$D$2:$D$3000,MATCH(A15,Correspondance!$A$2:$A$3000,0)),0)</f>
        <v>18</v>
      </c>
      <c r="F15" s="60" t="n">
        <f aca="false">C15*E15</f>
        <v>0.0848478189209977</v>
      </c>
      <c r="G15" s="61"/>
      <c r="I15" s="63"/>
    </row>
    <row r="16" customFormat="false" ht="15.75" hidden="false" customHeight="false" outlineLevel="0" collapsed="false">
      <c r="A16" s="57" t="s">
        <v>1948</v>
      </c>
      <c r="B16" s="57"/>
      <c r="C16" s="58" t="n">
        <f aca="false">B16/B$22*B$24</f>
        <v>0</v>
      </c>
      <c r="D16" s="57" t="s">
        <v>434</v>
      </c>
      <c r="E16" s="59" t="n">
        <f aca="false">IFERROR(INDEX(Correspondance!$D$2:$D$3000,MATCH(A16,Correspondance!$A$2:$A$3000,0)),0)</f>
        <v>16</v>
      </c>
      <c r="F16" s="60" t="n">
        <f aca="false">C16*E16</f>
        <v>0</v>
      </c>
      <c r="G16" s="61"/>
      <c r="I16" s="63"/>
    </row>
    <row r="17" customFormat="false" ht="15.75" hidden="false" customHeight="false" outlineLevel="0" collapsed="false">
      <c r="A17" s="57" t="s">
        <v>1675</v>
      </c>
      <c r="B17" s="57" t="n">
        <v>0.087</v>
      </c>
      <c r="C17" s="58" t="n">
        <f aca="false">B17/B$22*B$24</f>
        <v>0.136699263817163</v>
      </c>
      <c r="D17" s="57" t="s">
        <v>682</v>
      </c>
      <c r="E17" s="59" t="n">
        <f aca="false">IFERROR(INDEX(Correspondance!$D$2:$D$3000,MATCH(A17,Correspondance!$A$2:$A$3000,0)),0)</f>
        <v>2.2</v>
      </c>
      <c r="F17" s="60" t="n">
        <f aca="false">C17*E17</f>
        <v>0.300738380397758</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92.0539127568399</v>
      </c>
      <c r="G19" s="61"/>
      <c r="I19" s="63"/>
    </row>
    <row r="20" customFormat="false" ht="18.75" hidden="false" customHeight="true" outlineLevel="0" collapsed="false">
      <c r="A20" s="68" t="s">
        <v>2628</v>
      </c>
      <c r="B20" s="69" t="n">
        <f aca="false">F19/B24</f>
        <v>0.836853752334908</v>
      </c>
      <c r="C20" s="70"/>
      <c r="G20" s="61"/>
      <c r="I20" s="63"/>
    </row>
    <row r="21" customFormat="false" ht="15.75" hidden="false" customHeight="false" outlineLevel="0" collapsed="false">
      <c r="A21" s="71" t="s">
        <v>2629</v>
      </c>
      <c r="B21" s="71" t="n">
        <f aca="false">SUM(B3:B18)</f>
        <v>9.101</v>
      </c>
      <c r="C21" s="66"/>
      <c r="G21" s="61"/>
      <c r="I21" s="63"/>
    </row>
    <row r="22" customFormat="false" ht="15.75" hidden="false" customHeight="false" outlineLevel="0" collapsed="false">
      <c r="A22" s="0" t="s">
        <v>2630</v>
      </c>
      <c r="B22" s="72" t="n">
        <f aca="false">B21/B23</f>
        <v>70.0076923076923</v>
      </c>
      <c r="C22" s="66"/>
      <c r="G22" s="61"/>
      <c r="I22" s="63"/>
    </row>
    <row r="23" customFormat="false" ht="15.75" hidden="false" customHeight="false" outlineLevel="0" collapsed="false">
      <c r="A23" s="0" t="s">
        <v>2631</v>
      </c>
      <c r="B23" s="0" t="n">
        <v>0.13</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272</v>
      </c>
      <c r="B1" s="50"/>
      <c r="C1" s="50"/>
      <c r="D1" s="50"/>
      <c r="E1" s="51" t="s">
        <v>2619</v>
      </c>
      <c r="F1" s="51"/>
      <c r="G1" s="52" t="s">
        <v>2669</v>
      </c>
    </row>
    <row r="2" customFormat="false" ht="24.75" hidden="false" customHeight="true" outlineLevel="0" collapsed="false">
      <c r="A2" s="50"/>
      <c r="B2" s="50"/>
      <c r="C2" s="50"/>
      <c r="D2" s="50"/>
      <c r="E2" s="53" t="s">
        <v>2636</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1784</v>
      </c>
      <c r="B4" s="57" t="n">
        <v>7.49</v>
      </c>
      <c r="C4" s="58" t="n">
        <f aca="false">B4/B$22*B$24</f>
        <v>11.7627982867632</v>
      </c>
      <c r="D4" s="57" t="s">
        <v>434</v>
      </c>
      <c r="E4" s="59" t="n">
        <f aca="false">IFERROR(INDEX(Correspondance!$D$2:$D$3000,MATCH(A4,Correspondance!$A$2:$A$3000,0)),0)</f>
        <v>7</v>
      </c>
      <c r="F4" s="60" t="n">
        <f aca="false">C4*E4</f>
        <v>82.3395880073424</v>
      </c>
      <c r="G4" s="61" t="s">
        <v>2943</v>
      </c>
    </row>
    <row r="5" customFormat="false" ht="15.75" hidden="false" customHeight="false" outlineLevel="0" collapsed="false">
      <c r="A5" s="57" t="s">
        <v>1705</v>
      </c>
      <c r="B5" s="57" t="n">
        <v>2.25</v>
      </c>
      <c r="C5" s="58" t="n">
        <f aca="false">B5/B$22*B$24</f>
        <v>3.53355088721191</v>
      </c>
      <c r="D5" s="57" t="s">
        <v>434</v>
      </c>
      <c r="E5" s="59" t="n">
        <f aca="false">IFERROR(INDEX(Correspondance!$D$2:$D$3000,MATCH(A5,Correspondance!$A$2:$A$3000,0)),0)</f>
        <v>3.2</v>
      </c>
      <c r="F5" s="60" t="n">
        <f aca="false">C5*E5</f>
        <v>11.3073628390781</v>
      </c>
      <c r="G5" s="61"/>
      <c r="I5" s="62"/>
    </row>
    <row r="6" customFormat="false" ht="15.75" hidden="false" customHeight="false" outlineLevel="0" collapsed="false">
      <c r="A6" s="57" t="s">
        <v>1604</v>
      </c>
      <c r="B6" s="57" t="n">
        <v>6.74</v>
      </c>
      <c r="C6" s="58" t="n">
        <f aca="false">B6/B$22*B$24</f>
        <v>10.5849479910259</v>
      </c>
      <c r="D6" s="57" t="s">
        <v>682</v>
      </c>
      <c r="E6" s="59" t="n">
        <f aca="false">IFERROR(INDEX(Correspondance!$D$2:$D$3000,MATCH(A6,Correspondance!$A$2:$A$3000,0)),0)</f>
        <v>0</v>
      </c>
      <c r="F6" s="60" t="n">
        <f aca="false">C6*E6</f>
        <v>0</v>
      </c>
      <c r="G6" s="61"/>
      <c r="I6" s="63"/>
    </row>
    <row r="7" customFormat="false" ht="15.75" hidden="false" customHeight="false" outlineLevel="0" collapsed="false">
      <c r="A7" s="57" t="s">
        <v>1907</v>
      </c>
      <c r="B7" s="57" t="n">
        <v>1.5</v>
      </c>
      <c r="C7" s="58" t="n">
        <f aca="false">B7/B$22*B$24</f>
        <v>2.35570059147461</v>
      </c>
      <c r="D7" s="57" t="s">
        <v>434</v>
      </c>
      <c r="E7" s="59" t="n">
        <f aca="false">IFERROR(INDEX(Correspondance!$D$2:$D$3000,MATCH(A7,Correspondance!$A$2:$A$3000,0)),0)</f>
        <v>9.5</v>
      </c>
      <c r="F7" s="60" t="n">
        <f aca="false">C7*E7</f>
        <v>22.3791556190088</v>
      </c>
      <c r="G7" s="61"/>
      <c r="I7" s="63"/>
    </row>
    <row r="8" customFormat="false" ht="15.75" hidden="false" customHeight="false" outlineLevel="0" collapsed="false">
      <c r="A8" s="57" t="s">
        <v>917</v>
      </c>
      <c r="B8" s="57" t="n">
        <v>0.749</v>
      </c>
      <c r="C8" s="58" t="n">
        <f aca="false">B8/B$22*B$24</f>
        <v>1.17627982867632</v>
      </c>
      <c r="D8" s="57" t="s">
        <v>434</v>
      </c>
      <c r="E8" s="59" t="n">
        <f aca="false">IFERROR(INDEX(Correspondance!$D$2:$D$3000,MATCH(A8,Correspondance!$A$2:$A$3000,0)),0)</f>
        <v>1.8</v>
      </c>
      <c r="F8" s="60" t="n">
        <f aca="false">C8*E8</f>
        <v>2.11730369161738</v>
      </c>
      <c r="G8" s="61"/>
      <c r="I8" s="63"/>
    </row>
    <row r="9" customFormat="false" ht="15.75" hidden="false" customHeight="false" outlineLevel="0" collapsed="false">
      <c r="A9" s="57" t="s">
        <v>1001</v>
      </c>
      <c r="B9" s="57" t="n">
        <v>0.599</v>
      </c>
      <c r="C9" s="58" t="n">
        <f aca="false">B9/B$22*B$24</f>
        <v>0.94070976952886</v>
      </c>
      <c r="D9" s="57" t="s">
        <v>434</v>
      </c>
      <c r="E9" s="59" t="n">
        <f aca="false">IFERROR(INDEX(Correspondance!$D$2:$D$3000,MATCH(A9,Correspondance!$A$2:$A$3000,0)),0)</f>
        <v>1.8</v>
      </c>
      <c r="F9" s="60" t="n">
        <f aca="false">C9*E9</f>
        <v>1.69327758515195</v>
      </c>
      <c r="G9" s="61"/>
      <c r="I9" s="63"/>
    </row>
    <row r="10" customFormat="false" ht="15.75" hidden="false" customHeight="false" outlineLevel="0" collapsed="false">
      <c r="A10" s="57" t="s">
        <v>894</v>
      </c>
      <c r="B10" s="57" t="n">
        <v>0.037</v>
      </c>
      <c r="C10" s="58" t="n">
        <f aca="false">B10/B$22*B$24</f>
        <v>0.0581072812563736</v>
      </c>
      <c r="D10" s="57" t="s">
        <v>434</v>
      </c>
      <c r="E10" s="59" t="n">
        <f aca="false">IFERROR(INDEX(Correspondance!$D$2:$D$3000,MATCH(A10,Correspondance!$A$2:$A$3000,0)),0)</f>
        <v>5.5</v>
      </c>
      <c r="F10" s="60" t="n">
        <f aca="false">C10*E10</f>
        <v>0.319590046910055</v>
      </c>
      <c r="G10" s="61"/>
      <c r="I10" s="63"/>
    </row>
    <row r="11" customFormat="false" ht="15.75" hidden="false" customHeight="false" outlineLevel="0" collapsed="false">
      <c r="A11" s="57" t="s">
        <v>1551</v>
      </c>
      <c r="B11" s="57"/>
      <c r="C11" s="58" t="n">
        <f aca="false">B11/B$22*B$24</f>
        <v>0</v>
      </c>
      <c r="D11" s="57" t="s">
        <v>434</v>
      </c>
      <c r="E11" s="59" t="n">
        <f aca="false">IFERROR(INDEX(Correspondance!$D$2:$D$3000,MATCH(A11,Correspondance!$A$2:$A$3000,0)),0)</f>
        <v>25</v>
      </c>
      <c r="F11" s="60" t="n">
        <f aca="false">C11*E11</f>
        <v>0</v>
      </c>
      <c r="G11" s="61"/>
      <c r="I11" s="63"/>
    </row>
    <row r="12" customFormat="false" ht="18.75" hidden="false" customHeight="true" outlineLevel="0" collapsed="false">
      <c r="A12" s="57" t="s">
        <v>1796</v>
      </c>
      <c r="B12" s="64" t="n">
        <v>0.007</v>
      </c>
      <c r="C12" s="58" t="n">
        <f aca="false">B12/B$22*B$24</f>
        <v>0.0109932694268815</v>
      </c>
      <c r="D12" s="57" t="s">
        <v>434</v>
      </c>
      <c r="E12" s="59" t="n">
        <f aca="false">IFERROR(INDEX(Correspondance!$D$2:$D$3000,MATCH(A12,Correspondance!$A$2:$A$3000,0)),0)</f>
        <v>18</v>
      </c>
      <c r="F12" s="60" t="n">
        <f aca="false">C12*E12</f>
        <v>0.197878849683867</v>
      </c>
      <c r="G12" s="61"/>
      <c r="I12" s="63"/>
    </row>
    <row r="13" customFormat="false" ht="18.75" hidden="false" customHeight="true" outlineLevel="0" collapsed="false">
      <c r="A13" s="57" t="s">
        <v>1924</v>
      </c>
      <c r="B13" s="64" t="n">
        <v>0.015</v>
      </c>
      <c r="C13" s="58" t="n">
        <f aca="false">B13/B$22*B$24</f>
        <v>0.0235570059147461</v>
      </c>
      <c r="D13" s="57" t="s">
        <v>434</v>
      </c>
      <c r="E13" s="59" t="n">
        <f aca="false">IFERROR(INDEX(Correspondance!$D$2:$D$3000,MATCH(A13,Correspondance!$A$2:$A$3000,0)),0)</f>
        <v>2</v>
      </c>
      <c r="F13" s="60" t="n">
        <f aca="false">C13*E13</f>
        <v>0.0471140118294921</v>
      </c>
      <c r="G13" s="61"/>
      <c r="I13" s="63"/>
    </row>
    <row r="14" customFormat="false" ht="15.75" hidden="false" customHeight="false" outlineLevel="0" collapsed="false">
      <c r="A14" s="57" t="s">
        <v>1727</v>
      </c>
      <c r="B14" s="57" t="n">
        <v>0.225</v>
      </c>
      <c r="C14" s="58" t="n">
        <f aca="false">B14/B$22*B$24</f>
        <v>0.353355088721191</v>
      </c>
      <c r="D14" s="57" t="s">
        <v>434</v>
      </c>
      <c r="E14" s="59" t="n">
        <f aca="false">IFERROR(INDEX(Correspondance!$D$2:$D$3000,MATCH(A14,Correspondance!$A$2:$A$3000,0)),0)</f>
        <v>9</v>
      </c>
      <c r="F14" s="60" t="n">
        <f aca="false">C14*E14</f>
        <v>3.18019579849072</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123.581466449113</v>
      </c>
      <c r="G19" s="61"/>
      <c r="I19" s="63"/>
    </row>
    <row r="20" customFormat="false" ht="18.75" hidden="false" customHeight="true" outlineLevel="0" collapsed="false">
      <c r="A20" s="68" t="s">
        <v>2628</v>
      </c>
      <c r="B20" s="69" t="n">
        <f aca="false">F19/B24</f>
        <v>1.12346787681012</v>
      </c>
      <c r="C20" s="70"/>
      <c r="G20" s="61"/>
      <c r="I20" s="63"/>
    </row>
    <row r="21" customFormat="false" ht="15.75" hidden="false" customHeight="false" outlineLevel="0" collapsed="false">
      <c r="A21" s="71" t="s">
        <v>2629</v>
      </c>
      <c r="B21" s="71" t="n">
        <f aca="false">SUM(B3:B18)</f>
        <v>19.612</v>
      </c>
      <c r="C21" s="66"/>
      <c r="G21" s="61"/>
      <c r="I21" s="63"/>
    </row>
    <row r="22" customFormat="false" ht="15.75" hidden="false" customHeight="false" outlineLevel="0" collapsed="false">
      <c r="A22" s="0" t="s">
        <v>2630</v>
      </c>
      <c r="B22" s="72" t="n">
        <f aca="false">B21/B23</f>
        <v>70.0428571428571</v>
      </c>
      <c r="C22" s="66"/>
      <c r="G22" s="61"/>
      <c r="I22" s="63"/>
    </row>
    <row r="23" customFormat="false" ht="15.75" hidden="false" customHeight="false" outlineLevel="0" collapsed="false">
      <c r="A23" s="0" t="s">
        <v>2631</v>
      </c>
      <c r="B23" s="0" t="n">
        <v>0.28</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273</v>
      </c>
      <c r="B1" s="50"/>
      <c r="C1" s="50"/>
      <c r="D1" s="50"/>
      <c r="E1" s="51" t="s">
        <v>2619</v>
      </c>
      <c r="F1" s="51"/>
      <c r="G1" s="52" t="s">
        <v>2944</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654</v>
      </c>
      <c r="B4" s="57" t="n">
        <v>5.45</v>
      </c>
      <c r="C4" s="58" t="n">
        <f aca="false">B4/B$22*B$24</f>
        <v>8.56245090337785</v>
      </c>
      <c r="D4" s="57" t="s">
        <v>434</v>
      </c>
      <c r="E4" s="59" t="n">
        <f aca="false">IFERROR(INDEX(Correspondance!$D$2:$D$3000,MATCH(A4,Correspondance!$A$2:$A$3000,0)),0)</f>
        <v>12</v>
      </c>
      <c r="F4" s="60" t="n">
        <f aca="false">C4*E4</f>
        <v>102.749410840534</v>
      </c>
      <c r="G4" s="61" t="s">
        <v>2945</v>
      </c>
    </row>
    <row r="5" customFormat="false" ht="15.75" hidden="false" customHeight="false" outlineLevel="0" collapsed="false">
      <c r="A5" s="57" t="s">
        <v>1842</v>
      </c>
      <c r="B5" s="57" t="n">
        <v>4.67</v>
      </c>
      <c r="C5" s="58" t="n">
        <f aca="false">B5/B$22*B$24</f>
        <v>7.33699921445405</v>
      </c>
      <c r="D5" s="57" t="s">
        <v>434</v>
      </c>
      <c r="E5" s="59" t="n">
        <f aca="false">IFERROR(INDEX(Correspondance!$D$2:$D$3000,MATCH(A5,Correspondance!$A$2:$A$3000,0)),0)</f>
        <v>2</v>
      </c>
      <c r="F5" s="60" t="n">
        <f aca="false">C5*E5</f>
        <v>14.6739984289081</v>
      </c>
      <c r="G5" s="61"/>
      <c r="I5" s="62"/>
    </row>
    <row r="6" customFormat="false" ht="15.75" hidden="false" customHeight="false" outlineLevel="0" collapsed="false">
      <c r="A6" s="57" t="s">
        <v>1692</v>
      </c>
      <c r="B6" s="57" t="n">
        <v>2.34</v>
      </c>
      <c r="C6" s="58" t="n">
        <f aca="false">B6/B$22*B$24</f>
        <v>3.67635506677141</v>
      </c>
      <c r="D6" s="57" t="s">
        <v>682</v>
      </c>
      <c r="E6" s="59" t="n">
        <f aca="false">IFERROR(INDEX(Correspondance!$D$2:$D$3000,MATCH(A6,Correspondance!$A$2:$A$3000,0)),0)</f>
        <v>2.4</v>
      </c>
      <c r="F6" s="60" t="n">
        <f aca="false">C6*E6</f>
        <v>8.82325216025137</v>
      </c>
      <c r="G6" s="61"/>
      <c r="I6" s="63"/>
    </row>
    <row r="7" customFormat="false" ht="15.75" hidden="false" customHeight="false" outlineLevel="0" collapsed="false">
      <c r="A7" s="57" t="s">
        <v>1576</v>
      </c>
      <c r="B7" s="57" t="n">
        <v>0.779</v>
      </c>
      <c r="C7" s="58" t="n">
        <f aca="false">B7/B$22*B$24</f>
        <v>1.22388059701493</v>
      </c>
      <c r="D7" s="57" t="s">
        <v>682</v>
      </c>
      <c r="E7" s="59" t="n">
        <f aca="false">IFERROR(INDEX(Correspondance!$D$2:$D$3000,MATCH(A7,Correspondance!$A$2:$A$3000,0)),0)</f>
        <v>5.5</v>
      </c>
      <c r="F7" s="60" t="n">
        <f aca="false">C7*E7</f>
        <v>6.73134328358209</v>
      </c>
      <c r="G7" s="61"/>
      <c r="I7" s="63"/>
    </row>
    <row r="8" customFormat="false" ht="15.75" hidden="false" customHeight="false" outlineLevel="0" collapsed="false">
      <c r="A8" s="57" t="s">
        <v>1120</v>
      </c>
      <c r="B8" s="57" t="n">
        <v>0.467</v>
      </c>
      <c r="C8" s="58" t="n">
        <f aca="false">B8/B$22*B$24</f>
        <v>0.733699921445405</v>
      </c>
      <c r="D8" s="57" t="s">
        <v>682</v>
      </c>
      <c r="E8" s="59" t="n">
        <f aca="false">IFERROR(INDEX(Correspondance!$D$2:$D$3000,MATCH(A8,Correspondance!$A$2:$A$3000,0)),0)</f>
        <v>7.5</v>
      </c>
      <c r="F8" s="60" t="n">
        <f aca="false">C8*E8</f>
        <v>5.50274941084054</v>
      </c>
      <c r="G8" s="61"/>
      <c r="I8" s="63"/>
    </row>
    <row r="9" customFormat="false" ht="15.75" hidden="false" customHeight="false" outlineLevel="0" collapsed="false">
      <c r="A9" s="57" t="s">
        <v>894</v>
      </c>
      <c r="B9" s="57" t="n">
        <v>0.078</v>
      </c>
      <c r="C9" s="58" t="n">
        <f aca="false">B9/B$22*B$24</f>
        <v>0.12254516889238</v>
      </c>
      <c r="D9" s="57" t="s">
        <v>434</v>
      </c>
      <c r="E9" s="59" t="n">
        <f aca="false">IFERROR(INDEX(Correspondance!$D$2:$D$3000,MATCH(A9,Correspondance!$A$2:$A$3000,0)),0)</f>
        <v>5.5</v>
      </c>
      <c r="F9" s="60" t="n">
        <f aca="false">C9*E9</f>
        <v>0.673998428908091</v>
      </c>
      <c r="G9" s="61"/>
      <c r="I9" s="63"/>
    </row>
    <row r="10" customFormat="false" ht="15.75" hidden="false" customHeight="false" outlineLevel="0" collapsed="false">
      <c r="A10" s="57" t="s">
        <v>1007</v>
      </c>
      <c r="B10" s="57" t="n">
        <v>0.039</v>
      </c>
      <c r="C10" s="58" t="n">
        <f aca="false">B10/B$22*B$24</f>
        <v>0.0612725844461901</v>
      </c>
      <c r="D10" s="57" t="s">
        <v>434</v>
      </c>
      <c r="E10" s="59" t="n">
        <f aca="false">IFERROR(INDEX(Correspondance!$D$2:$D$3000,MATCH(A10,Correspondance!$A$2:$A$3000,0)),0)</f>
        <v>8</v>
      </c>
      <c r="F10" s="60" t="n">
        <f aca="false">C10*E10</f>
        <v>0.490180675569521</v>
      </c>
      <c r="G10" s="61"/>
      <c r="I10" s="63"/>
    </row>
    <row r="11" customFormat="false" ht="15.75" hidden="false" customHeight="false" outlineLevel="0" collapsed="false">
      <c r="A11" s="57" t="s">
        <v>1070</v>
      </c>
      <c r="B11" s="57" t="n">
        <v>0.156</v>
      </c>
      <c r="C11" s="58" t="n">
        <f aca="false">B11/B$22*B$24</f>
        <v>0.24509033778476</v>
      </c>
      <c r="D11" s="57" t="s">
        <v>434</v>
      </c>
      <c r="E11" s="59" t="n">
        <f aca="false">IFERROR(INDEX(Correspondance!$D$2:$D$3000,MATCH(A11,Correspondance!$A$2:$A$3000,0)),0)</f>
        <v>2</v>
      </c>
      <c r="F11" s="60" t="n">
        <f aca="false">C11*E11</f>
        <v>0.490180675569521</v>
      </c>
      <c r="G11" s="61"/>
      <c r="I11" s="63"/>
    </row>
    <row r="12" customFormat="false" ht="18.75" hidden="false" customHeight="true" outlineLevel="0" collapsed="false">
      <c r="A12" s="57" t="s">
        <v>1796</v>
      </c>
      <c r="B12" s="64" t="n">
        <v>0.008</v>
      </c>
      <c r="C12" s="58" t="n">
        <f aca="false">B12/B$22*B$24</f>
        <v>0.0125687352710134</v>
      </c>
      <c r="D12" s="57" t="s">
        <v>434</v>
      </c>
      <c r="E12" s="59" t="n">
        <f aca="false">IFERROR(INDEX(Correspondance!$D$2:$D$3000,MATCH(A12,Correspondance!$A$2:$A$3000,0)),0)</f>
        <v>18</v>
      </c>
      <c r="F12" s="60" t="n">
        <f aca="false">C12*E12</f>
        <v>0.22623723487824</v>
      </c>
      <c r="G12" s="61"/>
      <c r="I12" s="63"/>
    </row>
    <row r="13" customFormat="false" ht="18.75" hidden="false" customHeight="true" outlineLevel="0" collapsed="false">
      <c r="A13" s="57" t="s">
        <v>1732</v>
      </c>
      <c r="B13" s="64"/>
      <c r="C13" s="58" t="n">
        <f aca="false">B13/B$22*B$24</f>
        <v>0</v>
      </c>
      <c r="D13" s="57" t="s">
        <v>434</v>
      </c>
      <c r="E13" s="59" t="n">
        <f aca="false">IFERROR(INDEX(Correspondance!$D$2:$D$3000,MATCH(A13,Correspondance!$A$2:$A$3000,0)),0)</f>
        <v>30</v>
      </c>
      <c r="F13" s="60" t="n">
        <f aca="false">C13*E13</f>
        <v>0</v>
      </c>
      <c r="G13" s="61"/>
      <c r="I13" s="63"/>
    </row>
    <row r="14" customFormat="false" ht="15.75" hidden="false" customHeight="false" outlineLevel="0" collapsed="false">
      <c r="A14" s="57" t="s">
        <v>1703</v>
      </c>
      <c r="B14" s="57"/>
      <c r="C14" s="58" t="n">
        <f aca="false">B14/B$22*B$24</f>
        <v>0</v>
      </c>
      <c r="D14" s="57" t="s">
        <v>434</v>
      </c>
      <c r="E14" s="59" t="n">
        <f aca="false">IFERROR(INDEX(Correspondance!$D$2:$D$3000,MATCH(A14,Correspondance!$A$2:$A$3000,0)),0)</f>
        <v>16</v>
      </c>
      <c r="F14" s="60" t="n">
        <f aca="false">C14*E14</f>
        <v>0</v>
      </c>
      <c r="G14" s="61"/>
      <c r="I14" s="63"/>
    </row>
    <row r="15" customFormat="false" ht="15.75" hidden="false" customHeight="false" outlineLevel="0" collapsed="false">
      <c r="A15" s="57" t="s">
        <v>1921</v>
      </c>
      <c r="B15" s="57" t="n">
        <v>0.016</v>
      </c>
      <c r="C15" s="58" t="n">
        <f aca="false">B15/B$22*B$24</f>
        <v>0.0251374705420267</v>
      </c>
      <c r="D15" s="57" t="s">
        <v>434</v>
      </c>
      <c r="E15" s="59" t="n">
        <f aca="false">IFERROR(INDEX(Correspondance!$D$2:$D$3000,MATCH(A15,Correspondance!$A$2:$A$3000,0)),0)</f>
        <v>2</v>
      </c>
      <c r="F15" s="60" t="n">
        <f aca="false">C15*E15</f>
        <v>0.0502749410840534</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140.411626080126</v>
      </c>
      <c r="G19" s="61"/>
      <c r="I19" s="63"/>
    </row>
    <row r="20" customFormat="false" ht="18.75" hidden="false" customHeight="true" outlineLevel="0" collapsed="false">
      <c r="A20" s="68" t="s">
        <v>2628</v>
      </c>
      <c r="B20" s="69" t="n">
        <f aca="false">F19/B24</f>
        <v>1.27646932800114</v>
      </c>
      <c r="C20" s="70"/>
      <c r="G20" s="61"/>
      <c r="I20" s="63"/>
    </row>
    <row r="21" customFormat="false" ht="15.75" hidden="false" customHeight="false" outlineLevel="0" collapsed="false">
      <c r="A21" s="71" t="s">
        <v>2629</v>
      </c>
      <c r="B21" s="71" t="n">
        <f aca="false">SUM(B3:B18)</f>
        <v>14.003</v>
      </c>
      <c r="C21" s="66"/>
      <c r="G21" s="61"/>
      <c r="I21" s="63"/>
    </row>
    <row r="22" customFormat="false" ht="15.75" hidden="false" customHeight="false" outlineLevel="0" collapsed="false">
      <c r="A22" s="0" t="s">
        <v>2630</v>
      </c>
      <c r="B22" s="72" t="n">
        <f aca="false">B21/B23</f>
        <v>70.015</v>
      </c>
      <c r="C22" s="66"/>
      <c r="G22" s="61"/>
      <c r="I22" s="63"/>
    </row>
    <row r="23" customFormat="false" ht="15.75" hidden="false" customHeight="false" outlineLevel="0" collapsed="false">
      <c r="A23" s="0" t="s">
        <v>2631</v>
      </c>
      <c r="B23" s="0" t="n">
        <v>0.2</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274</v>
      </c>
      <c r="B1" s="50"/>
      <c r="C1" s="50"/>
      <c r="D1" s="50"/>
      <c r="E1" s="51" t="s">
        <v>2619</v>
      </c>
      <c r="F1" s="51"/>
      <c r="G1" s="52" t="s">
        <v>2946</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1173</v>
      </c>
      <c r="B4" s="57" t="n">
        <v>3</v>
      </c>
      <c r="C4" s="58" t="n">
        <f aca="false">B4/B$22*B$24</f>
        <v>4.71575938909481</v>
      </c>
      <c r="D4" s="57" t="s">
        <v>434</v>
      </c>
      <c r="E4" s="59" t="n">
        <f aca="false">IFERROR(INDEX(Correspondance!$D$2:$D$3000,MATCH(A4,Correspondance!$A$2:$A$3000,0)),0)</f>
        <v>1.9</v>
      </c>
      <c r="F4" s="60" t="n">
        <f aca="false">C4*E4</f>
        <v>8.95994283928013</v>
      </c>
      <c r="G4" s="61" t="s">
        <v>2947</v>
      </c>
    </row>
    <row r="5" customFormat="false" ht="15.75" hidden="false" customHeight="false" outlineLevel="0" collapsed="false">
      <c r="A5" s="57" t="s">
        <v>1663</v>
      </c>
      <c r="B5" s="57" t="n">
        <v>3.75</v>
      </c>
      <c r="C5" s="58" t="n">
        <f aca="false">B5/B$22*B$24</f>
        <v>5.89469923636851</v>
      </c>
      <c r="D5" s="57" t="s">
        <v>434</v>
      </c>
      <c r="E5" s="59" t="n">
        <f aca="false">IFERROR(INDEX(Correspondance!$D$2:$D$3000,MATCH(A5,Correspondance!$A$2:$A$3000,0)),0)</f>
        <v>7.5</v>
      </c>
      <c r="F5" s="60" t="n">
        <f aca="false">C5*E5</f>
        <v>44.2102442727638</v>
      </c>
      <c r="G5" s="61"/>
      <c r="I5" s="62"/>
    </row>
    <row r="6" customFormat="false" ht="15.75" hidden="false" customHeight="false" outlineLevel="0" collapsed="false">
      <c r="A6" s="57" t="s">
        <v>1536</v>
      </c>
      <c r="B6" s="57" t="n">
        <v>0.749</v>
      </c>
      <c r="C6" s="58" t="n">
        <f aca="false">B6/B$22*B$24</f>
        <v>1.17736792747734</v>
      </c>
      <c r="D6" s="57" t="s">
        <v>434</v>
      </c>
      <c r="E6" s="59" t="n">
        <f aca="false">IFERROR(INDEX(Correspondance!$D$2:$D$3000,MATCH(A6,Correspondance!$A$2:$A$3000,0)),0)</f>
        <v>10.5</v>
      </c>
      <c r="F6" s="60" t="n">
        <f aca="false">C6*E6</f>
        <v>12.362363238512</v>
      </c>
      <c r="G6" s="61"/>
      <c r="I6" s="63"/>
    </row>
    <row r="7" customFormat="false" ht="15.75" hidden="false" customHeight="false" outlineLevel="0" collapsed="false">
      <c r="A7" s="57" t="s">
        <v>659</v>
      </c>
      <c r="B7" s="57" t="n">
        <v>1.12</v>
      </c>
      <c r="C7" s="58" t="n">
        <f aca="false">B7/B$22*B$24</f>
        <v>1.76055017192873</v>
      </c>
      <c r="D7" s="57" t="s">
        <v>434</v>
      </c>
      <c r="E7" s="59" t="n">
        <f aca="false">IFERROR(INDEX(Correspondance!$D$2:$D$3000,MATCH(A7,Correspondance!$A$2:$A$3000,0)),0)</f>
        <v>7</v>
      </c>
      <c r="F7" s="60" t="n">
        <f aca="false">C7*E7</f>
        <v>12.3238512035011</v>
      </c>
      <c r="G7" s="61"/>
      <c r="I7" s="63"/>
    </row>
    <row r="8" customFormat="false" ht="15.75" hidden="false" customHeight="false" outlineLevel="0" collapsed="false">
      <c r="A8" s="57" t="s">
        <v>627</v>
      </c>
      <c r="B8" s="57" t="n">
        <v>1.12</v>
      </c>
      <c r="C8" s="58" t="n">
        <f aca="false">B8/B$22*B$24</f>
        <v>1.76055017192873</v>
      </c>
      <c r="D8" s="57" t="s">
        <v>434</v>
      </c>
      <c r="E8" s="59" t="n">
        <f aca="false">IFERROR(INDEX(Correspondance!$D$2:$D$3000,MATCH(A8,Correspondance!$A$2:$A$3000,0)),0)</f>
        <v>8.5</v>
      </c>
      <c r="F8" s="60" t="n">
        <f aca="false">C8*E8</f>
        <v>14.9646764613942</v>
      </c>
      <c r="G8" s="61"/>
      <c r="I8" s="63"/>
    </row>
    <row r="9" customFormat="false" ht="15.75" hidden="false" customHeight="false" outlineLevel="0" collapsed="false">
      <c r="A9" s="57" t="s">
        <v>1024</v>
      </c>
      <c r="B9" s="57" t="n">
        <v>1.12</v>
      </c>
      <c r="C9" s="58" t="n">
        <f aca="false">B9/B$22*B$24</f>
        <v>1.76055017192873</v>
      </c>
      <c r="D9" s="57" t="s">
        <v>434</v>
      </c>
      <c r="E9" s="59" t="n">
        <f aca="false">IFERROR(INDEX(Correspondance!$D$2:$D$3000,MATCH(A9,Correspondance!$A$2:$A$3000,0)),0)</f>
        <v>3</v>
      </c>
      <c r="F9" s="60" t="n">
        <f aca="false">C9*E9</f>
        <v>5.28165051578618</v>
      </c>
      <c r="G9" s="61"/>
      <c r="I9" s="63"/>
    </row>
    <row r="10" customFormat="false" ht="15.75" hidden="false" customHeight="false" outlineLevel="0" collapsed="false">
      <c r="A10" s="57" t="s">
        <v>1009</v>
      </c>
      <c r="B10" s="57" t="n">
        <v>1.12</v>
      </c>
      <c r="C10" s="58" t="n">
        <f aca="false">B10/B$22*B$24</f>
        <v>1.76055017192873</v>
      </c>
      <c r="D10" s="57" t="s">
        <v>434</v>
      </c>
      <c r="E10" s="59" t="n">
        <f aca="false">IFERROR(INDEX(Correspondance!$D$2:$D$3000,MATCH(A10,Correspondance!$A$2:$A$3000,0)),0)</f>
        <v>2.3</v>
      </c>
      <c r="F10" s="60" t="n">
        <f aca="false">C10*E10</f>
        <v>4.04926539543607</v>
      </c>
      <c r="G10" s="61"/>
      <c r="I10" s="63"/>
    </row>
    <row r="11" customFormat="false" ht="15.75" hidden="false" customHeight="false" outlineLevel="0" collapsed="false">
      <c r="A11" s="57" t="s">
        <v>1001</v>
      </c>
      <c r="B11" s="57" t="n">
        <v>0.749</v>
      </c>
      <c r="C11" s="58" t="n">
        <f aca="false">B11/B$22*B$24</f>
        <v>1.17736792747734</v>
      </c>
      <c r="D11" s="57" t="s">
        <v>434</v>
      </c>
      <c r="E11" s="59" t="n">
        <f aca="false">IFERROR(INDEX(Correspondance!$D$2:$D$3000,MATCH(A11,Correspondance!$A$2:$A$3000,0)),0)</f>
        <v>1.8</v>
      </c>
      <c r="F11" s="60" t="n">
        <f aca="false">C11*E11</f>
        <v>2.11926226945921</v>
      </c>
      <c r="G11" s="61"/>
      <c r="I11" s="63"/>
    </row>
    <row r="12" customFormat="false" ht="18.75" hidden="false" customHeight="true" outlineLevel="0" collapsed="false">
      <c r="A12" s="57" t="s">
        <v>1957</v>
      </c>
      <c r="B12" s="64" t="n">
        <v>1.5</v>
      </c>
      <c r="C12" s="58" t="n">
        <f aca="false">B12/B$22*B$24</f>
        <v>2.3578796945474</v>
      </c>
      <c r="D12" s="57" t="s">
        <v>434</v>
      </c>
      <c r="E12" s="59" t="n">
        <f aca="false">IFERROR(INDEX(Correspondance!$D$2:$D$3000,MATCH(A12,Correspondance!$A$2:$A$3000,0)),0)</f>
        <v>1.6</v>
      </c>
      <c r="F12" s="60" t="n">
        <f aca="false">C12*E12</f>
        <v>3.77260751127584</v>
      </c>
      <c r="G12" s="61"/>
      <c r="I12" s="63"/>
    </row>
    <row r="13" customFormat="false" ht="18.75" hidden="false" customHeight="true" outlineLevel="0" collapsed="false">
      <c r="A13" s="57" t="s">
        <v>894</v>
      </c>
      <c r="B13" s="64" t="n">
        <v>0.075</v>
      </c>
      <c r="C13" s="58" t="n">
        <f aca="false">B13/B$22*B$24</f>
        <v>0.11789398472737</v>
      </c>
      <c r="D13" s="57" t="s">
        <v>434</v>
      </c>
      <c r="E13" s="59" t="n">
        <f aca="false">IFERROR(INDEX(Correspondance!$D$2:$D$3000,MATCH(A13,Correspondance!$A$2:$A$3000,0)),0)</f>
        <v>5.5</v>
      </c>
      <c r="F13" s="60" t="n">
        <f aca="false">C13*E13</f>
        <v>0.648416916000536</v>
      </c>
      <c r="G13" s="61"/>
      <c r="I13" s="63"/>
    </row>
    <row r="14" customFormat="false" ht="15.75" hidden="false" customHeight="false" outlineLevel="0" collapsed="false">
      <c r="A14" s="57" t="s">
        <v>1100</v>
      </c>
      <c r="B14" s="57" t="n">
        <v>0.15</v>
      </c>
      <c r="C14" s="58" t="n">
        <f aca="false">B14/B$22*B$24</f>
        <v>0.23578796945474</v>
      </c>
      <c r="D14" s="57" t="s">
        <v>434</v>
      </c>
      <c r="E14" s="59" t="n">
        <f aca="false">IFERROR(INDEX(Correspondance!$D$2:$D$3000,MATCH(A14,Correspondance!$A$2:$A$3000,0)),0)</f>
        <v>10</v>
      </c>
      <c r="F14" s="60" t="n">
        <f aca="false">C14*E14</f>
        <v>2.3578796945474</v>
      </c>
      <c r="G14" s="61"/>
      <c r="I14" s="63"/>
    </row>
    <row r="15" customFormat="false" ht="15.75" hidden="false" customHeight="false" outlineLevel="0" collapsed="false">
      <c r="A15" s="57" t="s">
        <v>1459</v>
      </c>
      <c r="B15" s="57" t="n">
        <v>7.49</v>
      </c>
      <c r="C15" s="58" t="n">
        <f aca="false">B15/B$22*B$24</f>
        <v>11.7736792747734</v>
      </c>
      <c r="D15" s="57" t="s">
        <v>682</v>
      </c>
      <c r="E15" s="59" t="n">
        <f aca="false">IFERROR(INDEX(Correspondance!$D$2:$D$3000,MATCH(A15,Correspondance!$A$2:$A$3000,0)),0)</f>
        <v>0</v>
      </c>
      <c r="F15" s="60" t="n">
        <f aca="false">C15*E15</f>
        <v>0</v>
      </c>
      <c r="G15" s="61"/>
      <c r="I15" s="63"/>
    </row>
    <row r="16" customFormat="false" ht="15.75" hidden="false" customHeight="false" outlineLevel="0" collapsed="false">
      <c r="A16" s="57" t="s">
        <v>1992</v>
      </c>
      <c r="B16" s="57" t="n">
        <v>0.075</v>
      </c>
      <c r="C16" s="58" t="n">
        <f aca="false">B16/B$22*B$24</f>
        <v>0.11789398472737</v>
      </c>
      <c r="D16" s="57" t="s">
        <v>434</v>
      </c>
      <c r="E16" s="59" t="n">
        <f aca="false">IFERROR(INDEX(Correspondance!$D$2:$D$3000,MATCH(A16,Correspondance!$A$2:$A$3000,0)),0)</f>
        <v>18</v>
      </c>
      <c r="F16" s="60" t="n">
        <f aca="false">C16*E16</f>
        <v>2.12209172509266</v>
      </c>
      <c r="G16" s="61"/>
      <c r="I16" s="63"/>
    </row>
    <row r="17" customFormat="false" ht="15.75" hidden="false" customHeight="false" outlineLevel="0" collapsed="false">
      <c r="A17" s="57" t="s">
        <v>1120</v>
      </c>
      <c r="B17" s="57" t="n">
        <v>0.3</v>
      </c>
      <c r="C17" s="58" t="n">
        <f aca="false">B17/B$22*B$24</f>
        <v>0.471575938909481</v>
      </c>
      <c r="D17" s="57" t="s">
        <v>682</v>
      </c>
      <c r="E17" s="59" t="n">
        <f aca="false">IFERROR(INDEX(Correspondance!$D$2:$D$3000,MATCH(A17,Correspondance!$A$2:$A$3000,0)),0)</f>
        <v>7.5</v>
      </c>
      <c r="F17" s="60" t="n">
        <f aca="false">C17*E17</f>
        <v>3.53681954182111</v>
      </c>
      <c r="G17" s="61"/>
      <c r="I17" s="63"/>
    </row>
    <row r="18" customFormat="false" ht="15.75" hidden="false" customHeight="false" outlineLevel="0" collapsed="false">
      <c r="A18" s="57" t="s">
        <v>1919</v>
      </c>
      <c r="B18" s="57" t="n">
        <v>0.075</v>
      </c>
      <c r="C18" s="58" t="n">
        <f aca="false">B18/B$22*B$24</f>
        <v>0.11789398472737</v>
      </c>
      <c r="D18" s="57" t="s">
        <v>434</v>
      </c>
      <c r="E18" s="59" t="n">
        <f aca="false">IFERROR(INDEX(Correspondance!$D$2:$D$3000,MATCH(A18,Correspondance!$A$2:$A$3000,0)),0)</f>
        <v>2</v>
      </c>
      <c r="F18" s="60" t="n">
        <f aca="false">C18*E18</f>
        <v>0.23578796945474</v>
      </c>
      <c r="G18" s="61"/>
      <c r="I18" s="63"/>
    </row>
    <row r="19" customFormat="false" ht="15.75" hidden="false" customHeight="false" outlineLevel="0" collapsed="false">
      <c r="C19" s="66"/>
      <c r="F19" s="67" t="n">
        <f aca="false">SUM(F4:F18)</f>
        <v>116.944859554325</v>
      </c>
      <c r="G19" s="61"/>
      <c r="I19" s="63"/>
    </row>
    <row r="20" customFormat="false" ht="18.75" hidden="false" customHeight="true" outlineLevel="0" collapsed="false">
      <c r="A20" s="68" t="s">
        <v>2628</v>
      </c>
      <c r="B20" s="69" t="n">
        <f aca="false">F19/B24</f>
        <v>1.0631350868575</v>
      </c>
      <c r="C20" s="70"/>
      <c r="G20" s="61"/>
      <c r="I20" s="63"/>
    </row>
    <row r="21" customFormat="false" ht="15.75" hidden="false" customHeight="false" outlineLevel="0" collapsed="false">
      <c r="A21" s="71" t="s">
        <v>2629</v>
      </c>
      <c r="B21" s="71" t="n">
        <f aca="false">SUM(B3:B18)</f>
        <v>22.393</v>
      </c>
      <c r="C21" s="66"/>
      <c r="G21" s="61"/>
      <c r="I21" s="63"/>
    </row>
    <row r="22" customFormat="false" ht="15.75" hidden="false" customHeight="false" outlineLevel="0" collapsed="false">
      <c r="A22" s="0" t="s">
        <v>2630</v>
      </c>
      <c r="B22" s="72" t="n">
        <f aca="false">B21/B23</f>
        <v>69.978125</v>
      </c>
      <c r="C22" s="66"/>
      <c r="G22" s="61"/>
      <c r="I22" s="63"/>
    </row>
    <row r="23" customFormat="false" ht="15.75" hidden="false" customHeight="false" outlineLevel="0" collapsed="false">
      <c r="A23" s="0" t="s">
        <v>2631</v>
      </c>
      <c r="B23" s="0" t="n">
        <v>0.32</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275</v>
      </c>
      <c r="B1" s="50"/>
      <c r="C1" s="50"/>
      <c r="D1" s="50"/>
      <c r="E1" s="51" t="s">
        <v>2619</v>
      </c>
      <c r="F1" s="51"/>
      <c r="G1" s="52" t="s">
        <v>2948</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1581</v>
      </c>
      <c r="B4" s="57" t="n">
        <v>3.77</v>
      </c>
      <c r="C4" s="58" t="n">
        <f aca="false">B4/B$22*B$24</f>
        <v>5.92682578247821</v>
      </c>
      <c r="D4" s="57" t="s">
        <v>434</v>
      </c>
      <c r="E4" s="59" t="n">
        <f aca="false">IFERROR(INDEX(Correspondance!$D$2:$D$3000,MATCH(A4,Correspondance!$A$2:$A$3000,0)),0)</f>
        <v>6.67</v>
      </c>
      <c r="F4" s="60" t="n">
        <f aca="false">C4*E4</f>
        <v>39.5319279691296</v>
      </c>
      <c r="G4" s="61" t="s">
        <v>2949</v>
      </c>
    </row>
    <row r="5" customFormat="false" ht="15.75" hidden="false" customHeight="false" outlineLevel="0" collapsed="false">
      <c r="A5" s="57" t="s">
        <v>921</v>
      </c>
      <c r="B5" s="57" t="n">
        <v>4.71</v>
      </c>
      <c r="C5" s="58" t="n">
        <f aca="false">B5/B$22*B$24</f>
        <v>7.40460197227383</v>
      </c>
      <c r="D5" s="57" t="s">
        <v>434</v>
      </c>
      <c r="E5" s="59" t="n">
        <f aca="false">IFERROR(INDEX(Correspondance!$D$2:$D$3000,MATCH(A5,Correspondance!$A$2:$A$3000,0)),0)</f>
        <v>3.8</v>
      </c>
      <c r="F5" s="60" t="n">
        <f aca="false">C5*E5</f>
        <v>28.1374874946406</v>
      </c>
      <c r="G5" s="61"/>
      <c r="I5" s="62"/>
    </row>
    <row r="6" customFormat="false" ht="15.75" hidden="false" customHeight="false" outlineLevel="0" collapsed="false">
      <c r="A6" s="57" t="s">
        <v>1001</v>
      </c>
      <c r="B6" s="57" t="n">
        <v>0.393</v>
      </c>
      <c r="C6" s="58" t="n">
        <f aca="false">B6/B$22*B$24</f>
        <v>0.617836215520938</v>
      </c>
      <c r="D6" s="57" t="s">
        <v>434</v>
      </c>
      <c r="E6" s="59" t="n">
        <f aca="false">IFERROR(INDEX(Correspondance!$D$2:$D$3000,MATCH(A6,Correspondance!$A$2:$A$3000,0)),0)</f>
        <v>1.8</v>
      </c>
      <c r="F6" s="60" t="n">
        <f aca="false">C6*E6</f>
        <v>1.11210518793769</v>
      </c>
      <c r="G6" s="61"/>
      <c r="I6" s="63"/>
    </row>
    <row r="7" customFormat="false" ht="15.75" hidden="false" customHeight="false" outlineLevel="0" collapsed="false">
      <c r="A7" s="57" t="s">
        <v>1491</v>
      </c>
      <c r="B7" s="57" t="n">
        <v>0.236</v>
      </c>
      <c r="C7" s="58" t="n">
        <f aca="false">B7/B$22*B$24</f>
        <v>0.371016149778476</v>
      </c>
      <c r="D7" s="57" t="s">
        <v>434</v>
      </c>
      <c r="E7" s="59" t="n">
        <f aca="false">IFERROR(INDEX(Correspondance!$D$2:$D$3000,MATCH(A7,Correspondance!$A$2:$A$3000,0)),0)</f>
        <v>9</v>
      </c>
      <c r="F7" s="60" t="n">
        <f aca="false">C7*E7</f>
        <v>3.33914534800629</v>
      </c>
      <c r="G7" s="61"/>
      <c r="I7" s="63"/>
    </row>
    <row r="8" customFormat="false" ht="15.75" hidden="false" customHeight="false" outlineLevel="0" collapsed="false">
      <c r="A8" s="57" t="s">
        <v>1616</v>
      </c>
      <c r="B8" s="57" t="n">
        <v>0.236</v>
      </c>
      <c r="C8" s="58" t="n">
        <f aca="false">B8/B$22*B$24</f>
        <v>0.371016149778476</v>
      </c>
      <c r="D8" s="57" t="s">
        <v>434</v>
      </c>
      <c r="E8" s="59" t="n">
        <f aca="false">IFERROR(INDEX(Correspondance!$D$2:$D$3000,MATCH(A8,Correspondance!$A$2:$A$3000,0)),0)</f>
        <v>0.85</v>
      </c>
      <c r="F8" s="60" t="n">
        <f aca="false">C8*E8</f>
        <v>0.315363727311705</v>
      </c>
      <c r="G8" s="61"/>
      <c r="I8" s="63"/>
    </row>
    <row r="9" customFormat="false" ht="15.75" hidden="false" customHeight="false" outlineLevel="0" collapsed="false">
      <c r="A9" s="57" t="s">
        <v>1692</v>
      </c>
      <c r="B9" s="57" t="n">
        <v>3.14</v>
      </c>
      <c r="C9" s="58" t="n">
        <f aca="false">B9/B$22*B$24</f>
        <v>4.93640131484922</v>
      </c>
      <c r="D9" s="57" t="s">
        <v>682</v>
      </c>
      <c r="E9" s="59" t="n">
        <f aca="false">IFERROR(INDEX(Correspondance!$D$2:$D$3000,MATCH(A9,Correspondance!$A$2:$A$3000,0)),0)</f>
        <v>2.4</v>
      </c>
      <c r="F9" s="60" t="n">
        <f aca="false">C9*E9</f>
        <v>11.8473631556381</v>
      </c>
      <c r="G9" s="61"/>
      <c r="I9" s="63"/>
    </row>
    <row r="10" customFormat="false" ht="15.75" hidden="false" customHeight="false" outlineLevel="0" collapsed="false">
      <c r="A10" s="57" t="s">
        <v>1576</v>
      </c>
      <c r="B10" s="57" t="n">
        <v>0.786</v>
      </c>
      <c r="C10" s="58" t="n">
        <f aca="false">B10/B$22*B$24</f>
        <v>1.23567243104188</v>
      </c>
      <c r="D10" s="57" t="s">
        <v>682</v>
      </c>
      <c r="E10" s="59" t="n">
        <f aca="false">IFERROR(INDEX(Correspondance!$D$2:$D$3000,MATCH(A10,Correspondance!$A$2:$A$3000,0)),0)</f>
        <v>5.5</v>
      </c>
      <c r="F10" s="60" t="n">
        <f aca="false">C10*E10</f>
        <v>6.79619837073031</v>
      </c>
      <c r="G10" s="61"/>
      <c r="I10" s="63"/>
    </row>
    <row r="11" customFormat="false" ht="15.75" hidden="false" customHeight="false" outlineLevel="0" collapsed="false">
      <c r="A11" s="57" t="s">
        <v>706</v>
      </c>
      <c r="B11" s="57" t="n">
        <v>0.629</v>
      </c>
      <c r="C11" s="58" t="n">
        <f aca="false">B11/B$22*B$24</f>
        <v>0.988852365299414</v>
      </c>
      <c r="D11" s="57" t="s">
        <v>434</v>
      </c>
      <c r="E11" s="59" t="n">
        <f aca="false">IFERROR(INDEX(Correspondance!$D$2:$D$3000,MATCH(A11,Correspondance!$A$2:$A$3000,0)),0)</f>
        <v>7.5</v>
      </c>
      <c r="F11" s="60" t="n">
        <f aca="false">C11*E11</f>
        <v>7.41639273974561</v>
      </c>
      <c r="G11" s="61"/>
      <c r="I11" s="63"/>
    </row>
    <row r="12" customFormat="false" ht="18.75" hidden="false" customHeight="true" outlineLevel="0" collapsed="false">
      <c r="A12" s="57" t="s">
        <v>1007</v>
      </c>
      <c r="B12" s="64" t="n">
        <v>0.039</v>
      </c>
      <c r="C12" s="58" t="n">
        <f aca="false">B12/B$22*B$24</f>
        <v>0.0613119908532228</v>
      </c>
      <c r="D12" s="57" t="s">
        <v>434</v>
      </c>
      <c r="E12" s="59" t="n">
        <f aca="false">IFERROR(INDEX(Correspondance!$D$2:$D$3000,MATCH(A12,Correspondance!$A$2:$A$3000,0)),0)</f>
        <v>8</v>
      </c>
      <c r="F12" s="60" t="n">
        <f aca="false">C12*E12</f>
        <v>0.490495926825783</v>
      </c>
      <c r="G12" s="61"/>
      <c r="I12" s="63"/>
    </row>
    <row r="13" customFormat="false" ht="18.75" hidden="false" customHeight="true" outlineLevel="0" collapsed="false">
      <c r="A13" s="57" t="s">
        <v>1919</v>
      </c>
      <c r="B13" s="64" t="n">
        <v>0.055</v>
      </c>
      <c r="C13" s="58" t="n">
        <f aca="false">B13/B$22*B$24</f>
        <v>0.0864656281263399</v>
      </c>
      <c r="D13" s="57" t="s">
        <v>434</v>
      </c>
      <c r="E13" s="59" t="n">
        <f aca="false">IFERROR(INDEX(Correspondance!$D$2:$D$3000,MATCH(A13,Correspondance!$A$2:$A$3000,0)),0)</f>
        <v>2</v>
      </c>
      <c r="F13" s="60" t="n">
        <f aca="false">C13*E13</f>
        <v>0.17293125625268</v>
      </c>
      <c r="G13" s="61"/>
      <c r="I13" s="63"/>
    </row>
    <row r="14" customFormat="false" ht="15.75" hidden="false" customHeight="false" outlineLevel="0" collapsed="false">
      <c r="A14" s="57" t="s">
        <v>1814</v>
      </c>
      <c r="B14" s="57"/>
      <c r="C14" s="58" t="n">
        <f aca="false">B14/B$22*B$24</f>
        <v>0</v>
      </c>
      <c r="D14" s="57" t="s">
        <v>434</v>
      </c>
      <c r="E14" s="59" t="n">
        <f aca="false">IFERROR(INDEX(Correspondance!$D$2:$D$3000,MATCH(A14,Correspondance!$A$2:$A$3000,0)),0)</f>
        <v>18</v>
      </c>
      <c r="F14" s="60" t="n">
        <f aca="false">C14*E14</f>
        <v>0</v>
      </c>
      <c r="G14" s="61"/>
      <c r="I14" s="63"/>
    </row>
    <row r="15" customFormat="false" ht="15.75" hidden="false" customHeight="false" outlineLevel="0" collapsed="false">
      <c r="A15" s="57" t="s">
        <v>1732</v>
      </c>
      <c r="B15" s="57"/>
      <c r="C15" s="58" t="n">
        <f aca="false">B15/B$22*B$24</f>
        <v>0</v>
      </c>
      <c r="D15" s="57" t="s">
        <v>434</v>
      </c>
      <c r="E15" s="59" t="n">
        <f aca="false">IFERROR(INDEX(Correspondance!$D$2:$D$3000,MATCH(A15,Correspondance!$A$2:$A$3000,0)),0)</f>
        <v>30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99.1594111762184</v>
      </c>
      <c r="G19" s="61"/>
      <c r="I19" s="63"/>
    </row>
    <row r="20" customFormat="false" ht="18.75" hidden="false" customHeight="true" outlineLevel="0" collapsed="false">
      <c r="A20" s="68" t="s">
        <v>2628</v>
      </c>
      <c r="B20" s="69" t="n">
        <f aca="false">F19/B24</f>
        <v>0.901449192511076</v>
      </c>
      <c r="C20" s="70"/>
      <c r="G20" s="61"/>
      <c r="I20" s="63"/>
    </row>
    <row r="21" customFormat="false" ht="15.75" hidden="false" customHeight="false" outlineLevel="0" collapsed="false">
      <c r="A21" s="71" t="s">
        <v>2629</v>
      </c>
      <c r="B21" s="71" t="n">
        <f aca="false">SUM(B3:B18)</f>
        <v>13.994</v>
      </c>
      <c r="C21" s="66"/>
      <c r="G21" s="61"/>
      <c r="I21" s="63"/>
    </row>
    <row r="22" customFormat="false" ht="15.75" hidden="false" customHeight="false" outlineLevel="0" collapsed="false">
      <c r="A22" s="0" t="s">
        <v>2630</v>
      </c>
      <c r="B22" s="72" t="n">
        <f aca="false">B21/B23</f>
        <v>69.97</v>
      </c>
      <c r="C22" s="66"/>
      <c r="G22" s="61"/>
      <c r="I22" s="63"/>
    </row>
    <row r="23" customFormat="false" ht="15.75" hidden="false" customHeight="false" outlineLevel="0" collapsed="false">
      <c r="A23" s="0" t="s">
        <v>2631</v>
      </c>
      <c r="B23" s="0" t="n">
        <v>0.2</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276</v>
      </c>
      <c r="B1" s="50"/>
      <c r="C1" s="50"/>
      <c r="D1" s="50"/>
      <c r="E1" s="51" t="s">
        <v>2619</v>
      </c>
      <c r="F1" s="51"/>
      <c r="G1" s="52" t="s">
        <v>2950</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1908</v>
      </c>
      <c r="B4" s="57" t="n">
        <v>7.91</v>
      </c>
      <c r="C4" s="58" t="n">
        <f aca="false">B4/B$22*B$24</f>
        <v>12.4273369992145</v>
      </c>
      <c r="D4" s="57" t="s">
        <v>434</v>
      </c>
      <c r="E4" s="59" t="n">
        <f aca="false">IFERROR(INDEX(Correspondance!$D$2:$D$3000,MATCH(A4,Correspondance!$A$2:$A$3000,0)),0)</f>
        <v>12</v>
      </c>
      <c r="F4" s="60" t="n">
        <f aca="false">C4*E4</f>
        <v>149.128043990573</v>
      </c>
      <c r="G4" s="61" t="s">
        <v>2951</v>
      </c>
    </row>
    <row r="5" customFormat="false" ht="15.75" hidden="false" customHeight="false" outlineLevel="0" collapsed="false">
      <c r="A5" s="57" t="s">
        <v>1863</v>
      </c>
      <c r="B5" s="57" t="n">
        <v>5.54</v>
      </c>
      <c r="C5" s="58" t="n">
        <f aca="false">B5/B$22*B$24</f>
        <v>8.70384917517675</v>
      </c>
      <c r="D5" s="57" t="s">
        <v>434</v>
      </c>
      <c r="E5" s="59" t="n">
        <f aca="false">IFERROR(INDEX(Correspondance!$D$2:$D$3000,MATCH(A5,Correspondance!$A$2:$A$3000,0)),0)</f>
        <v>5.5</v>
      </c>
      <c r="F5" s="60" t="n">
        <f aca="false">C5*E5</f>
        <v>47.8711704634721</v>
      </c>
      <c r="G5" s="61"/>
      <c r="I5" s="62"/>
    </row>
    <row r="6" customFormat="false" ht="15.75" hidden="false" customHeight="false" outlineLevel="0" collapsed="false">
      <c r="A6" s="57" t="s">
        <v>1687</v>
      </c>
      <c r="B6" s="57" t="n">
        <v>0.158</v>
      </c>
      <c r="C6" s="58" t="n">
        <f aca="false">B6/B$22*B$24</f>
        <v>0.248232521602514</v>
      </c>
      <c r="D6" s="57" t="s">
        <v>682</v>
      </c>
      <c r="E6" s="59" t="n">
        <f aca="false">IFERROR(INDEX(Correspondance!$D$2:$D$3000,MATCH(A6,Correspondance!$A$2:$A$3000,0)),0)</f>
        <v>6.5</v>
      </c>
      <c r="F6" s="60" t="n">
        <f aca="false">C6*E6</f>
        <v>1.61351139041634</v>
      </c>
      <c r="G6" s="61"/>
      <c r="I6" s="63"/>
    </row>
    <row r="7" customFormat="false" ht="15.75" hidden="false" customHeight="false" outlineLevel="0" collapsed="false">
      <c r="A7" s="57" t="s">
        <v>1619</v>
      </c>
      <c r="B7" s="57" t="n">
        <v>0.079</v>
      </c>
      <c r="C7" s="58" t="n">
        <f aca="false">B7/B$22*B$24</f>
        <v>0.124116260801257</v>
      </c>
      <c r="D7" s="57" t="s">
        <v>434</v>
      </c>
      <c r="E7" s="59" t="n">
        <f aca="false">IFERROR(INDEX(Correspondance!$D$2:$D$3000,MATCH(A7,Correspondance!$A$2:$A$3000,0)),0)</f>
        <v>0.85</v>
      </c>
      <c r="F7" s="60" t="n">
        <f aca="false">C7*E7</f>
        <v>0.105498821681068</v>
      </c>
      <c r="G7" s="61"/>
      <c r="I7" s="63"/>
    </row>
    <row r="8" customFormat="false" ht="15.75" hidden="false" customHeight="false" outlineLevel="0" collapsed="false">
      <c r="A8" s="57" t="s">
        <v>1493</v>
      </c>
      <c r="B8" s="57" t="n">
        <v>0.079</v>
      </c>
      <c r="C8" s="58" t="n">
        <f aca="false">B8/B$22*B$24</f>
        <v>0.124116260801257</v>
      </c>
      <c r="D8" s="57" t="s">
        <v>434</v>
      </c>
      <c r="E8" s="59" t="n">
        <f aca="false">IFERROR(INDEX(Correspondance!$D$2:$D$3000,MATCH(A8,Correspondance!$A$2:$A$3000,0)),0)</f>
        <v>9</v>
      </c>
      <c r="F8" s="60" t="n">
        <f aca="false">C8*E8</f>
        <v>1.11704634721131</v>
      </c>
      <c r="G8" s="61"/>
      <c r="I8" s="63"/>
    </row>
    <row r="9" customFormat="false" ht="15.75" hidden="false" customHeight="false" outlineLevel="0" collapsed="false">
      <c r="A9" s="57" t="s">
        <v>1727</v>
      </c>
      <c r="B9" s="57" t="n">
        <v>0.237</v>
      </c>
      <c r="C9" s="58" t="n">
        <f aca="false">B9/B$22*B$24</f>
        <v>0.372348782403771</v>
      </c>
      <c r="D9" s="57" t="s">
        <v>434</v>
      </c>
      <c r="E9" s="59" t="n">
        <f aca="false">IFERROR(INDEX(Correspondance!$D$2:$D$3000,MATCH(A9,Correspondance!$A$2:$A$3000,0)),0)</f>
        <v>9</v>
      </c>
      <c r="F9" s="60" t="n">
        <f aca="false">C9*E9</f>
        <v>3.35113904163394</v>
      </c>
      <c r="G9" s="61"/>
      <c r="I9" s="63"/>
    </row>
    <row r="10" customFormat="false" ht="15.75" hidden="false" customHeight="false" outlineLevel="0" collapsed="false">
      <c r="A10" s="57" t="s">
        <v>1947</v>
      </c>
      <c r="B10" s="57"/>
      <c r="C10" s="58" t="n">
        <f aca="false">B10/B$22*B$24</f>
        <v>0</v>
      </c>
      <c r="D10" s="57" t="s">
        <v>434</v>
      </c>
      <c r="E10" s="59" t="n">
        <f aca="false">IFERROR(INDEX(Correspondance!$D$2:$D$3000,MATCH(A10,Correspondance!$A$2:$A$3000,0)),0)</f>
        <v>16</v>
      </c>
      <c r="F10" s="60" t="n">
        <f aca="false">C10*E10</f>
        <v>0</v>
      </c>
      <c r="G10" s="61"/>
      <c r="I10" s="63"/>
    </row>
    <row r="11" customFormat="false" ht="15.75" hidden="false" customHeight="false" outlineLevel="0" collapsed="false">
      <c r="A11" s="57"/>
      <c r="B11" s="57"/>
      <c r="C11" s="58" t="n">
        <f aca="false">B11/B$22*B$24</f>
        <v>0</v>
      </c>
      <c r="D11" s="57"/>
      <c r="E11" s="65" t="n">
        <f aca="false">IFERROR(INDEX(Correspondance!$D$2:$D$3000,MATCH(A11,Correspondance!$A$2:$A$3000,0)),0)</f>
        <v>0</v>
      </c>
      <c r="F11" s="60" t="n">
        <f aca="false">C11*E11</f>
        <v>0</v>
      </c>
      <c r="G11" s="61"/>
      <c r="I11" s="63"/>
    </row>
    <row r="12" customFormat="false" ht="18.75" hidden="false" customHeight="true" outlineLevel="0" collapsed="false">
      <c r="A12" s="57"/>
      <c r="B12" s="64"/>
      <c r="C12" s="58" t="n">
        <f aca="false">B12/B$22*B$24</f>
        <v>0</v>
      </c>
      <c r="D12" s="57"/>
      <c r="E12" s="65" t="n">
        <f aca="false">IFERROR(INDEX(Correspondance!$D$2:$D$3000,MATCH(A12,Correspondance!$A$2:$A$3000,0)),0)</f>
        <v>0</v>
      </c>
      <c r="F12" s="60" t="n">
        <f aca="false">C12*E12</f>
        <v>0</v>
      </c>
      <c r="G12" s="61"/>
      <c r="I12" s="63"/>
    </row>
    <row r="13" customFormat="false" ht="18.75" hidden="false" customHeight="true" outlineLevel="0" collapsed="false">
      <c r="A13" s="57"/>
      <c r="B13" s="64"/>
      <c r="C13" s="58" t="n">
        <f aca="false">B13/B$22*B$24</f>
        <v>0</v>
      </c>
      <c r="D13" s="57"/>
      <c r="E13" s="65" t="n">
        <f aca="false">IFERROR(INDEX(Correspondance!$D$2:$D$3000,MATCH(A13,Correspondance!$A$2:$A$3000,0)),0)</f>
        <v>0</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203.186410054988</v>
      </c>
      <c r="G19" s="61"/>
      <c r="I19" s="63"/>
    </row>
    <row r="20" customFormat="false" ht="18.75" hidden="false" customHeight="true" outlineLevel="0" collapsed="false">
      <c r="A20" s="68" t="s">
        <v>2628</v>
      </c>
      <c r="B20" s="69" t="n">
        <f aca="false">F19/B24</f>
        <v>1.84714918231807</v>
      </c>
      <c r="C20" s="70"/>
      <c r="G20" s="61"/>
      <c r="I20" s="63"/>
    </row>
    <row r="21" customFormat="false" ht="15.75" hidden="false" customHeight="false" outlineLevel="0" collapsed="false">
      <c r="A21" s="71" t="s">
        <v>2629</v>
      </c>
      <c r="B21" s="71" t="n">
        <f aca="false">SUM(B3:B18)</f>
        <v>14.003</v>
      </c>
      <c r="C21" s="66"/>
      <c r="G21" s="61"/>
      <c r="I21" s="63"/>
    </row>
    <row r="22" customFormat="false" ht="15.75" hidden="false" customHeight="false" outlineLevel="0" collapsed="false">
      <c r="A22" s="0" t="s">
        <v>2630</v>
      </c>
      <c r="B22" s="72" t="n">
        <f aca="false">B21/B23</f>
        <v>70.015</v>
      </c>
      <c r="C22" s="66"/>
      <c r="G22" s="61"/>
      <c r="I22" s="63"/>
    </row>
    <row r="23" customFormat="false" ht="15.75" hidden="false" customHeight="false" outlineLevel="0" collapsed="false">
      <c r="A23" s="0" t="s">
        <v>2631</v>
      </c>
      <c r="B23" s="0" t="n">
        <v>0.2</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278</v>
      </c>
      <c r="B1" s="50"/>
      <c r="C1" s="50"/>
      <c r="D1" s="50"/>
      <c r="E1" s="51" t="s">
        <v>2619</v>
      </c>
      <c r="F1" s="51"/>
      <c r="G1" s="52" t="s">
        <v>2952</v>
      </c>
    </row>
    <row r="2" customFormat="false" ht="24.75" hidden="false" customHeight="true" outlineLevel="0" collapsed="false">
      <c r="A2" s="50"/>
      <c r="B2" s="50"/>
      <c r="C2" s="50"/>
      <c r="D2" s="50"/>
      <c r="E2" s="53" t="s">
        <v>2636</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489</v>
      </c>
      <c r="B4" s="57" t="n">
        <v>4.55</v>
      </c>
      <c r="C4" s="58" t="n">
        <f aca="false">B4/B$22*B$24</f>
        <v>7.14973121311229</v>
      </c>
      <c r="D4" s="57" t="s">
        <v>434</v>
      </c>
      <c r="E4" s="59" t="n">
        <f aca="false">IFERROR(INDEX(Correspondance!$D$2:$D$3000,MATCH(A4,Correspondance!$A$2:$A$3000,0)),0)</f>
        <v>13.5</v>
      </c>
      <c r="F4" s="60" t="n">
        <f aca="false">C4*E4</f>
        <v>96.5213713770159</v>
      </c>
      <c r="G4" s="61" t="s">
        <v>2953</v>
      </c>
    </row>
    <row r="5" customFormat="false" ht="15.75" hidden="false" customHeight="false" outlineLevel="0" collapsed="false">
      <c r="A5" s="57" t="s">
        <v>1661</v>
      </c>
      <c r="B5" s="57" t="n">
        <v>3.03</v>
      </c>
      <c r="C5" s="58" t="n">
        <f aca="false">B5/B$22*B$24</f>
        <v>4.76124957708357</v>
      </c>
      <c r="D5" s="57" t="s">
        <v>434</v>
      </c>
      <c r="E5" s="59" t="n">
        <f aca="false">IFERROR(INDEX(Correspondance!$D$2:$D$3000,MATCH(A5,Correspondance!$A$2:$A$3000,0)),0)</f>
        <v>5</v>
      </c>
      <c r="F5" s="60" t="n">
        <f aca="false">C5*E5</f>
        <v>23.8062478854178</v>
      </c>
      <c r="G5" s="61"/>
      <c r="I5" s="62"/>
    </row>
    <row r="6" customFormat="false" ht="15.75" hidden="false" customHeight="false" outlineLevel="0" collapsed="false">
      <c r="A6" s="57" t="s">
        <v>1722</v>
      </c>
      <c r="B6" s="57" t="n">
        <v>2.28</v>
      </c>
      <c r="C6" s="58" t="n">
        <f aca="false">B6/B$22*B$24</f>
        <v>3.58272245404308</v>
      </c>
      <c r="D6" s="57" t="s">
        <v>434</v>
      </c>
      <c r="E6" s="59" t="n">
        <f aca="false">IFERROR(INDEX(Correspondance!$D$2:$D$3000,MATCH(A6,Correspondance!$A$2:$A$3000,0)),0)</f>
        <v>8</v>
      </c>
      <c r="F6" s="60" t="n">
        <f aca="false">C6*E6</f>
        <v>28.6617796323447</v>
      </c>
      <c r="G6" s="61"/>
      <c r="I6" s="63"/>
    </row>
    <row r="7" customFormat="false" ht="15.75" hidden="false" customHeight="false" outlineLevel="0" collapsed="false">
      <c r="A7" s="57" t="s">
        <v>1706</v>
      </c>
      <c r="B7" s="57" t="n">
        <v>4.55</v>
      </c>
      <c r="C7" s="58" t="n">
        <f aca="false">B7/B$22*B$24</f>
        <v>7.14973121311229</v>
      </c>
      <c r="D7" s="57" t="s">
        <v>434</v>
      </c>
      <c r="E7" s="59" t="n">
        <f aca="false">IFERROR(INDEX(Correspondance!$D$2:$D$3000,MATCH(A7,Correspondance!$A$2:$A$3000,0)),0)</f>
        <v>2.6</v>
      </c>
      <c r="F7" s="60" t="n">
        <f aca="false">C7*E7</f>
        <v>18.589301154092</v>
      </c>
      <c r="G7" s="61"/>
      <c r="I7" s="63"/>
    </row>
    <row r="8" customFormat="false" ht="15.75" hidden="false" customHeight="false" outlineLevel="0" collapsed="false">
      <c r="A8" s="57" t="s">
        <v>1795</v>
      </c>
      <c r="B8" s="57" t="n">
        <v>1.52</v>
      </c>
      <c r="C8" s="58" t="n">
        <f aca="false">B8/B$22*B$24</f>
        <v>2.38848163602872</v>
      </c>
      <c r="D8" s="57" t="s">
        <v>434</v>
      </c>
      <c r="E8" s="59" t="n">
        <f aca="false">IFERROR(INDEX(Correspondance!$D$2:$D$3000,MATCH(A8,Correspondance!$A$2:$A$3000,0)),0)</f>
        <v>2</v>
      </c>
      <c r="F8" s="60" t="n">
        <f aca="false">C8*E8</f>
        <v>4.77696327205744</v>
      </c>
      <c r="G8" s="61"/>
      <c r="I8" s="63"/>
    </row>
    <row r="9" customFormat="false" ht="15.75" hidden="false" customHeight="false" outlineLevel="0" collapsed="false">
      <c r="A9" s="57" t="s">
        <v>1001</v>
      </c>
      <c r="B9" s="57" t="n">
        <v>0.758</v>
      </c>
      <c r="C9" s="58" t="n">
        <f aca="false">B9/B$22*B$24</f>
        <v>1.19109807901959</v>
      </c>
      <c r="D9" s="57" t="s">
        <v>434</v>
      </c>
      <c r="E9" s="59" t="n">
        <f aca="false">IFERROR(INDEX(Correspondance!$D$2:$D$3000,MATCH(A9,Correspondance!$A$2:$A$3000,0)),0)</f>
        <v>1.8</v>
      </c>
      <c r="F9" s="60" t="n">
        <f aca="false">C9*E9</f>
        <v>2.14397654223526</v>
      </c>
      <c r="G9" s="61"/>
      <c r="I9" s="63"/>
    </row>
    <row r="10" customFormat="false" ht="15.75" hidden="false" customHeight="false" outlineLevel="0" collapsed="false">
      <c r="A10" s="57" t="s">
        <v>1957</v>
      </c>
      <c r="B10" s="57" t="n">
        <v>1.52</v>
      </c>
      <c r="C10" s="58" t="n">
        <f aca="false">B10/B$22*B$24</f>
        <v>2.38848163602872</v>
      </c>
      <c r="D10" s="57" t="s">
        <v>434</v>
      </c>
      <c r="E10" s="59" t="n">
        <f aca="false">IFERROR(INDEX(Correspondance!$D$2:$D$3000,MATCH(A10,Correspondance!$A$2:$A$3000,0)),0)</f>
        <v>1.6</v>
      </c>
      <c r="F10" s="60" t="n">
        <f aca="false">C10*E10</f>
        <v>3.82157061764595</v>
      </c>
      <c r="G10" s="61"/>
      <c r="I10" s="63"/>
    </row>
    <row r="11" customFormat="false" ht="15.75" hidden="false" customHeight="false" outlineLevel="0" collapsed="false">
      <c r="A11" s="57" t="s">
        <v>1991</v>
      </c>
      <c r="B11" s="57" t="n">
        <v>0.076</v>
      </c>
      <c r="C11" s="58" t="n">
        <f aca="false">B11/B$22*B$24</f>
        <v>0.119424081801436</v>
      </c>
      <c r="D11" s="57" t="s">
        <v>434</v>
      </c>
      <c r="E11" s="59" t="n">
        <f aca="false">IFERROR(INDEX(Correspondance!$D$2:$D$3000,MATCH(A11,Correspondance!$A$2:$A$3000,0)),0)</f>
        <v>14</v>
      </c>
      <c r="F11" s="60" t="n">
        <f aca="false">C11*E11</f>
        <v>1.6719371452201</v>
      </c>
      <c r="G11" s="61"/>
      <c r="I11" s="63"/>
    </row>
    <row r="12" customFormat="false" ht="18.75" hidden="false" customHeight="true" outlineLevel="0" collapsed="false">
      <c r="A12" s="57" t="s">
        <v>894</v>
      </c>
      <c r="B12" s="64" t="n">
        <v>0.076</v>
      </c>
      <c r="C12" s="58" t="n">
        <f aca="false">B12/B$22*B$24</f>
        <v>0.119424081801436</v>
      </c>
      <c r="D12" s="57" t="s">
        <v>434</v>
      </c>
      <c r="E12" s="59" t="n">
        <f aca="false">IFERROR(INDEX(Correspondance!$D$2:$D$3000,MATCH(A12,Correspondance!$A$2:$A$3000,0)),0)</f>
        <v>5.5</v>
      </c>
      <c r="F12" s="60" t="n">
        <f aca="false">C12*E12</f>
        <v>0.656832449907898</v>
      </c>
      <c r="G12" s="61"/>
      <c r="I12" s="63"/>
    </row>
    <row r="13" customFormat="false" ht="18.75" hidden="false" customHeight="true" outlineLevel="0" collapsed="false">
      <c r="A13" s="57" t="s">
        <v>1100</v>
      </c>
      <c r="B13" s="64" t="n">
        <v>0.114</v>
      </c>
      <c r="C13" s="58" t="n">
        <f aca="false">B13/B$22*B$24</f>
        <v>0.179136122702154</v>
      </c>
      <c r="D13" s="57" t="s">
        <v>434</v>
      </c>
      <c r="E13" s="59" t="n">
        <f aca="false">IFERROR(INDEX(Correspondance!$D$2:$D$3000,MATCH(A13,Correspondance!$A$2:$A$3000,0)),0)</f>
        <v>10</v>
      </c>
      <c r="F13" s="60" t="n">
        <f aca="false">C13*E13</f>
        <v>1.79136122702154</v>
      </c>
      <c r="G13" s="61"/>
      <c r="I13" s="63"/>
    </row>
    <row r="14" customFormat="false" ht="15.75" hidden="false" customHeight="false" outlineLevel="0" collapsed="false">
      <c r="A14" s="57" t="s">
        <v>1459</v>
      </c>
      <c r="B14" s="57" t="n">
        <v>4.55</v>
      </c>
      <c r="C14" s="58" t="n">
        <f aca="false">B14/B$22*B$24</f>
        <v>7.14973121311229</v>
      </c>
      <c r="D14" s="57" t="s">
        <v>682</v>
      </c>
      <c r="E14" s="59" t="n">
        <f aca="false">IFERROR(INDEX(Correspondance!$D$2:$D$3000,MATCH(A14,Correspondance!$A$2:$A$3000,0)),0)</f>
        <v>0</v>
      </c>
      <c r="F14" s="60" t="n">
        <f aca="false">C14*E14</f>
        <v>0</v>
      </c>
      <c r="G14" s="61"/>
      <c r="I14" s="63"/>
    </row>
    <row r="15" customFormat="false" ht="15.75" hidden="false" customHeight="false" outlineLevel="0" collapsed="false">
      <c r="A15" s="57" t="s">
        <v>1084</v>
      </c>
      <c r="B15" s="57" t="n">
        <v>0.228</v>
      </c>
      <c r="C15" s="58" t="n">
        <f aca="false">B15/B$22*B$24</f>
        <v>0.358272245404308</v>
      </c>
      <c r="D15" s="57" t="s">
        <v>434</v>
      </c>
      <c r="E15" s="59" t="n">
        <f aca="false">IFERROR(INDEX(Correspondance!$D$2:$D$3000,MATCH(A15,Correspondance!$A$2:$A$3000,0)),0)</f>
        <v>2.2</v>
      </c>
      <c r="F15" s="60" t="n">
        <f aca="false">C15*E15</f>
        <v>0.788198939889478</v>
      </c>
      <c r="G15" s="61"/>
      <c r="I15" s="63"/>
    </row>
    <row r="16" customFormat="false" ht="15.75" hidden="false" customHeight="false" outlineLevel="0" collapsed="false">
      <c r="A16" s="57" t="s">
        <v>1919</v>
      </c>
      <c r="B16" s="57" t="n">
        <v>0.091</v>
      </c>
      <c r="C16" s="58" t="n">
        <f aca="false">B16/B$22*B$24</f>
        <v>0.142994624262246</v>
      </c>
      <c r="D16" s="57" t="s">
        <v>434</v>
      </c>
      <c r="E16" s="59" t="n">
        <f aca="false">IFERROR(INDEX(Correspondance!$D$2:$D$3000,MATCH(A16,Correspondance!$A$2:$A$3000,0)),0)</f>
        <v>2</v>
      </c>
      <c r="F16" s="60" t="n">
        <f aca="false">C16*E16</f>
        <v>0.285989248524492</v>
      </c>
      <c r="G16" s="61"/>
      <c r="I16" s="63"/>
    </row>
    <row r="17" customFormat="false" ht="15.75" hidden="false" customHeight="false" outlineLevel="0" collapsed="false">
      <c r="A17" s="57" t="s">
        <v>1120</v>
      </c>
      <c r="B17" s="57" t="n">
        <v>0.228</v>
      </c>
      <c r="C17" s="58" t="n">
        <f aca="false">B17/B$22*B$24</f>
        <v>0.358272245404308</v>
      </c>
      <c r="D17" s="57" t="s">
        <v>682</v>
      </c>
      <c r="E17" s="59" t="n">
        <f aca="false">IFERROR(INDEX(Correspondance!$D$2:$D$3000,MATCH(A17,Correspondance!$A$2:$A$3000,0)),0)</f>
        <v>7.5</v>
      </c>
      <c r="F17" s="60" t="n">
        <f aca="false">C17*E17</f>
        <v>2.68704184053231</v>
      </c>
      <c r="G17" s="61"/>
      <c r="I17" s="63"/>
    </row>
    <row r="18" customFormat="false" ht="15.75" hidden="false" customHeight="false" outlineLevel="0" collapsed="false">
      <c r="A18" s="57" t="s">
        <v>1930</v>
      </c>
      <c r="B18" s="57" t="n">
        <v>3.03</v>
      </c>
      <c r="C18" s="58" t="n">
        <f aca="false">B18/B$22*B$24</f>
        <v>4.76124957708357</v>
      </c>
      <c r="D18" s="57" t="s">
        <v>434</v>
      </c>
      <c r="E18" s="59" t="n">
        <f aca="false">IFERROR(INDEX(Correspondance!$D$2:$D$3000,MATCH(A18,Correspondance!$A$2:$A$3000,0)),0)</f>
        <v>1.5</v>
      </c>
      <c r="F18" s="60" t="n">
        <f aca="false">C18*E18</f>
        <v>7.14187436562535</v>
      </c>
      <c r="G18" s="61"/>
      <c r="I18" s="63"/>
    </row>
    <row r="19" customFormat="false" ht="15.75" hidden="false" customHeight="false" outlineLevel="0" collapsed="false">
      <c r="C19" s="66"/>
      <c r="F19" s="67" t="n">
        <f aca="false">SUM(F4:F18)</f>
        <v>193.34444569753</v>
      </c>
      <c r="G19" s="61"/>
      <c r="I19" s="63"/>
    </row>
    <row r="20" customFormat="false" ht="18.75" hidden="false" customHeight="true" outlineLevel="0" collapsed="false">
      <c r="A20" s="68" t="s">
        <v>2628</v>
      </c>
      <c r="B20" s="69" t="n">
        <f aca="false">F19/B24</f>
        <v>1.75767677906846</v>
      </c>
      <c r="C20" s="70"/>
      <c r="G20" s="61"/>
      <c r="I20" s="63"/>
    </row>
    <row r="21" customFormat="false" ht="15.75" hidden="false" customHeight="false" outlineLevel="0" collapsed="false">
      <c r="A21" s="71" t="s">
        <v>2629</v>
      </c>
      <c r="B21" s="71" t="n">
        <f aca="false">SUM(B3:B18)</f>
        <v>26.601</v>
      </c>
      <c r="C21" s="66"/>
      <c r="G21" s="61"/>
      <c r="I21" s="63"/>
    </row>
    <row r="22" customFormat="false" ht="15.75" hidden="false" customHeight="false" outlineLevel="0" collapsed="false">
      <c r="A22" s="0" t="s">
        <v>2630</v>
      </c>
      <c r="B22" s="72" t="n">
        <f aca="false">B21/B23</f>
        <v>70.0026315789474</v>
      </c>
      <c r="C22" s="66"/>
      <c r="G22" s="61"/>
      <c r="I22" s="63"/>
    </row>
    <row r="23" customFormat="false" ht="15.75" hidden="false" customHeight="false" outlineLevel="0" collapsed="false">
      <c r="A23" s="0" t="s">
        <v>2631</v>
      </c>
      <c r="B23" s="0" t="n">
        <v>0.38</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9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279</v>
      </c>
      <c r="B1" s="50"/>
      <c r="C1" s="50"/>
      <c r="D1" s="50"/>
      <c r="E1" s="51" t="s">
        <v>2619</v>
      </c>
      <c r="F1" s="51"/>
      <c r="G1" s="52" t="s">
        <v>2954</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1906</v>
      </c>
      <c r="B4" s="57" t="n">
        <v>8.23</v>
      </c>
      <c r="C4" s="58" t="n">
        <f aca="false">B4/B$22*B$24</f>
        <v>12.9261422637591</v>
      </c>
      <c r="D4" s="57" t="s">
        <v>434</v>
      </c>
      <c r="E4" s="59" t="n">
        <f aca="false">IFERROR(INDEX(Correspondance!$D$2:$D$3000,MATCH(A4,Correspondance!$A$2:$A$3000,0)),0)</f>
        <v>9.5</v>
      </c>
      <c r="F4" s="60" t="n">
        <f aca="false">C4*E4</f>
        <v>122.798351505711</v>
      </c>
      <c r="G4" s="61" t="s">
        <v>2955</v>
      </c>
    </row>
    <row r="5" customFormat="false" ht="15.75" hidden="false" customHeight="false" outlineLevel="0" collapsed="false">
      <c r="A5" s="57" t="s">
        <v>1957</v>
      </c>
      <c r="B5" s="57" t="n">
        <v>4.12</v>
      </c>
      <c r="C5" s="58" t="n">
        <f aca="false">B5/B$22*B$24</f>
        <v>6.47092419522326</v>
      </c>
      <c r="D5" s="57" t="s">
        <v>434</v>
      </c>
      <c r="E5" s="59" t="n">
        <f aca="false">IFERROR(INDEX(Correspondance!$D$2:$D$3000,MATCH(A5,Correspondance!$A$2:$A$3000,0)),0)</f>
        <v>1.6</v>
      </c>
      <c r="F5" s="60" t="n">
        <f aca="false">C5*E5</f>
        <v>10.3534787123572</v>
      </c>
      <c r="G5" s="61"/>
      <c r="I5" s="62"/>
    </row>
    <row r="6" customFormat="false" ht="15.75" hidden="false" customHeight="false" outlineLevel="0" collapsed="false">
      <c r="A6" s="57" t="s">
        <v>1001</v>
      </c>
      <c r="B6" s="57" t="n">
        <v>1.65</v>
      </c>
      <c r="C6" s="58" t="n">
        <f aca="false">B6/B$22*B$24</f>
        <v>2.59151090342679</v>
      </c>
      <c r="D6" s="57" t="s">
        <v>434</v>
      </c>
      <c r="E6" s="59" t="n">
        <f aca="false">IFERROR(INDEX(Correspondance!$D$2:$D$3000,MATCH(A6,Correspondance!$A$2:$A$3000,0)),0)</f>
        <v>1.8</v>
      </c>
      <c r="F6" s="60" t="n">
        <f aca="false">C6*E6</f>
        <v>4.66471962616822</v>
      </c>
      <c r="G6" s="61"/>
      <c r="I6" s="63"/>
    </row>
    <row r="7" customFormat="false" ht="15.75" hidden="false" customHeight="false" outlineLevel="0" collapsed="false">
      <c r="A7" s="57" t="s">
        <v>894</v>
      </c>
      <c r="B7" s="57" t="n">
        <v>0.082</v>
      </c>
      <c r="C7" s="58" t="n">
        <f aca="false">B7/B$22*B$24</f>
        <v>0.128790238836968</v>
      </c>
      <c r="D7" s="57" t="s">
        <v>434</v>
      </c>
      <c r="E7" s="59" t="n">
        <f aca="false">IFERROR(INDEX(Correspondance!$D$2:$D$3000,MATCH(A7,Correspondance!$A$2:$A$3000,0)),0)</f>
        <v>5.5</v>
      </c>
      <c r="F7" s="60" t="n">
        <f aca="false">C7*E7</f>
        <v>0.708346313603323</v>
      </c>
      <c r="G7" s="61"/>
      <c r="I7" s="63"/>
    </row>
    <row r="8" customFormat="false" ht="15.75" hidden="false" customHeight="false" outlineLevel="0" collapsed="false">
      <c r="A8" s="57" t="s">
        <v>1649</v>
      </c>
      <c r="B8" s="57" t="n">
        <v>0.041</v>
      </c>
      <c r="C8" s="58" t="n">
        <f aca="false">B8/B$22*B$24</f>
        <v>0.0643951194184839</v>
      </c>
      <c r="D8" s="57" t="s">
        <v>434</v>
      </c>
      <c r="E8" s="59" t="n">
        <f aca="false">IFERROR(INDEX(Correspondance!$D$2:$D$3000,MATCH(A8,Correspondance!$A$2:$A$3000,0)),0)</f>
        <v>6.5</v>
      </c>
      <c r="F8" s="60" t="n">
        <f aca="false">C8*E8</f>
        <v>0.418568276220145</v>
      </c>
      <c r="G8" s="61"/>
      <c r="I8" s="63"/>
    </row>
    <row r="9" customFormat="false" ht="15.75" hidden="false" customHeight="false" outlineLevel="0" collapsed="false">
      <c r="A9" s="57" t="s">
        <v>1590</v>
      </c>
      <c r="B9" s="57" t="n">
        <v>0.025</v>
      </c>
      <c r="C9" s="58" t="n">
        <f aca="false">B9/B$22*B$24</f>
        <v>0.0392653167185877</v>
      </c>
      <c r="D9" s="57" t="s">
        <v>434</v>
      </c>
      <c r="E9" s="59" t="n">
        <f aca="false">IFERROR(INDEX(Correspondance!$D$2:$D$3000,MATCH(A9,Correspondance!$A$2:$A$3000,0)),0)</f>
        <v>12</v>
      </c>
      <c r="F9" s="60" t="n">
        <f aca="false">C9*E9</f>
        <v>0.471183800623053</v>
      </c>
      <c r="G9" s="61"/>
      <c r="I9" s="63"/>
    </row>
    <row r="10" customFormat="false" ht="15.75" hidden="false" customHeight="false" outlineLevel="0" collapsed="false">
      <c r="A10" s="57" t="s">
        <v>1197</v>
      </c>
      <c r="B10" s="57" t="n">
        <v>0.165</v>
      </c>
      <c r="C10" s="58" t="n">
        <f aca="false">B10/B$22*B$24</f>
        <v>0.259151090342679</v>
      </c>
      <c r="D10" s="57" t="s">
        <v>682</v>
      </c>
      <c r="E10" s="59" t="n">
        <f aca="false">IFERROR(INDEX(Correspondance!$D$2:$D$3000,MATCH(A10,Correspondance!$A$2:$A$3000,0)),0)</f>
        <v>2.6</v>
      </c>
      <c r="F10" s="60" t="n">
        <f aca="false">C10*E10</f>
        <v>0.673792834890966</v>
      </c>
      <c r="G10" s="61"/>
      <c r="I10" s="63"/>
    </row>
    <row r="11" customFormat="false" ht="15.75" hidden="false" customHeight="false" outlineLevel="0" collapsed="false">
      <c r="A11" s="57" t="s">
        <v>1459</v>
      </c>
      <c r="B11" s="57" t="n">
        <v>0.823</v>
      </c>
      <c r="C11" s="58" t="n">
        <f aca="false">B11/B$22*B$24</f>
        <v>1.29261422637591</v>
      </c>
      <c r="D11" s="57" t="s">
        <v>682</v>
      </c>
      <c r="E11" s="59" t="n">
        <f aca="false">IFERROR(INDEX(Correspondance!$D$2:$D$3000,MATCH(A11,Correspondance!$A$2:$A$3000,0)),0)</f>
        <v>0</v>
      </c>
      <c r="F11" s="60" t="n">
        <f aca="false">C11*E11</f>
        <v>0</v>
      </c>
      <c r="G11" s="61"/>
      <c r="I11" s="63"/>
    </row>
    <row r="12" customFormat="false" ht="18.75" hidden="false" customHeight="true" outlineLevel="0" collapsed="false">
      <c r="A12" s="57" t="s">
        <v>1675</v>
      </c>
      <c r="B12" s="64" t="n">
        <v>0.247</v>
      </c>
      <c r="C12" s="58" t="n">
        <f aca="false">B12/B$22*B$24</f>
        <v>0.387941329179647</v>
      </c>
      <c r="D12" s="57" t="s">
        <v>682</v>
      </c>
      <c r="E12" s="59" t="n">
        <f aca="false">IFERROR(INDEX(Correspondance!$D$2:$D$3000,MATCH(A12,Correspondance!$A$2:$A$3000,0)),0)</f>
        <v>2.2</v>
      </c>
      <c r="F12" s="60" t="n">
        <f aca="false">C12*E12</f>
        <v>0.853470924195223</v>
      </c>
      <c r="G12" s="61"/>
      <c r="I12" s="63"/>
    </row>
    <row r="13" customFormat="false" ht="18.75" hidden="false" customHeight="true" outlineLevel="0" collapsed="false">
      <c r="A13" s="57" t="s">
        <v>1923</v>
      </c>
      <c r="B13" s="64" t="n">
        <v>0.025</v>
      </c>
      <c r="C13" s="58" t="n">
        <f aca="false">B13/B$22*B$24</f>
        <v>0.0392653167185877</v>
      </c>
      <c r="D13" s="57" t="s">
        <v>434</v>
      </c>
      <c r="E13" s="59" t="n">
        <f aca="false">IFERROR(INDEX(Correspondance!$D$2:$D$3000,MATCH(A13,Correspondance!$A$2:$A$3000,0)),0)</f>
        <v>2</v>
      </c>
      <c r="F13" s="60" t="n">
        <f aca="false">C13*E13</f>
        <v>0.0785306334371755</v>
      </c>
      <c r="G13" s="61"/>
      <c r="I13" s="63"/>
    </row>
    <row r="14" customFormat="false" ht="15.75" hidden="false" customHeight="false" outlineLevel="0" collapsed="false">
      <c r="A14" s="57" t="s">
        <v>1814</v>
      </c>
      <c r="B14" s="57"/>
      <c r="C14" s="58" t="n">
        <f aca="false">B14/B$22*B$24</f>
        <v>0</v>
      </c>
      <c r="D14" s="57" t="s">
        <v>434</v>
      </c>
      <c r="E14" s="59" t="n">
        <f aca="false">IFERROR(INDEX(Correspondance!$D$2:$D$3000,MATCH(A14,Correspondance!$A$2:$A$3000,0)),0)</f>
        <v>18</v>
      </c>
      <c r="F14" s="60" t="n">
        <f aca="false">C14*E14</f>
        <v>0</v>
      </c>
      <c r="G14" s="61"/>
      <c r="I14" s="63"/>
    </row>
    <row r="15" customFormat="false" ht="15.75" hidden="false" customHeight="false" outlineLevel="0" collapsed="false">
      <c r="A15" s="57" t="s">
        <v>1953</v>
      </c>
      <c r="B15" s="57"/>
      <c r="C15" s="58" t="n">
        <f aca="false">B15/B$22*B$24</f>
        <v>0</v>
      </c>
      <c r="D15" s="57" t="s">
        <v>434</v>
      </c>
      <c r="E15" s="59" t="n">
        <f aca="false">IFERROR(INDEX(Correspondance!$D$2:$D$3000,MATCH(A15,Correspondance!$A$2:$A$3000,0)),0)</f>
        <v>16</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141.020442627207</v>
      </c>
      <c r="G19" s="61"/>
      <c r="I19" s="63"/>
    </row>
    <row r="20" customFormat="false" ht="18.75" hidden="false" customHeight="true" outlineLevel="0" collapsed="false">
      <c r="A20" s="68" t="s">
        <v>2628</v>
      </c>
      <c r="B20" s="69" t="n">
        <f aca="false">F19/B24</f>
        <v>1.2820040238837</v>
      </c>
      <c r="C20" s="70"/>
      <c r="G20" s="61"/>
      <c r="I20" s="63"/>
    </row>
    <row r="21" customFormat="false" ht="15.75" hidden="false" customHeight="false" outlineLevel="0" collapsed="false">
      <c r="A21" s="71" t="s">
        <v>2629</v>
      </c>
      <c r="B21" s="71" t="n">
        <f aca="false">SUM(B3:B18)</f>
        <v>15.408</v>
      </c>
      <c r="C21" s="66"/>
      <c r="G21" s="61"/>
      <c r="I21" s="63"/>
    </row>
    <row r="22" customFormat="false" ht="15.75" hidden="false" customHeight="false" outlineLevel="0" collapsed="false">
      <c r="A22" s="0" t="s">
        <v>2630</v>
      </c>
      <c r="B22" s="72" t="n">
        <f aca="false">B21/B23</f>
        <v>70.0363636363637</v>
      </c>
      <c r="C22" s="66"/>
      <c r="G22" s="61"/>
      <c r="I22" s="63"/>
    </row>
    <row r="23" customFormat="false" ht="15.75" hidden="false" customHeight="false" outlineLevel="0" collapsed="false">
      <c r="A23" s="0" t="s">
        <v>2631</v>
      </c>
      <c r="B23" s="0" t="n">
        <v>0.22</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9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281</v>
      </c>
      <c r="B1" s="50"/>
      <c r="C1" s="50"/>
      <c r="D1" s="50"/>
      <c r="E1" s="51" t="s">
        <v>2619</v>
      </c>
      <c r="F1" s="51"/>
      <c r="G1" s="52" t="s">
        <v>2956</v>
      </c>
    </row>
    <row r="2" customFormat="false" ht="24.75" hidden="false" customHeight="true" outlineLevel="0" collapsed="false">
      <c r="A2" s="50"/>
      <c r="B2" s="50"/>
      <c r="C2" s="50"/>
      <c r="D2" s="50"/>
      <c r="E2" s="53" t="s">
        <v>2957</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542</v>
      </c>
      <c r="B4" s="57" t="n">
        <v>7.06</v>
      </c>
      <c r="C4" s="58" t="n">
        <f aca="false">B4/B$22*B$24</f>
        <v>11.0955050005495</v>
      </c>
      <c r="D4" s="57" t="s">
        <v>434</v>
      </c>
      <c r="E4" s="59" t="n">
        <f aca="false">IFERROR(INDEX(Correspondance!$D$2:$D$3000,MATCH(A4,Correspondance!$A$2:$A$3000,0)),0)</f>
        <v>17</v>
      </c>
      <c r="F4" s="60" t="n">
        <f aca="false">C4*E4</f>
        <v>188.623585009342</v>
      </c>
      <c r="G4" s="61" t="s">
        <v>2958</v>
      </c>
    </row>
    <row r="5" customFormat="false" ht="15.75" hidden="false" customHeight="false" outlineLevel="0" collapsed="false">
      <c r="A5" s="57" t="s">
        <v>1919</v>
      </c>
      <c r="B5" s="57" t="n">
        <v>0.071</v>
      </c>
      <c r="C5" s="58" t="n">
        <f aca="false">B5/B$22*B$24</f>
        <v>0.111583690515441</v>
      </c>
      <c r="D5" s="57" t="s">
        <v>434</v>
      </c>
      <c r="E5" s="59" t="n">
        <f aca="false">IFERROR(INDEX(Correspondance!$D$2:$D$3000,MATCH(A5,Correspondance!$A$2:$A$3000,0)),0)</f>
        <v>2</v>
      </c>
      <c r="F5" s="60" t="n">
        <f aca="false">C5*E5</f>
        <v>0.223167381030883</v>
      </c>
      <c r="G5" s="61"/>
      <c r="I5" s="62"/>
    </row>
    <row r="6" customFormat="false" ht="15.75" hidden="false" customHeight="false" outlineLevel="0" collapsed="false">
      <c r="A6" s="57" t="s">
        <v>1796</v>
      </c>
      <c r="B6" s="57" t="n">
        <v>0.007</v>
      </c>
      <c r="C6" s="58" t="n">
        <f aca="false">B6/B$22*B$24</f>
        <v>0.0110012089240576</v>
      </c>
      <c r="D6" s="57" t="s">
        <v>434</v>
      </c>
      <c r="E6" s="59" t="n">
        <f aca="false">IFERROR(INDEX(Correspondance!$D$2:$D$3000,MATCH(A6,Correspondance!$A$2:$A$3000,0)),0)</f>
        <v>18</v>
      </c>
      <c r="F6" s="60" t="n">
        <f aca="false">C6*E6</f>
        <v>0.198021760633037</v>
      </c>
      <c r="G6" s="61"/>
      <c r="I6" s="63"/>
    </row>
    <row r="7" customFormat="false" ht="15.75" hidden="false" customHeight="false" outlineLevel="0" collapsed="false">
      <c r="A7" s="57" t="s">
        <v>1945</v>
      </c>
      <c r="B7" s="57"/>
      <c r="C7" s="58" t="n">
        <f aca="false">B7/B$22*B$24</f>
        <v>0</v>
      </c>
      <c r="D7" s="57" t="s">
        <v>434</v>
      </c>
      <c r="E7" s="59" t="n">
        <f aca="false">IFERROR(INDEX(Correspondance!$D$2:$D$3000,MATCH(A7,Correspondance!$A$2:$A$3000,0)),0)</f>
        <v>16</v>
      </c>
      <c r="F7" s="60" t="n">
        <f aca="false">C7*E7</f>
        <v>0</v>
      </c>
      <c r="G7" s="61"/>
      <c r="I7" s="63"/>
    </row>
    <row r="8" customFormat="false" ht="15.75" hidden="false" customHeight="false" outlineLevel="0" collapsed="false">
      <c r="A8" s="57" t="s">
        <v>1137</v>
      </c>
      <c r="B8" s="57" t="n">
        <v>0.212</v>
      </c>
      <c r="C8" s="58" t="n">
        <f aca="false">B8/B$22*B$24</f>
        <v>0.333179470271458</v>
      </c>
      <c r="D8" s="57" t="s">
        <v>434</v>
      </c>
      <c r="E8" s="59" t="n">
        <f aca="false">IFERROR(INDEX(Correspondance!$D$2:$D$3000,MATCH(A8,Correspondance!$A$2:$A$3000,0)),0)</f>
        <v>7.5</v>
      </c>
      <c r="F8" s="60" t="n">
        <f aca="false">C8*E8</f>
        <v>2.49884602703594</v>
      </c>
      <c r="G8" s="61"/>
      <c r="I8" s="63"/>
    </row>
    <row r="9" customFormat="false" ht="15.75" hidden="false" customHeight="false" outlineLevel="0" collapsed="false">
      <c r="A9" s="57" t="s">
        <v>1336</v>
      </c>
      <c r="B9" s="57" t="n">
        <v>0.141</v>
      </c>
      <c r="C9" s="58" t="n">
        <f aca="false">B9/B$22*B$24</f>
        <v>0.221595779756017</v>
      </c>
      <c r="D9" s="57" t="s">
        <v>682</v>
      </c>
      <c r="E9" s="59" t="n">
        <f aca="false">IFERROR(INDEX(Correspondance!$D$2:$D$3000,MATCH(A9,Correspondance!$A$2:$A$3000,0)),0)</f>
        <v>3.5</v>
      </c>
      <c r="F9" s="60" t="n">
        <f aca="false">C9*E9</f>
        <v>0.77558522914606</v>
      </c>
      <c r="G9" s="61"/>
      <c r="I9" s="63"/>
    </row>
    <row r="10" customFormat="false" ht="15.75" hidden="false" customHeight="false" outlineLevel="0" collapsed="false">
      <c r="A10" s="57" t="s">
        <v>1634</v>
      </c>
      <c r="B10" s="57" t="n">
        <v>0.071</v>
      </c>
      <c r="C10" s="58" t="n">
        <f aca="false">B10/B$22*B$24</f>
        <v>0.111583690515441</v>
      </c>
      <c r="D10" s="57" t="s">
        <v>434</v>
      </c>
      <c r="E10" s="59" t="n">
        <f aca="false">IFERROR(INDEX(Correspondance!$D$2:$D$3000,MATCH(A10,Correspondance!$A$2:$A$3000,0)),0)</f>
        <v>12</v>
      </c>
      <c r="F10" s="60" t="n">
        <f aca="false">C10*E10</f>
        <v>1.3390042861853</v>
      </c>
      <c r="G10" s="61"/>
      <c r="I10" s="63"/>
    </row>
    <row r="11" customFormat="false" ht="15.75" hidden="false" customHeight="false" outlineLevel="0" collapsed="false">
      <c r="A11" s="57" t="s">
        <v>1459</v>
      </c>
      <c r="B11" s="57" t="n">
        <v>1.41</v>
      </c>
      <c r="C11" s="58" t="n">
        <f aca="false">B11/B$22*B$24</f>
        <v>2.21595779756017</v>
      </c>
      <c r="D11" s="57" t="s">
        <v>682</v>
      </c>
      <c r="E11" s="59" t="n">
        <f aca="false">IFERROR(INDEX(Correspondance!$D$2:$D$3000,MATCH(A11,Correspondance!$A$2:$A$3000,0)),0)</f>
        <v>0</v>
      </c>
      <c r="F11" s="60" t="n">
        <f aca="false">C11*E11</f>
        <v>0</v>
      </c>
      <c r="G11" s="61"/>
      <c r="I11" s="63"/>
    </row>
    <row r="12" customFormat="false" ht="18.75" hidden="false" customHeight="true" outlineLevel="0" collapsed="false">
      <c r="A12" s="57" t="s">
        <v>1084</v>
      </c>
      <c r="B12" s="64" t="n">
        <v>0.056</v>
      </c>
      <c r="C12" s="58" t="n">
        <f aca="false">B12/B$22*B$24</f>
        <v>0.0880096713924607</v>
      </c>
      <c r="D12" s="57" t="s">
        <v>434</v>
      </c>
      <c r="E12" s="59" t="n">
        <f aca="false">IFERROR(INDEX(Correspondance!$D$2:$D$3000,MATCH(A12,Correspondance!$A$2:$A$3000,0)),0)</f>
        <v>2.2</v>
      </c>
      <c r="F12" s="60" t="n">
        <f aca="false">C12*E12</f>
        <v>0.193621277063414</v>
      </c>
      <c r="G12" s="61"/>
      <c r="I12" s="63"/>
    </row>
    <row r="13" customFormat="false" ht="18.75" hidden="false" customHeight="true" outlineLevel="0" collapsed="false">
      <c r="A13" s="57" t="s">
        <v>1491</v>
      </c>
      <c r="B13" s="64" t="n">
        <v>0.071</v>
      </c>
      <c r="C13" s="58" t="n">
        <f aca="false">B13/B$22*B$24</f>
        <v>0.111583690515441</v>
      </c>
      <c r="D13" s="57" t="s">
        <v>434</v>
      </c>
      <c r="E13" s="59" t="n">
        <f aca="false">IFERROR(INDEX(Correspondance!$D$2:$D$3000,MATCH(A13,Correspondance!$A$2:$A$3000,0)),0)</f>
        <v>9</v>
      </c>
      <c r="F13" s="60" t="n">
        <f aca="false">C13*E13</f>
        <v>1.00425321463897</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194.856084185075</v>
      </c>
      <c r="G19" s="61"/>
      <c r="I19" s="63"/>
    </row>
    <row r="20" customFormat="false" ht="18.75" hidden="false" customHeight="true" outlineLevel="0" collapsed="false">
      <c r="A20" s="68" t="s">
        <v>2628</v>
      </c>
      <c r="B20" s="69" t="n">
        <f aca="false">F19/B24</f>
        <v>1.77141894713705</v>
      </c>
      <c r="C20" s="70"/>
      <c r="G20" s="61"/>
      <c r="I20" s="63"/>
    </row>
    <row r="21" customFormat="false" ht="15.75" hidden="false" customHeight="false" outlineLevel="0" collapsed="false">
      <c r="A21" s="71" t="s">
        <v>2629</v>
      </c>
      <c r="B21" s="71" t="n">
        <f aca="false">SUM(B3:B18)</f>
        <v>9.099</v>
      </c>
      <c r="C21" s="66"/>
      <c r="G21" s="61"/>
      <c r="I21" s="63"/>
    </row>
    <row r="22" customFormat="false" ht="15.75" hidden="false" customHeight="false" outlineLevel="0" collapsed="false">
      <c r="A22" s="0" t="s">
        <v>2630</v>
      </c>
      <c r="B22" s="72" t="n">
        <f aca="false">B21/B23</f>
        <v>69.9923076923077</v>
      </c>
      <c r="C22" s="66"/>
      <c r="G22" s="61"/>
      <c r="I22" s="63"/>
    </row>
    <row r="23" customFormat="false" ht="15.75" hidden="false" customHeight="false" outlineLevel="0" collapsed="false">
      <c r="A23" s="0" t="s">
        <v>2631</v>
      </c>
      <c r="B23" s="0" t="n">
        <v>0.13</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283</v>
      </c>
      <c r="B1" s="50"/>
      <c r="C1" s="50"/>
      <c r="D1" s="50"/>
      <c r="E1" s="51" t="s">
        <v>2619</v>
      </c>
      <c r="F1" s="51"/>
      <c r="G1" s="52" t="s">
        <v>2959</v>
      </c>
    </row>
    <row r="2" customFormat="false" ht="24.75" hidden="false" customHeight="true" outlineLevel="0" collapsed="false">
      <c r="A2" s="50"/>
      <c r="B2" s="50"/>
      <c r="C2" s="50"/>
      <c r="D2" s="50"/>
      <c r="E2" s="53" t="s">
        <v>2717</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495</v>
      </c>
      <c r="B4" s="57" t="n">
        <v>4.67</v>
      </c>
      <c r="C4" s="58" t="n">
        <f aca="false">B4/B$22*B$24</f>
        <v>7.34422082920928</v>
      </c>
      <c r="D4" s="57" t="s">
        <v>434</v>
      </c>
      <c r="E4" s="59" t="n">
        <f aca="false">IFERROR(INDEX(Correspondance!$D$2:$D$3000,MATCH(A4,Correspondance!$A$2:$A$3000,0)),0)</f>
        <v>7.5</v>
      </c>
      <c r="F4" s="60" t="n">
        <f aca="false">C4*E4</f>
        <v>55.0816562190696</v>
      </c>
      <c r="G4" s="61" t="s">
        <v>2960</v>
      </c>
    </row>
    <row r="5" customFormat="false" ht="15.75" hidden="false" customHeight="false" outlineLevel="0" collapsed="false">
      <c r="A5" s="57" t="s">
        <v>1001</v>
      </c>
      <c r="B5" s="57" t="n">
        <v>0.467</v>
      </c>
      <c r="C5" s="58" t="n">
        <f aca="false">B5/B$22*B$24</f>
        <v>0.734422082920928</v>
      </c>
      <c r="D5" s="57" t="s">
        <v>434</v>
      </c>
      <c r="E5" s="59" t="n">
        <f aca="false">IFERROR(INDEX(Correspondance!$D$2:$D$3000,MATCH(A5,Correspondance!$A$2:$A$3000,0)),0)</f>
        <v>1.8</v>
      </c>
      <c r="F5" s="60" t="n">
        <f aca="false">C5*E5</f>
        <v>1.32195974925767</v>
      </c>
      <c r="G5" s="61"/>
      <c r="I5" s="62"/>
    </row>
    <row r="6" customFormat="false" ht="15.75" hidden="false" customHeight="false" outlineLevel="0" collapsed="false">
      <c r="A6" s="57" t="s">
        <v>917</v>
      </c>
      <c r="B6" s="57" t="n">
        <v>0.467</v>
      </c>
      <c r="C6" s="58" t="n">
        <f aca="false">B6/B$22*B$24</f>
        <v>0.734422082920928</v>
      </c>
      <c r="D6" s="57" t="s">
        <v>434</v>
      </c>
      <c r="E6" s="59" t="n">
        <f aca="false">IFERROR(INDEX(Correspondance!$D$2:$D$3000,MATCH(A6,Correspondance!$A$2:$A$3000,0)),0)</f>
        <v>1.8</v>
      </c>
      <c r="F6" s="60" t="n">
        <f aca="false">C6*E6</f>
        <v>1.32195974925767</v>
      </c>
      <c r="G6" s="61"/>
      <c r="I6" s="63"/>
    </row>
    <row r="7" customFormat="false" ht="15.75" hidden="false" customHeight="false" outlineLevel="0" collapsed="false">
      <c r="A7" s="57" t="s">
        <v>921</v>
      </c>
      <c r="B7" s="57" t="n">
        <v>0.701</v>
      </c>
      <c r="C7" s="58" t="n">
        <f aca="false">B7/B$22*B$24</f>
        <v>1.10241944352799</v>
      </c>
      <c r="D7" s="57" t="s">
        <v>434</v>
      </c>
      <c r="E7" s="59" t="n">
        <f aca="false">IFERROR(INDEX(Correspondance!$D$2:$D$3000,MATCH(A7,Correspondance!$A$2:$A$3000,0)),0)</f>
        <v>3.8</v>
      </c>
      <c r="F7" s="60" t="n">
        <f aca="false">C7*E7</f>
        <v>4.18919388540636</v>
      </c>
      <c r="G7" s="61"/>
      <c r="I7" s="63"/>
    </row>
    <row r="8" customFormat="false" ht="15.75" hidden="false" customHeight="false" outlineLevel="0" collapsed="false">
      <c r="A8" s="57" t="s">
        <v>1973</v>
      </c>
      <c r="B8" s="57" t="n">
        <v>0.467</v>
      </c>
      <c r="C8" s="58" t="n">
        <f aca="false">B8/B$22*B$24</f>
        <v>0.734422082920928</v>
      </c>
      <c r="D8" s="57" t="s">
        <v>682</v>
      </c>
      <c r="E8" s="59" t="n">
        <f aca="false">IFERROR(INDEX(Correspondance!$D$2:$D$3000,MATCH(A8,Correspondance!$A$2:$A$3000,0)),0)</f>
        <v>2</v>
      </c>
      <c r="F8" s="60" t="n">
        <f aca="false">C8*E8</f>
        <v>1.46884416584186</v>
      </c>
      <c r="G8" s="61"/>
      <c r="I8" s="63"/>
    </row>
    <row r="9" customFormat="false" ht="15.75" hidden="false" customHeight="false" outlineLevel="0" collapsed="false">
      <c r="A9" s="57" t="s">
        <v>1459</v>
      </c>
      <c r="B9" s="57" t="n">
        <v>1.87</v>
      </c>
      <c r="C9" s="58" t="n">
        <f aca="false">B9/B$22*B$24</f>
        <v>2.9408336082701</v>
      </c>
      <c r="D9" s="57" t="s">
        <v>682</v>
      </c>
      <c r="E9" s="59" t="n">
        <f aca="false">IFERROR(INDEX(Correspondance!$D$2:$D$3000,MATCH(A9,Correspondance!$A$2:$A$3000,0)),0)</f>
        <v>0</v>
      </c>
      <c r="F9" s="60" t="n">
        <f aca="false">C9*E9</f>
        <v>0</v>
      </c>
      <c r="G9" s="61"/>
      <c r="I9" s="63"/>
    </row>
    <row r="10" customFormat="false" ht="15.75" hidden="false" customHeight="false" outlineLevel="0" collapsed="false">
      <c r="A10" s="57" t="s">
        <v>1098</v>
      </c>
      <c r="B10" s="57" t="n">
        <v>0.07</v>
      </c>
      <c r="C10" s="58" t="n">
        <f aca="false">B10/B$22*B$24</f>
        <v>0.11008468052348</v>
      </c>
      <c r="D10" s="57" t="s">
        <v>434</v>
      </c>
      <c r="E10" s="59" t="n">
        <f aca="false">IFERROR(INDEX(Correspondance!$D$2:$D$3000,MATCH(A10,Correspondance!$A$2:$A$3000,0)),0)</f>
        <v>12</v>
      </c>
      <c r="F10" s="60" t="n">
        <f aca="false">C10*E10</f>
        <v>1.32101616628176</v>
      </c>
      <c r="G10" s="61"/>
      <c r="I10" s="63"/>
    </row>
    <row r="11" customFormat="false" ht="15.75" hidden="false" customHeight="false" outlineLevel="0" collapsed="false">
      <c r="A11" s="57" t="s">
        <v>1197</v>
      </c>
      <c r="B11" s="57" t="n">
        <v>0.07</v>
      </c>
      <c r="C11" s="58" t="n">
        <f aca="false">B11/B$22*B$24</f>
        <v>0.11008468052348</v>
      </c>
      <c r="D11" s="57" t="s">
        <v>682</v>
      </c>
      <c r="E11" s="59" t="n">
        <f aca="false">IFERROR(INDEX(Correspondance!$D$2:$D$3000,MATCH(A11,Correspondance!$A$2:$A$3000,0)),0)</f>
        <v>2.6</v>
      </c>
      <c r="F11" s="60" t="n">
        <f aca="false">C11*E11</f>
        <v>0.286220169361047</v>
      </c>
      <c r="G11" s="61"/>
      <c r="I11" s="63"/>
    </row>
    <row r="12" customFormat="false" ht="18.75" hidden="false" customHeight="true" outlineLevel="0" collapsed="false">
      <c r="A12" s="57" t="s">
        <v>1084</v>
      </c>
      <c r="B12" s="64" t="n">
        <v>0.14</v>
      </c>
      <c r="C12" s="58" t="n">
        <f aca="false">B12/B$22*B$24</f>
        <v>0.220169361046959</v>
      </c>
      <c r="D12" s="57" t="s">
        <v>434</v>
      </c>
      <c r="E12" s="59" t="n">
        <f aca="false">IFERROR(INDEX(Correspondance!$D$2:$D$3000,MATCH(A12,Correspondance!$A$2:$A$3000,0)),0)</f>
        <v>2.2</v>
      </c>
      <c r="F12" s="60" t="n">
        <f aca="false">C12*E12</f>
        <v>0.48437259430331</v>
      </c>
      <c r="G12" s="61"/>
      <c r="I12" s="63"/>
    </row>
    <row r="13" customFormat="false" ht="18.75" hidden="false" customHeight="true" outlineLevel="0" collapsed="false">
      <c r="A13" s="57" t="s">
        <v>894</v>
      </c>
      <c r="B13" s="64" t="n">
        <v>0.037</v>
      </c>
      <c r="C13" s="58" t="n">
        <f aca="false">B13/B$22*B$24</f>
        <v>0.0581876168481249</v>
      </c>
      <c r="D13" s="57" t="s">
        <v>434</v>
      </c>
      <c r="E13" s="59" t="n">
        <f aca="false">IFERROR(INDEX(Correspondance!$D$2:$D$3000,MATCH(A13,Correspondance!$A$2:$A$3000,0)),0)</f>
        <v>5.5</v>
      </c>
      <c r="F13" s="60" t="n">
        <f aca="false">C13*E13</f>
        <v>0.320031892664687</v>
      </c>
      <c r="G13" s="61"/>
      <c r="I13" s="63"/>
    </row>
    <row r="14" customFormat="false" ht="15.75" hidden="false" customHeight="false" outlineLevel="0" collapsed="false">
      <c r="A14" s="57" t="s">
        <v>1919</v>
      </c>
      <c r="B14" s="57" t="n">
        <v>0.037</v>
      </c>
      <c r="C14" s="58" t="n">
        <f aca="false">B14/B$22*B$24</f>
        <v>0.0581876168481249</v>
      </c>
      <c r="D14" s="57" t="s">
        <v>434</v>
      </c>
      <c r="E14" s="59" t="n">
        <f aca="false">IFERROR(INDEX(Correspondance!$D$2:$D$3000,MATCH(A14,Correspondance!$A$2:$A$3000,0)),0)</f>
        <v>2</v>
      </c>
      <c r="F14" s="60" t="n">
        <f aca="false">C14*E14</f>
        <v>0.11637523369625</v>
      </c>
      <c r="G14" s="61"/>
      <c r="I14" s="63"/>
    </row>
    <row r="15" customFormat="false" ht="15.75" hidden="false" customHeight="false" outlineLevel="0" collapsed="false">
      <c r="A15" s="57" t="s">
        <v>1796</v>
      </c>
      <c r="B15" s="57" t="n">
        <v>0.004</v>
      </c>
      <c r="C15" s="58" t="n">
        <f aca="false">B15/B$22*B$24</f>
        <v>0.00629055317277026</v>
      </c>
      <c r="D15" s="57" t="s">
        <v>434</v>
      </c>
      <c r="E15" s="59" t="n">
        <f aca="false">IFERROR(INDEX(Correspondance!$D$2:$D$3000,MATCH(A15,Correspondance!$A$2:$A$3000,0)),0)</f>
        <v>18</v>
      </c>
      <c r="F15" s="60" t="n">
        <f aca="false">C15*E15</f>
        <v>0.113229957109865</v>
      </c>
      <c r="G15" s="61"/>
      <c r="I15" s="63"/>
    </row>
    <row r="16" customFormat="false" ht="15.75" hidden="false" customHeight="false" outlineLevel="0" collapsed="false">
      <c r="A16" s="57" t="s">
        <v>1948</v>
      </c>
      <c r="B16" s="57"/>
      <c r="C16" s="58" t="n">
        <f aca="false">B16/B$22*B$24</f>
        <v>0</v>
      </c>
      <c r="D16" s="57" t="s">
        <v>434</v>
      </c>
      <c r="E16" s="59" t="n">
        <f aca="false">IFERROR(INDEX(Correspondance!$D$2:$D$3000,MATCH(A16,Correspondance!$A$2:$A$3000,0)),0)</f>
        <v>16</v>
      </c>
      <c r="F16" s="60" t="n">
        <f aca="false">C16*E16</f>
        <v>0</v>
      </c>
      <c r="G16" s="61"/>
      <c r="I16" s="63"/>
    </row>
    <row r="17" customFormat="false" ht="15.75" hidden="false" customHeight="false" outlineLevel="0" collapsed="false">
      <c r="A17" s="57" t="s">
        <v>1675</v>
      </c>
      <c r="B17" s="57" t="n">
        <v>0.093</v>
      </c>
      <c r="C17" s="58" t="n">
        <f aca="false">B17/B$22*B$24</f>
        <v>0.146255361266909</v>
      </c>
      <c r="D17" s="57" t="s">
        <v>682</v>
      </c>
      <c r="E17" s="59" t="n">
        <f aca="false">IFERROR(INDEX(Correspondance!$D$2:$D$3000,MATCH(A17,Correspondance!$A$2:$A$3000,0)),0)</f>
        <v>2.2</v>
      </c>
      <c r="F17" s="60" t="n">
        <f aca="false">C17*E17</f>
        <v>0.321761794787199</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66.3466215770373</v>
      </c>
      <c r="G19" s="61"/>
      <c r="I19" s="63"/>
    </row>
    <row r="20" customFormat="false" ht="18.75" hidden="false" customHeight="true" outlineLevel="0" collapsed="false">
      <c r="A20" s="68" t="s">
        <v>2628</v>
      </c>
      <c r="B20" s="69" t="n">
        <f aca="false">F19/B24</f>
        <v>0.603151105245794</v>
      </c>
      <c r="C20" s="70"/>
      <c r="G20" s="61"/>
      <c r="I20" s="63"/>
    </row>
    <row r="21" customFormat="false" ht="15.75" hidden="false" customHeight="false" outlineLevel="0" collapsed="false">
      <c r="A21" s="71" t="s">
        <v>2629</v>
      </c>
      <c r="B21" s="71" t="n">
        <f aca="false">SUM(B3:B18)</f>
        <v>9.093</v>
      </c>
      <c r="C21" s="66"/>
      <c r="G21" s="61"/>
      <c r="I21" s="63"/>
    </row>
    <row r="22" customFormat="false" ht="15.75" hidden="false" customHeight="false" outlineLevel="0" collapsed="false">
      <c r="A22" s="0" t="s">
        <v>2630</v>
      </c>
      <c r="B22" s="72" t="n">
        <f aca="false">B21/B23</f>
        <v>69.9461538461539</v>
      </c>
      <c r="C22" s="66"/>
      <c r="G22" s="61"/>
      <c r="I22" s="63"/>
    </row>
    <row r="23" customFormat="false" ht="15.75" hidden="false" customHeight="false" outlineLevel="0" collapsed="false">
      <c r="A23" s="0" t="s">
        <v>2631</v>
      </c>
      <c r="B23" s="0" t="n">
        <v>0.13</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9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285</v>
      </c>
      <c r="B1" s="50"/>
      <c r="C1" s="50"/>
      <c r="D1" s="50"/>
      <c r="E1" s="51" t="s">
        <v>2619</v>
      </c>
      <c r="F1" s="51"/>
      <c r="G1" s="52" t="s">
        <v>2959</v>
      </c>
    </row>
    <row r="2" customFormat="false" ht="24.75" hidden="false" customHeight="true" outlineLevel="0" collapsed="false">
      <c r="A2" s="50"/>
      <c r="B2" s="50"/>
      <c r="C2" s="50"/>
      <c r="D2" s="50"/>
      <c r="E2" s="53" t="s">
        <v>2717</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495</v>
      </c>
      <c r="B4" s="57" t="n">
        <v>4.74</v>
      </c>
      <c r="C4" s="58" t="n">
        <f aca="false">B4/B$22*B$24</f>
        <v>7.45020883710706</v>
      </c>
      <c r="D4" s="57" t="s">
        <v>434</v>
      </c>
      <c r="E4" s="59" t="n">
        <f aca="false">IFERROR(INDEX(Correspondance!$D$2:$D$3000,MATCH(A4,Correspondance!$A$2:$A$3000,0)),0)</f>
        <v>7.5</v>
      </c>
      <c r="F4" s="60" t="n">
        <f aca="false">C4*E4</f>
        <v>55.8765662783029</v>
      </c>
      <c r="G4" s="61" t="s">
        <v>2961</v>
      </c>
    </row>
    <row r="5" customFormat="false" ht="15.75" hidden="false" customHeight="false" outlineLevel="0" collapsed="false">
      <c r="A5" s="57" t="s">
        <v>1001</v>
      </c>
      <c r="B5" s="57" t="n">
        <v>0.474</v>
      </c>
      <c r="C5" s="58" t="n">
        <f aca="false">B5/B$22*B$24</f>
        <v>0.745020883710706</v>
      </c>
      <c r="D5" s="57" t="s">
        <v>434</v>
      </c>
      <c r="E5" s="59" t="n">
        <f aca="false">IFERROR(INDEX(Correspondance!$D$2:$D$3000,MATCH(A5,Correspondance!$A$2:$A$3000,0)),0)</f>
        <v>1.8</v>
      </c>
      <c r="F5" s="60" t="n">
        <f aca="false">C5*E5</f>
        <v>1.34103759067927</v>
      </c>
      <c r="G5" s="61"/>
      <c r="I5" s="62"/>
    </row>
    <row r="6" customFormat="false" ht="15.75" hidden="false" customHeight="false" outlineLevel="0" collapsed="false">
      <c r="A6" s="57" t="s">
        <v>1845</v>
      </c>
      <c r="B6" s="57" t="n">
        <v>0.474</v>
      </c>
      <c r="C6" s="58" t="n">
        <f aca="false">B6/B$22*B$24</f>
        <v>0.745020883710706</v>
      </c>
      <c r="D6" s="57" t="s">
        <v>434</v>
      </c>
      <c r="E6" s="59" t="n">
        <f aca="false">IFERROR(INDEX(Correspondance!$D$2:$D$3000,MATCH(A6,Correspondance!$A$2:$A$3000,0)),0)</f>
        <v>1.7</v>
      </c>
      <c r="F6" s="60" t="n">
        <f aca="false">C6*E6</f>
        <v>1.2665355023082</v>
      </c>
      <c r="G6" s="61"/>
      <c r="I6" s="63"/>
    </row>
    <row r="7" customFormat="false" ht="15.75" hidden="false" customHeight="false" outlineLevel="0" collapsed="false">
      <c r="A7" s="57" t="s">
        <v>1169</v>
      </c>
      <c r="B7" s="57" t="n">
        <v>0.142</v>
      </c>
      <c r="C7" s="58" t="n">
        <f aca="false">B7/B$22*B$24</f>
        <v>0.223191910309958</v>
      </c>
      <c r="D7" s="57" t="s">
        <v>434</v>
      </c>
      <c r="E7" s="59" t="n">
        <f aca="false">IFERROR(INDEX(Correspondance!$D$2:$D$3000,MATCH(A7,Correspondance!$A$2:$A$3000,0)),0)</f>
        <v>5</v>
      </c>
      <c r="F7" s="60" t="n">
        <f aca="false">C7*E7</f>
        <v>1.11595955154979</v>
      </c>
      <c r="G7" s="61"/>
      <c r="I7" s="63"/>
    </row>
    <row r="8" customFormat="false" ht="15.75" hidden="false" customHeight="false" outlineLevel="0" collapsed="false">
      <c r="A8" s="57" t="s">
        <v>1269</v>
      </c>
      <c r="B8" s="57" t="n">
        <v>0.047</v>
      </c>
      <c r="C8" s="58" t="n">
        <f aca="false">B8/B$22*B$24</f>
        <v>0.0738733787645637</v>
      </c>
      <c r="D8" s="57" t="s">
        <v>434</v>
      </c>
      <c r="E8" s="59" t="n">
        <f aca="false">IFERROR(INDEX(Correspondance!$D$2:$D$3000,MATCH(A8,Correspondance!$A$2:$A$3000,0)),0)</f>
        <v>13</v>
      </c>
      <c r="F8" s="60" t="n">
        <f aca="false">C8*E8</f>
        <v>0.960353923939328</v>
      </c>
      <c r="G8" s="61"/>
      <c r="I8" s="63"/>
    </row>
    <row r="9" customFormat="false" ht="15.75" hidden="false" customHeight="false" outlineLevel="0" collapsed="false">
      <c r="A9" s="57" t="s">
        <v>1590</v>
      </c>
      <c r="B9" s="57" t="n">
        <v>0.009</v>
      </c>
      <c r="C9" s="58" t="n">
        <f aca="false">B9/B$22*B$24</f>
        <v>0.0141459661464058</v>
      </c>
      <c r="D9" s="57" t="s">
        <v>434</v>
      </c>
      <c r="E9" s="59" t="n">
        <f aca="false">IFERROR(INDEX(Correspondance!$D$2:$D$3000,MATCH(A9,Correspondance!$A$2:$A$3000,0)),0)</f>
        <v>12</v>
      </c>
      <c r="F9" s="60" t="n">
        <f aca="false">C9*E9</f>
        <v>0.16975159375687</v>
      </c>
      <c r="G9" s="61"/>
      <c r="I9" s="63"/>
    </row>
    <row r="10" customFormat="false" ht="15.75" hidden="false" customHeight="false" outlineLevel="0" collapsed="false">
      <c r="A10" s="57" t="s">
        <v>1216</v>
      </c>
      <c r="B10" s="57" t="n">
        <v>0.948</v>
      </c>
      <c r="C10" s="58" t="n">
        <f aca="false">B10/B$22*B$24</f>
        <v>1.49004176742141</v>
      </c>
      <c r="D10" s="57" t="s">
        <v>682</v>
      </c>
      <c r="E10" s="59" t="n">
        <f aca="false">IFERROR(INDEX(Correspondance!$D$2:$D$3000,MATCH(A10,Correspondance!$A$2:$A$3000,0)),0)</f>
        <v>3.5</v>
      </c>
      <c r="F10" s="60" t="n">
        <f aca="false">C10*E10</f>
        <v>5.21514618597494</v>
      </c>
      <c r="G10" s="61"/>
      <c r="I10" s="63"/>
    </row>
    <row r="11" customFormat="false" ht="15.75" hidden="false" customHeight="false" outlineLevel="0" collapsed="false">
      <c r="A11" s="57" t="s">
        <v>1576</v>
      </c>
      <c r="B11" s="57" t="n">
        <v>0.474</v>
      </c>
      <c r="C11" s="58" t="n">
        <f aca="false">B11/B$22*B$24</f>
        <v>0.745020883710706</v>
      </c>
      <c r="D11" s="57" t="s">
        <v>682</v>
      </c>
      <c r="E11" s="59" t="n">
        <f aca="false">IFERROR(INDEX(Correspondance!$D$2:$D$3000,MATCH(A11,Correspondance!$A$2:$A$3000,0)),0)</f>
        <v>5.5</v>
      </c>
      <c r="F11" s="60" t="n">
        <f aca="false">C11*E11</f>
        <v>4.09761486040888</v>
      </c>
      <c r="G11" s="61"/>
      <c r="I11" s="63"/>
    </row>
    <row r="12" customFormat="false" ht="18.75" hidden="false" customHeight="true" outlineLevel="0" collapsed="false">
      <c r="A12" s="57" t="s">
        <v>1459</v>
      </c>
      <c r="B12" s="64" t="n">
        <v>1.42</v>
      </c>
      <c r="C12" s="58" t="n">
        <f aca="false">B12/B$22*B$24</f>
        <v>2.23191910309958</v>
      </c>
      <c r="D12" s="57" t="s">
        <v>682</v>
      </c>
      <c r="E12" s="59" t="n">
        <f aca="false">IFERROR(INDEX(Correspondance!$D$2:$D$3000,MATCH(A12,Correspondance!$A$2:$A$3000,0)),0)</f>
        <v>0</v>
      </c>
      <c r="F12" s="60" t="n">
        <f aca="false">C12*E12</f>
        <v>0</v>
      </c>
      <c r="G12" s="61"/>
      <c r="I12" s="63"/>
    </row>
    <row r="13" customFormat="false" ht="18.75" hidden="false" customHeight="true" outlineLevel="0" collapsed="false">
      <c r="A13" s="57" t="s">
        <v>1100</v>
      </c>
      <c r="B13" s="64" t="n">
        <v>0.071</v>
      </c>
      <c r="C13" s="58" t="n">
        <f aca="false">B13/B$22*B$24</f>
        <v>0.111595955154979</v>
      </c>
      <c r="D13" s="57" t="s">
        <v>434</v>
      </c>
      <c r="E13" s="59" t="n">
        <f aca="false">IFERROR(INDEX(Correspondance!$D$2:$D$3000,MATCH(A13,Correspondance!$A$2:$A$3000,0)),0)</f>
        <v>10</v>
      </c>
      <c r="F13" s="60" t="n">
        <f aca="false">C13*E13</f>
        <v>1.11595955154979</v>
      </c>
      <c r="G13" s="61"/>
      <c r="I13" s="63"/>
    </row>
    <row r="14" customFormat="false" ht="15.75" hidden="false" customHeight="false" outlineLevel="0" collapsed="false">
      <c r="A14" s="57" t="s">
        <v>1084</v>
      </c>
      <c r="B14" s="57" t="n">
        <v>0.142</v>
      </c>
      <c r="C14" s="58" t="n">
        <f aca="false">B14/B$22*B$24</f>
        <v>0.223191910309958</v>
      </c>
      <c r="D14" s="57" t="s">
        <v>434</v>
      </c>
      <c r="E14" s="59" t="n">
        <f aca="false">IFERROR(INDEX(Correspondance!$D$2:$D$3000,MATCH(A14,Correspondance!$A$2:$A$3000,0)),0)</f>
        <v>2.2</v>
      </c>
      <c r="F14" s="60" t="n">
        <f aca="false">C14*E14</f>
        <v>0.491022202681908</v>
      </c>
      <c r="G14" s="61"/>
      <c r="I14" s="63"/>
    </row>
    <row r="15" customFormat="false" ht="15.75" hidden="false" customHeight="false" outlineLevel="0" collapsed="false">
      <c r="A15" s="57" t="s">
        <v>894</v>
      </c>
      <c r="B15" s="57" t="n">
        <v>0.024</v>
      </c>
      <c r="C15" s="58" t="n">
        <f aca="false">B15/B$22*B$24</f>
        <v>0.0377225763904155</v>
      </c>
      <c r="D15" s="57" t="s">
        <v>434</v>
      </c>
      <c r="E15" s="59" t="n">
        <f aca="false">IFERROR(INDEX(Correspondance!$D$2:$D$3000,MATCH(A15,Correspondance!$A$2:$A$3000,0)),0)</f>
        <v>5.5</v>
      </c>
      <c r="F15" s="60" t="n">
        <f aca="false">C15*E15</f>
        <v>0.207474170147285</v>
      </c>
      <c r="G15" s="61"/>
      <c r="I15" s="63"/>
    </row>
    <row r="16" customFormat="false" ht="15.75" hidden="false" customHeight="false" outlineLevel="0" collapsed="false">
      <c r="A16" s="57" t="s">
        <v>1919</v>
      </c>
      <c r="B16" s="57" t="n">
        <v>0.038</v>
      </c>
      <c r="C16" s="58" t="n">
        <f aca="false">B16/B$22*B$24</f>
        <v>0.0597274126181578</v>
      </c>
      <c r="D16" s="57" t="s">
        <v>434</v>
      </c>
      <c r="E16" s="59" t="n">
        <f aca="false">IFERROR(INDEX(Correspondance!$D$2:$D$3000,MATCH(A16,Correspondance!$A$2:$A$3000,0)),0)</f>
        <v>2</v>
      </c>
      <c r="F16" s="60" t="n">
        <f aca="false">C16*E16</f>
        <v>0.119454825236316</v>
      </c>
      <c r="G16" s="61"/>
      <c r="I16" s="63"/>
    </row>
    <row r="17" customFormat="false" ht="15.75" hidden="false" customHeight="false" outlineLevel="0" collapsed="false">
      <c r="A17" s="57" t="s">
        <v>1814</v>
      </c>
      <c r="B17" s="57"/>
      <c r="C17" s="58" t="n">
        <f aca="false">B17/B$22*B$24</f>
        <v>0</v>
      </c>
      <c r="D17" s="57" t="s">
        <v>434</v>
      </c>
      <c r="E17" s="59" t="n">
        <f aca="false">IFERROR(INDEX(Correspondance!$D$2:$D$3000,MATCH(A17,Correspondance!$A$2:$A$3000,0)),0)</f>
        <v>18</v>
      </c>
      <c r="F17" s="60" t="n">
        <f aca="false">C17*E17</f>
        <v>0</v>
      </c>
      <c r="G17" s="61"/>
      <c r="I17" s="63"/>
    </row>
    <row r="18" customFormat="false" ht="15.75" hidden="false" customHeight="false" outlineLevel="0" collapsed="false">
      <c r="A18" s="57" t="s">
        <v>1675</v>
      </c>
      <c r="B18" s="57" t="n">
        <v>0.095</v>
      </c>
      <c r="C18" s="58" t="n">
        <f aca="false">B18/B$22*B$24</f>
        <v>0.149318531545395</v>
      </c>
      <c r="D18" s="57" t="s">
        <v>682</v>
      </c>
      <c r="E18" s="59" t="n">
        <f aca="false">IFERROR(INDEX(Correspondance!$D$2:$D$3000,MATCH(A18,Correspondance!$A$2:$A$3000,0)),0)</f>
        <v>2.2</v>
      </c>
      <c r="F18" s="60" t="n">
        <f aca="false">C18*E18</f>
        <v>0.328500769399868</v>
      </c>
      <c r="G18" s="61"/>
      <c r="I18" s="63"/>
    </row>
    <row r="19" customFormat="false" ht="15.75" hidden="false" customHeight="false" outlineLevel="0" collapsed="false">
      <c r="C19" s="66"/>
      <c r="F19" s="67" t="n">
        <f aca="false">SUM(F4:F18)</f>
        <v>72.3053770059354</v>
      </c>
      <c r="G19" s="61"/>
      <c r="I19" s="63"/>
    </row>
    <row r="20" customFormat="false" ht="18.75" hidden="false" customHeight="true" outlineLevel="0" collapsed="false">
      <c r="A20" s="68" t="s">
        <v>2628</v>
      </c>
      <c r="B20" s="69" t="n">
        <f aca="false">F19/B24</f>
        <v>0.657321609144867</v>
      </c>
      <c r="C20" s="70"/>
      <c r="G20" s="61"/>
      <c r="I20" s="63"/>
    </row>
    <row r="21" customFormat="false" ht="15.75" hidden="false" customHeight="false" outlineLevel="0" collapsed="false">
      <c r="A21" s="71" t="s">
        <v>2629</v>
      </c>
      <c r="B21" s="71" t="n">
        <f aca="false">SUM(B3:B18)</f>
        <v>9.098</v>
      </c>
      <c r="C21" s="66"/>
      <c r="G21" s="61"/>
      <c r="I21" s="63"/>
    </row>
    <row r="22" customFormat="false" ht="15.75" hidden="false" customHeight="false" outlineLevel="0" collapsed="false">
      <c r="A22" s="0" t="s">
        <v>2630</v>
      </c>
      <c r="B22" s="72" t="n">
        <f aca="false">B21/B23</f>
        <v>69.9846153846154</v>
      </c>
      <c r="C22" s="66"/>
      <c r="G22" s="61"/>
      <c r="I22" s="63"/>
    </row>
    <row r="23" customFormat="false" ht="15.75" hidden="false" customHeight="false" outlineLevel="0" collapsed="false">
      <c r="A23" s="0" t="s">
        <v>2631</v>
      </c>
      <c r="B23" s="0" t="n">
        <v>0.13</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9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287</v>
      </c>
      <c r="B1" s="50"/>
      <c r="C1" s="50"/>
      <c r="D1" s="50"/>
      <c r="E1" s="51" t="s">
        <v>2619</v>
      </c>
      <c r="F1" s="51"/>
      <c r="G1" s="52" t="s">
        <v>2959</v>
      </c>
    </row>
    <row r="2" customFormat="false" ht="24.75" hidden="false" customHeight="true" outlineLevel="0" collapsed="false">
      <c r="A2" s="50"/>
      <c r="B2" s="50"/>
      <c r="C2" s="50"/>
      <c r="D2" s="50"/>
      <c r="E2" s="53" t="s">
        <v>2717</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495</v>
      </c>
      <c r="B4" s="57" t="n">
        <v>4.54</v>
      </c>
      <c r="C4" s="58" t="n">
        <f aca="false">B4/B$22*B$24</f>
        <v>7.13350181298759</v>
      </c>
      <c r="D4" s="57" t="s">
        <v>434</v>
      </c>
      <c r="E4" s="59" t="n">
        <f aca="false">IFERROR(INDEX(Correspondance!$D$2:$D$3000,MATCH(A4,Correspondance!$A$2:$A$3000,0)),0)</f>
        <v>7.5</v>
      </c>
      <c r="F4" s="60" t="n">
        <f aca="false">C4*E4</f>
        <v>53.5012635974069</v>
      </c>
      <c r="G4" s="61" t="s">
        <v>2962</v>
      </c>
    </row>
    <row r="5" customFormat="false" ht="15.75" hidden="false" customHeight="false" outlineLevel="0" collapsed="false">
      <c r="A5" s="57" t="s">
        <v>1167</v>
      </c>
      <c r="B5" s="57" t="n">
        <v>0.908</v>
      </c>
      <c r="C5" s="58" t="n">
        <f aca="false">B5/B$22*B$24</f>
        <v>1.42670036259752</v>
      </c>
      <c r="D5" s="57" t="s">
        <v>434</v>
      </c>
      <c r="E5" s="59" t="n">
        <f aca="false">IFERROR(INDEX(Correspondance!$D$2:$D$3000,MATCH(A5,Correspondance!$A$2:$A$3000,0)),0)</f>
        <v>7</v>
      </c>
      <c r="F5" s="60" t="n">
        <f aca="false">C5*E5</f>
        <v>9.98690253818262</v>
      </c>
      <c r="G5" s="61"/>
      <c r="I5" s="62"/>
    </row>
    <row r="6" customFormat="false" ht="15.75" hidden="false" customHeight="false" outlineLevel="0" collapsed="false">
      <c r="A6" s="57" t="s">
        <v>1001</v>
      </c>
      <c r="B6" s="57" t="n">
        <v>0.454</v>
      </c>
      <c r="C6" s="58" t="n">
        <f aca="false">B6/B$22*B$24</f>
        <v>0.713350181298759</v>
      </c>
      <c r="D6" s="57" t="s">
        <v>434</v>
      </c>
      <c r="E6" s="59" t="n">
        <f aca="false">IFERROR(INDEX(Correspondance!$D$2:$D$3000,MATCH(A6,Correspondance!$A$2:$A$3000,0)),0)</f>
        <v>1.8</v>
      </c>
      <c r="F6" s="60" t="n">
        <f aca="false">C6*E6</f>
        <v>1.28403032633777</v>
      </c>
      <c r="G6" s="61"/>
      <c r="I6" s="63"/>
    </row>
    <row r="7" customFormat="false" ht="15.75" hidden="false" customHeight="false" outlineLevel="0" collapsed="false">
      <c r="A7" s="57" t="s">
        <v>917</v>
      </c>
      <c r="B7" s="57" t="n">
        <v>0.454</v>
      </c>
      <c r="C7" s="58" t="n">
        <f aca="false">B7/B$22*B$24</f>
        <v>0.713350181298759</v>
      </c>
      <c r="D7" s="57" t="s">
        <v>434</v>
      </c>
      <c r="E7" s="59" t="n">
        <f aca="false">IFERROR(INDEX(Correspondance!$D$2:$D$3000,MATCH(A7,Correspondance!$A$2:$A$3000,0)),0)</f>
        <v>1.8</v>
      </c>
      <c r="F7" s="60" t="n">
        <f aca="false">C7*E7</f>
        <v>1.28403032633777</v>
      </c>
      <c r="G7" s="61"/>
      <c r="I7" s="63"/>
    </row>
    <row r="8" customFormat="false" ht="15.75" hidden="false" customHeight="false" outlineLevel="0" collapsed="false">
      <c r="A8" s="57" t="s">
        <v>1973</v>
      </c>
      <c r="B8" s="57" t="n">
        <v>0.454</v>
      </c>
      <c r="C8" s="58" t="n">
        <f aca="false">B8/B$22*B$24</f>
        <v>0.713350181298759</v>
      </c>
      <c r="D8" s="57" t="s">
        <v>682</v>
      </c>
      <c r="E8" s="59" t="n">
        <f aca="false">IFERROR(INDEX(Correspondance!$D$2:$D$3000,MATCH(A8,Correspondance!$A$2:$A$3000,0)),0)</f>
        <v>2</v>
      </c>
      <c r="F8" s="60" t="n">
        <f aca="false">C8*E8</f>
        <v>1.42670036259752</v>
      </c>
      <c r="G8" s="61"/>
      <c r="I8" s="63"/>
    </row>
    <row r="9" customFormat="false" ht="15.75" hidden="false" customHeight="false" outlineLevel="0" collapsed="false">
      <c r="A9" s="57" t="s">
        <v>1459</v>
      </c>
      <c r="B9" s="57" t="n">
        <v>1.82</v>
      </c>
      <c r="C9" s="58" t="n">
        <f aca="false">B9/B$22*B$24</f>
        <v>2.85968574881881</v>
      </c>
      <c r="D9" s="57" t="s">
        <v>682</v>
      </c>
      <c r="E9" s="59" t="n">
        <f aca="false">IFERROR(INDEX(Correspondance!$D$2:$D$3000,MATCH(A9,Correspondance!$A$2:$A$3000,0)),0)</f>
        <v>0</v>
      </c>
      <c r="F9" s="60" t="n">
        <f aca="false">C9*E9</f>
        <v>0</v>
      </c>
      <c r="G9" s="61"/>
      <c r="I9" s="63"/>
    </row>
    <row r="10" customFormat="false" ht="15.75" hidden="false" customHeight="false" outlineLevel="0" collapsed="false">
      <c r="A10" s="57" t="s">
        <v>1098</v>
      </c>
      <c r="B10" s="57" t="n">
        <v>0.068</v>
      </c>
      <c r="C10" s="58" t="n">
        <f aca="false">B10/B$22*B$24</f>
        <v>0.106845401604219</v>
      </c>
      <c r="D10" s="57" t="s">
        <v>434</v>
      </c>
      <c r="E10" s="59" t="n">
        <f aca="false">IFERROR(INDEX(Correspondance!$D$2:$D$3000,MATCH(A10,Correspondance!$A$2:$A$3000,0)),0)</f>
        <v>12</v>
      </c>
      <c r="F10" s="60" t="n">
        <f aca="false">C10*E10</f>
        <v>1.28214481925063</v>
      </c>
      <c r="G10" s="61"/>
      <c r="I10" s="63"/>
    </row>
    <row r="11" customFormat="false" ht="15.75" hidden="false" customHeight="false" outlineLevel="0" collapsed="false">
      <c r="A11" s="57" t="s">
        <v>1137</v>
      </c>
      <c r="B11" s="57" t="n">
        <v>0.091</v>
      </c>
      <c r="C11" s="58" t="n">
        <f aca="false">B11/B$22*B$24</f>
        <v>0.142984287440941</v>
      </c>
      <c r="D11" s="57" t="s">
        <v>434</v>
      </c>
      <c r="E11" s="59" t="n">
        <f aca="false">IFERROR(INDEX(Correspondance!$D$2:$D$3000,MATCH(A11,Correspondance!$A$2:$A$3000,0)),0)</f>
        <v>7.5</v>
      </c>
      <c r="F11" s="60" t="n">
        <f aca="false">C11*E11</f>
        <v>1.07238215580705</v>
      </c>
      <c r="G11" s="61"/>
      <c r="I11" s="63"/>
    </row>
    <row r="12" customFormat="false" ht="18.75" hidden="false" customHeight="true" outlineLevel="0" collapsed="false">
      <c r="A12" s="57" t="s">
        <v>1340</v>
      </c>
      <c r="B12" s="64" t="n">
        <v>0.045</v>
      </c>
      <c r="C12" s="58" t="n">
        <f aca="false">B12/B$22*B$24</f>
        <v>0.0707065157674981</v>
      </c>
      <c r="D12" s="57" t="s">
        <v>682</v>
      </c>
      <c r="E12" s="59" t="n">
        <f aca="false">IFERROR(INDEX(Correspondance!$D$2:$D$3000,MATCH(A12,Correspondance!$A$2:$A$3000,0)),0)</f>
        <v>1.8</v>
      </c>
      <c r="F12" s="60" t="n">
        <f aca="false">C12*E12</f>
        <v>0.127271728381497</v>
      </c>
      <c r="G12" s="61"/>
      <c r="I12" s="63"/>
    </row>
    <row r="13" customFormat="false" ht="18.75" hidden="false" customHeight="true" outlineLevel="0" collapsed="false">
      <c r="A13" s="57" t="s">
        <v>1084</v>
      </c>
      <c r="B13" s="64" t="n">
        <v>0.136</v>
      </c>
      <c r="C13" s="58" t="n">
        <f aca="false">B13/B$22*B$24</f>
        <v>0.213690803208439</v>
      </c>
      <c r="D13" s="57" t="s">
        <v>434</v>
      </c>
      <c r="E13" s="59" t="n">
        <f aca="false">IFERROR(INDEX(Correspondance!$D$2:$D$3000,MATCH(A13,Correspondance!$A$2:$A$3000,0)),0)</f>
        <v>2.2</v>
      </c>
      <c r="F13" s="60" t="n">
        <f aca="false">C13*E13</f>
        <v>0.470119767058565</v>
      </c>
      <c r="G13" s="61"/>
      <c r="I13" s="63"/>
    </row>
    <row r="14" customFormat="false" ht="15.75" hidden="false" customHeight="false" outlineLevel="0" collapsed="false">
      <c r="A14" s="57" t="s">
        <v>1919</v>
      </c>
      <c r="B14" s="57" t="n">
        <v>0.036</v>
      </c>
      <c r="C14" s="58" t="n">
        <f aca="false">B14/B$22*B$24</f>
        <v>0.0565652126139985</v>
      </c>
      <c r="D14" s="57" t="s">
        <v>434</v>
      </c>
      <c r="E14" s="59" t="n">
        <f aca="false">IFERROR(INDEX(Correspondance!$D$2:$D$3000,MATCH(A14,Correspondance!$A$2:$A$3000,0)),0)</f>
        <v>2</v>
      </c>
      <c r="F14" s="60" t="n">
        <f aca="false">C14*E14</f>
        <v>0.113130425227997</v>
      </c>
      <c r="G14" s="61"/>
      <c r="I14" s="63"/>
    </row>
    <row r="15" customFormat="false" ht="15.75" hidden="false" customHeight="false" outlineLevel="0" collapsed="false">
      <c r="A15" s="57" t="s">
        <v>1796</v>
      </c>
      <c r="B15" s="57" t="n">
        <v>0.004</v>
      </c>
      <c r="C15" s="58" t="n">
        <f aca="false">B15/B$22*B$24</f>
        <v>0.00628502362377761</v>
      </c>
      <c r="D15" s="57" t="s">
        <v>434</v>
      </c>
      <c r="E15" s="59" t="n">
        <f aca="false">IFERROR(INDEX(Correspondance!$D$2:$D$3000,MATCH(A15,Correspondance!$A$2:$A$3000,0)),0)</f>
        <v>18</v>
      </c>
      <c r="F15" s="60" t="n">
        <f aca="false">C15*E15</f>
        <v>0.113130425227997</v>
      </c>
      <c r="G15" s="61"/>
      <c r="I15" s="63"/>
    </row>
    <row r="16" customFormat="false" ht="15.75" hidden="false" customHeight="false" outlineLevel="0" collapsed="false">
      <c r="A16" s="57" t="s">
        <v>1949</v>
      </c>
      <c r="B16" s="57"/>
      <c r="C16" s="58" t="n">
        <f aca="false">B16/B$22*B$24</f>
        <v>0</v>
      </c>
      <c r="D16" s="57" t="s">
        <v>434</v>
      </c>
      <c r="E16" s="59" t="n">
        <f aca="false">IFERROR(INDEX(Correspondance!$D$2:$D$3000,MATCH(A16,Correspondance!$A$2:$A$3000,0)),0)</f>
        <v>16</v>
      </c>
      <c r="F16" s="60" t="n">
        <f aca="false">C16*E16</f>
        <v>0</v>
      </c>
      <c r="G16" s="61"/>
      <c r="I16" s="63"/>
    </row>
    <row r="17" customFormat="false" ht="15.75" hidden="false" customHeight="false" outlineLevel="0" collapsed="false">
      <c r="A17" s="57" t="s">
        <v>1675</v>
      </c>
      <c r="B17" s="57" t="n">
        <v>0.091</v>
      </c>
      <c r="C17" s="58" t="n">
        <f aca="false">B17/B$22*B$24</f>
        <v>0.142984287440941</v>
      </c>
      <c r="D17" s="57" t="s">
        <v>682</v>
      </c>
      <c r="E17" s="59" t="n">
        <f aca="false">IFERROR(INDEX(Correspondance!$D$2:$D$3000,MATCH(A17,Correspondance!$A$2:$A$3000,0)),0)</f>
        <v>2.2</v>
      </c>
      <c r="F17" s="60" t="n">
        <f aca="false">C17*E17</f>
        <v>0.314565432370069</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70.9756719041864</v>
      </c>
      <c r="G19" s="61"/>
      <c r="I19" s="63"/>
    </row>
    <row r="20" customFormat="false" ht="18.75" hidden="false" customHeight="true" outlineLevel="0" collapsed="false">
      <c r="A20" s="68" t="s">
        <v>2628</v>
      </c>
      <c r="B20" s="69" t="n">
        <f aca="false">F19/B24</f>
        <v>0.645233380947149</v>
      </c>
      <c r="C20" s="70"/>
      <c r="G20" s="61"/>
      <c r="I20" s="63"/>
    </row>
    <row r="21" customFormat="false" ht="15.75" hidden="false" customHeight="false" outlineLevel="0" collapsed="false">
      <c r="A21" s="71" t="s">
        <v>2629</v>
      </c>
      <c r="B21" s="71" t="n">
        <f aca="false">SUM(B3:B18)</f>
        <v>9.101</v>
      </c>
      <c r="C21" s="66"/>
      <c r="G21" s="61"/>
      <c r="I21" s="63"/>
    </row>
    <row r="22" customFormat="false" ht="15.75" hidden="false" customHeight="false" outlineLevel="0" collapsed="false">
      <c r="A22" s="0" t="s">
        <v>2630</v>
      </c>
      <c r="B22" s="72" t="n">
        <f aca="false">B21/B23</f>
        <v>70.0076923076923</v>
      </c>
      <c r="C22" s="66"/>
      <c r="G22" s="61"/>
      <c r="I22" s="63"/>
    </row>
    <row r="23" customFormat="false" ht="15.75" hidden="false" customHeight="false" outlineLevel="0" collapsed="false">
      <c r="A23" s="0" t="s">
        <v>2631</v>
      </c>
      <c r="B23" s="0" t="n">
        <v>0.13</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0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289</v>
      </c>
      <c r="B1" s="50"/>
      <c r="C1" s="50"/>
      <c r="D1" s="50"/>
      <c r="E1" s="51" t="s">
        <v>2619</v>
      </c>
      <c r="F1" s="51"/>
      <c r="G1" s="52" t="s">
        <v>2959</v>
      </c>
    </row>
    <row r="2" customFormat="false" ht="24.75" hidden="false" customHeight="true" outlineLevel="0" collapsed="false">
      <c r="A2" s="50"/>
      <c r="B2" s="50"/>
      <c r="C2" s="50"/>
      <c r="D2" s="50"/>
      <c r="E2" s="53" t="s">
        <v>2717</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495</v>
      </c>
      <c r="B4" s="57" t="n">
        <v>4.81</v>
      </c>
      <c r="C4" s="58" t="n">
        <f aca="false">B4/B$22*B$24</f>
        <v>7.56189533861038</v>
      </c>
      <c r="D4" s="57" t="s">
        <v>434</v>
      </c>
      <c r="E4" s="59" t="n">
        <f aca="false">IFERROR(INDEX(Correspondance!$D$2:$D$3000,MATCH(A4,Correspondance!$A$2:$A$3000,0)),0)</f>
        <v>7.5</v>
      </c>
      <c r="F4" s="60" t="n">
        <f aca="false">C4*E4</f>
        <v>56.7142150395778</v>
      </c>
      <c r="G4" s="61" t="s">
        <v>2963</v>
      </c>
    </row>
    <row r="5" customFormat="false" ht="15.75" hidden="false" customHeight="false" outlineLevel="0" collapsed="false">
      <c r="A5" s="57" t="s">
        <v>1937</v>
      </c>
      <c r="B5" s="57" t="n">
        <v>0.385</v>
      </c>
      <c r="C5" s="58" t="n">
        <f aca="false">B5/B$22*B$24</f>
        <v>0.605266051011434</v>
      </c>
      <c r="D5" s="57" t="s">
        <v>434</v>
      </c>
      <c r="E5" s="59" t="n">
        <f aca="false">IFERROR(INDEX(Correspondance!$D$2:$D$3000,MATCH(A5,Correspondance!$A$2:$A$3000,0)),0)</f>
        <v>1.3</v>
      </c>
      <c r="F5" s="60" t="n">
        <f aca="false">C5*E5</f>
        <v>0.786845866314864</v>
      </c>
      <c r="G5" s="61"/>
      <c r="I5" s="62"/>
    </row>
    <row r="6" customFormat="false" ht="15.75" hidden="false" customHeight="false" outlineLevel="0" collapsed="false">
      <c r="A6" s="57" t="s">
        <v>1246</v>
      </c>
      <c r="B6" s="57" t="n">
        <v>0.385</v>
      </c>
      <c r="C6" s="58" t="n">
        <f aca="false">B6/B$22*B$24</f>
        <v>0.605266051011434</v>
      </c>
      <c r="D6" s="57" t="s">
        <v>682</v>
      </c>
      <c r="E6" s="59" t="n">
        <f aca="false">IFERROR(INDEX(Correspondance!$D$2:$D$3000,MATCH(A6,Correspondance!$A$2:$A$3000,0)),0)</f>
        <v>4</v>
      </c>
      <c r="F6" s="60" t="n">
        <f aca="false">C6*E6</f>
        <v>2.42106420404574</v>
      </c>
      <c r="G6" s="61"/>
      <c r="I6" s="63"/>
    </row>
    <row r="7" customFormat="false" ht="15.75" hidden="false" customHeight="false" outlineLevel="0" collapsed="false">
      <c r="A7" s="57" t="s">
        <v>1742</v>
      </c>
      <c r="B7" s="57" t="n">
        <v>0.096</v>
      </c>
      <c r="C7" s="58" t="n">
        <f aca="false">B7/B$22*B$24</f>
        <v>0.150923482849604</v>
      </c>
      <c r="D7" s="57" t="s">
        <v>682</v>
      </c>
      <c r="E7" s="59" t="n">
        <f aca="false">IFERROR(INDEX(Correspondance!$D$2:$D$3000,MATCH(A7,Correspondance!$A$2:$A$3000,0)),0)</f>
        <v>5</v>
      </c>
      <c r="F7" s="60" t="n">
        <f aca="false">C7*E7</f>
        <v>0.754617414248021</v>
      </c>
      <c r="G7" s="61"/>
      <c r="I7" s="63"/>
    </row>
    <row r="8" customFormat="false" ht="15.75" hidden="false" customHeight="false" outlineLevel="0" collapsed="false">
      <c r="A8" s="57" t="s">
        <v>1981</v>
      </c>
      <c r="B8" s="57" t="n">
        <v>0.144</v>
      </c>
      <c r="C8" s="58" t="n">
        <f aca="false">B8/B$22*B$24</f>
        <v>0.226385224274406</v>
      </c>
      <c r="D8" s="57" t="s">
        <v>682</v>
      </c>
      <c r="E8" s="59" t="n">
        <f aca="false">IFERROR(INDEX(Correspondance!$D$2:$D$3000,MATCH(A8,Correspondance!$A$2:$A$3000,0)),0)</f>
        <v>4</v>
      </c>
      <c r="F8" s="60" t="n">
        <f aca="false">C8*E8</f>
        <v>0.905540897097625</v>
      </c>
      <c r="G8" s="61"/>
      <c r="I8" s="63"/>
    </row>
    <row r="9" customFormat="false" ht="15.75" hidden="false" customHeight="false" outlineLevel="0" collapsed="false">
      <c r="A9" s="57" t="s">
        <v>1459</v>
      </c>
      <c r="B9" s="57" t="n">
        <v>1.92</v>
      </c>
      <c r="C9" s="58" t="n">
        <f aca="false">B9/B$22*B$24</f>
        <v>3.01846965699209</v>
      </c>
      <c r="D9" s="57" t="s">
        <v>682</v>
      </c>
      <c r="E9" s="59" t="n">
        <f aca="false">IFERROR(INDEX(Correspondance!$D$2:$D$3000,MATCH(A9,Correspondance!$A$2:$A$3000,0)),0)</f>
        <v>0</v>
      </c>
      <c r="F9" s="60" t="n">
        <f aca="false">C9*E9</f>
        <v>0</v>
      </c>
      <c r="G9" s="61"/>
      <c r="I9" s="63"/>
    </row>
    <row r="10" customFormat="false" ht="15.75" hidden="false" customHeight="false" outlineLevel="0" collapsed="false">
      <c r="A10" s="57" t="s">
        <v>1001</v>
      </c>
      <c r="B10" s="57" t="n">
        <v>0.481</v>
      </c>
      <c r="C10" s="58" t="n">
        <f aca="false">B10/B$22*B$24</f>
        <v>0.756189533861038</v>
      </c>
      <c r="D10" s="57" t="s">
        <v>434</v>
      </c>
      <c r="E10" s="59" t="n">
        <f aca="false">IFERROR(INDEX(Correspondance!$D$2:$D$3000,MATCH(A10,Correspondance!$A$2:$A$3000,0)),0)</f>
        <v>1.8</v>
      </c>
      <c r="F10" s="60" t="n">
        <f aca="false">C10*E10</f>
        <v>1.36114116094987</v>
      </c>
      <c r="G10" s="61"/>
      <c r="I10" s="63"/>
    </row>
    <row r="11" customFormat="false" ht="15.75" hidden="false" customHeight="false" outlineLevel="0" collapsed="false">
      <c r="A11" s="57" t="s">
        <v>911</v>
      </c>
      <c r="B11" s="57" t="n">
        <v>0.481</v>
      </c>
      <c r="C11" s="58" t="n">
        <f aca="false">B11/B$22*B$24</f>
        <v>0.756189533861038</v>
      </c>
      <c r="D11" s="57" t="s">
        <v>434</v>
      </c>
      <c r="E11" s="59" t="n">
        <f aca="false">IFERROR(INDEX(Correspondance!$D$2:$D$3000,MATCH(A11,Correspondance!$A$2:$A$3000,0)),0)</f>
        <v>2.2</v>
      </c>
      <c r="F11" s="60" t="n">
        <f aca="false">C11*E11</f>
        <v>1.66361697449428</v>
      </c>
      <c r="G11" s="61"/>
      <c r="I11" s="63"/>
    </row>
    <row r="12" customFormat="false" ht="18.75" hidden="false" customHeight="true" outlineLevel="0" collapsed="false">
      <c r="A12" s="57" t="s">
        <v>894</v>
      </c>
      <c r="B12" s="64" t="n">
        <v>0.048</v>
      </c>
      <c r="C12" s="58" t="n">
        <f aca="false">B12/B$22*B$24</f>
        <v>0.0754617414248021</v>
      </c>
      <c r="D12" s="57" t="s">
        <v>434</v>
      </c>
      <c r="E12" s="59" t="n">
        <f aca="false">IFERROR(INDEX(Correspondance!$D$2:$D$3000,MATCH(A12,Correspondance!$A$2:$A$3000,0)),0)</f>
        <v>5.5</v>
      </c>
      <c r="F12" s="60" t="n">
        <f aca="false">C12*E12</f>
        <v>0.415039577836412</v>
      </c>
      <c r="G12" s="61"/>
      <c r="I12" s="63"/>
    </row>
    <row r="13" customFormat="false" ht="18.75" hidden="false" customHeight="true" outlineLevel="0" collapsed="false">
      <c r="A13" s="57" t="s">
        <v>1649</v>
      </c>
      <c r="B13" s="64" t="n">
        <v>0.024</v>
      </c>
      <c r="C13" s="58" t="n">
        <f aca="false">B13/B$22*B$24</f>
        <v>0.0377308707124011</v>
      </c>
      <c r="D13" s="57" t="s">
        <v>434</v>
      </c>
      <c r="E13" s="59" t="n">
        <f aca="false">IFERROR(INDEX(Correspondance!$D$2:$D$3000,MATCH(A13,Correspondance!$A$2:$A$3000,0)),0)</f>
        <v>6.5</v>
      </c>
      <c r="F13" s="60" t="n">
        <f aca="false">C13*E13</f>
        <v>0.245250659630607</v>
      </c>
      <c r="G13" s="61"/>
      <c r="I13" s="63"/>
    </row>
    <row r="14" customFormat="false" ht="15.75" hidden="false" customHeight="false" outlineLevel="0" collapsed="false">
      <c r="A14" s="57" t="s">
        <v>1100</v>
      </c>
      <c r="B14" s="57" t="n">
        <v>0.048</v>
      </c>
      <c r="C14" s="58" t="n">
        <f aca="false">B14/B$22*B$24</f>
        <v>0.0754617414248021</v>
      </c>
      <c r="D14" s="57" t="s">
        <v>434</v>
      </c>
      <c r="E14" s="59" t="n">
        <f aca="false">IFERROR(INDEX(Correspondance!$D$2:$D$3000,MATCH(A14,Correspondance!$A$2:$A$3000,0)),0)</f>
        <v>10</v>
      </c>
      <c r="F14" s="60" t="n">
        <f aca="false">C14*E14</f>
        <v>0.754617414248021</v>
      </c>
      <c r="G14" s="61"/>
      <c r="I14" s="63"/>
    </row>
    <row r="15" customFormat="false" ht="15.75" hidden="false" customHeight="false" outlineLevel="0" collapsed="false">
      <c r="A15" s="57" t="s">
        <v>1084</v>
      </c>
      <c r="B15" s="57" t="n">
        <v>0.168</v>
      </c>
      <c r="C15" s="58" t="n">
        <f aca="false">B15/B$22*B$24</f>
        <v>0.264116094986807</v>
      </c>
      <c r="D15" s="57" t="s">
        <v>434</v>
      </c>
      <c r="E15" s="59" t="n">
        <f aca="false">IFERROR(INDEX(Correspondance!$D$2:$D$3000,MATCH(A15,Correspondance!$A$2:$A$3000,0)),0)</f>
        <v>2.2</v>
      </c>
      <c r="F15" s="60" t="n">
        <f aca="false">C15*E15</f>
        <v>0.581055408970976</v>
      </c>
      <c r="G15" s="61"/>
      <c r="I15" s="63"/>
    </row>
    <row r="16" customFormat="false" ht="15.75" hidden="false" customHeight="false" outlineLevel="0" collapsed="false">
      <c r="A16" s="57" t="s">
        <v>1816</v>
      </c>
      <c r="B16" s="57"/>
      <c r="C16" s="58" t="n">
        <f aca="false">B16/B$22*B$24</f>
        <v>0</v>
      </c>
      <c r="D16" s="57" t="s">
        <v>434</v>
      </c>
      <c r="E16" s="59" t="n">
        <f aca="false">IFERROR(INDEX(Correspondance!$D$2:$D$3000,MATCH(A16,Correspondance!$A$2:$A$3000,0)),0)</f>
        <v>18</v>
      </c>
      <c r="F16" s="60" t="n">
        <f aca="false">C16*E16</f>
        <v>0</v>
      </c>
      <c r="G16" s="61"/>
      <c r="I16" s="63"/>
    </row>
    <row r="17" customFormat="false" ht="15.75" hidden="false" customHeight="false" outlineLevel="0" collapsed="false">
      <c r="A17" s="57" t="s">
        <v>1675</v>
      </c>
      <c r="B17" s="57" t="n">
        <v>0.096</v>
      </c>
      <c r="C17" s="58" t="n">
        <f aca="false">B17/B$22*B$24</f>
        <v>0.150923482849604</v>
      </c>
      <c r="D17" s="57" t="s">
        <v>682</v>
      </c>
      <c r="E17" s="59" t="n">
        <f aca="false">IFERROR(INDEX(Correspondance!$D$2:$D$3000,MATCH(A17,Correspondance!$A$2:$A$3000,0)),0)</f>
        <v>2.2</v>
      </c>
      <c r="F17" s="60" t="n">
        <f aca="false">C17*E17</f>
        <v>0.332031662269129</v>
      </c>
      <c r="G17" s="61"/>
      <c r="I17" s="63"/>
    </row>
    <row r="18" customFormat="false" ht="15.75" hidden="false" customHeight="false" outlineLevel="0" collapsed="false">
      <c r="A18" s="57" t="s">
        <v>1922</v>
      </c>
      <c r="B18" s="57" t="n">
        <v>0.01</v>
      </c>
      <c r="C18" s="58" t="n">
        <f aca="false">B18/B$22*B$24</f>
        <v>0.0157211961301671</v>
      </c>
      <c r="D18" s="57" t="s">
        <v>434</v>
      </c>
      <c r="E18" s="59" t="n">
        <f aca="false">IFERROR(INDEX(Correspondance!$D$2:$D$3000,MATCH(A18,Correspondance!$A$2:$A$3000,0)),0)</f>
        <v>2</v>
      </c>
      <c r="F18" s="60" t="n">
        <f aca="false">C18*E18</f>
        <v>0.0314423922603342</v>
      </c>
      <c r="G18" s="61"/>
      <c r="I18" s="63"/>
    </row>
    <row r="19" customFormat="false" ht="15.75" hidden="false" customHeight="false" outlineLevel="0" collapsed="false">
      <c r="C19" s="66"/>
      <c r="F19" s="67" t="n">
        <f aca="false">SUM(F4:F18)</f>
        <v>66.9664786719437</v>
      </c>
      <c r="G19" s="61"/>
      <c r="I19" s="63"/>
    </row>
    <row r="20" customFormat="false" ht="18.75" hidden="false" customHeight="true" outlineLevel="0" collapsed="false">
      <c r="A20" s="68" t="s">
        <v>2628</v>
      </c>
      <c r="B20" s="69" t="n">
        <f aca="false">F19/B24</f>
        <v>0.608786169744943</v>
      </c>
      <c r="C20" s="70"/>
      <c r="G20" s="61"/>
      <c r="I20" s="63"/>
    </row>
    <row r="21" customFormat="false" ht="15.75" hidden="false" customHeight="false" outlineLevel="0" collapsed="false">
      <c r="A21" s="71" t="s">
        <v>2629</v>
      </c>
      <c r="B21" s="71" t="n">
        <f aca="false">SUM(B3:B18)</f>
        <v>9.096</v>
      </c>
      <c r="C21" s="66"/>
      <c r="G21" s="61"/>
      <c r="I21" s="63"/>
    </row>
    <row r="22" customFormat="false" ht="15.75" hidden="false" customHeight="false" outlineLevel="0" collapsed="false">
      <c r="A22" s="0" t="s">
        <v>2630</v>
      </c>
      <c r="B22" s="72" t="n">
        <f aca="false">B21/B23</f>
        <v>69.9692307692308</v>
      </c>
      <c r="C22" s="66"/>
      <c r="G22" s="61"/>
      <c r="I22" s="63"/>
    </row>
    <row r="23" customFormat="false" ht="15.75" hidden="false" customHeight="false" outlineLevel="0" collapsed="false">
      <c r="A23" s="0" t="s">
        <v>2631</v>
      </c>
      <c r="B23" s="0" t="n">
        <v>0.13</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0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291</v>
      </c>
      <c r="B1" s="50"/>
      <c r="C1" s="50"/>
      <c r="D1" s="50"/>
      <c r="E1" s="51" t="s">
        <v>2619</v>
      </c>
      <c r="F1" s="51"/>
      <c r="G1" s="52" t="s">
        <v>2861</v>
      </c>
    </row>
    <row r="2" customFormat="false" ht="24.75" hidden="false" customHeight="true" outlineLevel="0" collapsed="false">
      <c r="A2" s="50"/>
      <c r="B2" s="50"/>
      <c r="C2" s="50"/>
      <c r="D2" s="50"/>
      <c r="E2" s="53" t="s">
        <v>2636</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1913</v>
      </c>
      <c r="B4" s="57" t="n">
        <v>4.29</v>
      </c>
      <c r="C4" s="58" t="n">
        <f aca="false">B4/B$22*B$24</f>
        <v>6.74291052978677</v>
      </c>
      <c r="D4" s="57" t="s">
        <v>434</v>
      </c>
      <c r="E4" s="59" t="n">
        <f aca="false">IFERROR(INDEX(Correspondance!$D$2:$D$3000,MATCH(A4,Correspondance!$A$2:$A$3000,0)),0)</f>
        <v>13</v>
      </c>
      <c r="F4" s="60" t="n">
        <f aca="false">C4*E4</f>
        <v>87.657836887228</v>
      </c>
      <c r="G4" s="61" t="s">
        <v>2964</v>
      </c>
    </row>
    <row r="5" customFormat="false" ht="15.75" hidden="false" customHeight="false" outlineLevel="0" collapsed="false">
      <c r="A5" s="57" t="s">
        <v>1977</v>
      </c>
      <c r="B5" s="57" t="n">
        <v>2.15</v>
      </c>
      <c r="C5" s="58" t="n">
        <f aca="false">B5/B$22*B$24</f>
        <v>3.37931413497472</v>
      </c>
      <c r="D5" s="57" t="s">
        <v>682</v>
      </c>
      <c r="E5" s="59" t="n">
        <f aca="false">IFERROR(INDEX(Correspondance!$D$2:$D$3000,MATCH(A5,Correspondance!$A$2:$A$3000,0)),0)</f>
        <v>2</v>
      </c>
      <c r="F5" s="60" t="n">
        <f aca="false">C5*E5</f>
        <v>6.75862826994944</v>
      </c>
      <c r="G5" s="61"/>
      <c r="I5" s="62"/>
    </row>
    <row r="6" customFormat="false" ht="15.75" hidden="false" customHeight="false" outlineLevel="0" collapsed="false">
      <c r="A6" s="57" t="s">
        <v>1459</v>
      </c>
      <c r="B6" s="57" t="n">
        <v>0.859</v>
      </c>
      <c r="C6" s="58" t="n">
        <f aca="false">B6/B$22*B$24</f>
        <v>1.35015387997362</v>
      </c>
      <c r="D6" s="57" t="s">
        <v>682</v>
      </c>
      <c r="E6" s="59" t="n">
        <f aca="false">IFERROR(INDEX(Correspondance!$D$2:$D$3000,MATCH(A6,Correspondance!$A$2:$A$3000,0)),0)</f>
        <v>0</v>
      </c>
      <c r="F6" s="60" t="n">
        <f aca="false">C6*E6</f>
        <v>0</v>
      </c>
      <c r="G6" s="61"/>
      <c r="I6" s="63"/>
    </row>
    <row r="7" customFormat="false" ht="15.75" hidden="false" customHeight="false" outlineLevel="0" collapsed="false">
      <c r="A7" s="57" t="s">
        <v>1001</v>
      </c>
      <c r="B7" s="57" t="n">
        <v>0.429</v>
      </c>
      <c r="C7" s="58" t="n">
        <f aca="false">B7/B$22*B$24</f>
        <v>0.674291052978677</v>
      </c>
      <c r="D7" s="57" t="s">
        <v>434</v>
      </c>
      <c r="E7" s="59" t="n">
        <f aca="false">IFERROR(INDEX(Correspondance!$D$2:$D$3000,MATCH(A7,Correspondance!$A$2:$A$3000,0)),0)</f>
        <v>1.8</v>
      </c>
      <c r="F7" s="60" t="n">
        <f aca="false">C7*E7</f>
        <v>1.21372389536162</v>
      </c>
      <c r="G7" s="61"/>
      <c r="I7" s="63"/>
    </row>
    <row r="8" customFormat="false" ht="15.75" hidden="false" customHeight="false" outlineLevel="0" collapsed="false">
      <c r="A8" s="57" t="s">
        <v>917</v>
      </c>
      <c r="B8" s="57" t="n">
        <v>0.429</v>
      </c>
      <c r="C8" s="58" t="n">
        <f aca="false">B8/B$22*B$24</f>
        <v>0.674291052978677</v>
      </c>
      <c r="D8" s="57" t="s">
        <v>434</v>
      </c>
      <c r="E8" s="59" t="n">
        <f aca="false">IFERROR(INDEX(Correspondance!$D$2:$D$3000,MATCH(A8,Correspondance!$A$2:$A$3000,0)),0)</f>
        <v>1.8</v>
      </c>
      <c r="F8" s="60" t="n">
        <f aca="false">C8*E8</f>
        <v>1.21372389536162</v>
      </c>
      <c r="G8" s="61"/>
      <c r="I8" s="63"/>
    </row>
    <row r="9" customFormat="false" ht="15.75" hidden="false" customHeight="false" outlineLevel="0" collapsed="false">
      <c r="A9" s="57" t="s">
        <v>587</v>
      </c>
      <c r="B9" s="57" t="n">
        <v>0.258</v>
      </c>
      <c r="C9" s="58" t="n">
        <f aca="false">B9/B$22*B$24</f>
        <v>0.405517696196966</v>
      </c>
      <c r="D9" s="57" t="s">
        <v>434</v>
      </c>
      <c r="E9" s="59" t="n">
        <f aca="false">IFERROR(INDEX(Correspondance!$D$2:$D$3000,MATCH(A9,Correspondance!$A$2:$A$3000,0)),0)</f>
        <v>8</v>
      </c>
      <c r="F9" s="60" t="n">
        <f aca="false">C9*E9</f>
        <v>3.24414156957573</v>
      </c>
      <c r="G9" s="61"/>
      <c r="I9" s="63"/>
    </row>
    <row r="10" customFormat="false" ht="15.75" hidden="false" customHeight="false" outlineLevel="0" collapsed="false">
      <c r="A10" s="57" t="s">
        <v>1227</v>
      </c>
      <c r="B10" s="57" t="n">
        <v>0.215</v>
      </c>
      <c r="C10" s="58" t="n">
        <f aca="false">B10/B$22*B$24</f>
        <v>0.337931413497472</v>
      </c>
      <c r="D10" s="57" t="s">
        <v>434</v>
      </c>
      <c r="E10" s="59" t="n">
        <f aca="false">IFERROR(INDEX(Correspondance!$D$2:$D$3000,MATCH(A10,Correspondance!$A$2:$A$3000,0)),0)</f>
        <v>5.5</v>
      </c>
      <c r="F10" s="60" t="n">
        <f aca="false">C10*E10</f>
        <v>1.8586227742361</v>
      </c>
      <c r="G10" s="61"/>
      <c r="I10" s="63"/>
    </row>
    <row r="11" customFormat="false" ht="15.75" hidden="false" customHeight="false" outlineLevel="0" collapsed="false">
      <c r="A11" s="57" t="s">
        <v>894</v>
      </c>
      <c r="B11" s="57" t="n">
        <v>0.043</v>
      </c>
      <c r="C11" s="58" t="n">
        <f aca="false">B11/B$22*B$24</f>
        <v>0.0675862826994944</v>
      </c>
      <c r="D11" s="57" t="s">
        <v>434</v>
      </c>
      <c r="E11" s="59" t="n">
        <f aca="false">IFERROR(INDEX(Correspondance!$D$2:$D$3000,MATCH(A11,Correspondance!$A$2:$A$3000,0)),0)</f>
        <v>5.5</v>
      </c>
      <c r="F11" s="60" t="n">
        <f aca="false">C11*E11</f>
        <v>0.371724554847219</v>
      </c>
      <c r="G11" s="61"/>
      <c r="I11" s="63"/>
    </row>
    <row r="12" customFormat="false" ht="18.75" hidden="false" customHeight="true" outlineLevel="0" collapsed="false">
      <c r="A12" s="57" t="s">
        <v>1197</v>
      </c>
      <c r="B12" s="64" t="n">
        <v>0.086</v>
      </c>
      <c r="C12" s="58" t="n">
        <f aca="false">B12/B$22*B$24</f>
        <v>0.135172565398989</v>
      </c>
      <c r="D12" s="57" t="s">
        <v>682</v>
      </c>
      <c r="E12" s="59" t="n">
        <f aca="false">IFERROR(INDEX(Correspondance!$D$2:$D$3000,MATCH(A12,Correspondance!$A$2:$A$3000,0)),0)</f>
        <v>2.6</v>
      </c>
      <c r="F12" s="60" t="n">
        <f aca="false">C12*E12</f>
        <v>0.351448670037371</v>
      </c>
      <c r="G12" s="61"/>
      <c r="I12" s="63"/>
    </row>
    <row r="13" customFormat="false" ht="18.75" hidden="false" customHeight="true" outlineLevel="0" collapsed="false">
      <c r="A13" s="57" t="s">
        <v>1084</v>
      </c>
      <c r="B13" s="64" t="n">
        <v>0.215</v>
      </c>
      <c r="C13" s="58" t="n">
        <f aca="false">B13/B$22*B$24</f>
        <v>0.337931413497472</v>
      </c>
      <c r="D13" s="57" t="s">
        <v>434</v>
      </c>
      <c r="E13" s="59" t="n">
        <f aca="false">IFERROR(INDEX(Correspondance!$D$2:$D$3000,MATCH(A13,Correspondance!$A$2:$A$3000,0)),0)</f>
        <v>2.2</v>
      </c>
      <c r="F13" s="60" t="n">
        <f aca="false">C13*E13</f>
        <v>0.743449109694438</v>
      </c>
      <c r="G13" s="61"/>
      <c r="I13" s="63"/>
    </row>
    <row r="14" customFormat="false" ht="15.75" hidden="false" customHeight="false" outlineLevel="0" collapsed="false">
      <c r="A14" s="57" t="s">
        <v>1919</v>
      </c>
      <c r="B14" s="57" t="n">
        <v>0.034</v>
      </c>
      <c r="C14" s="58" t="n">
        <f aca="false">B14/B$22*B$24</f>
        <v>0.0534403165530886</v>
      </c>
      <c r="D14" s="57" t="s">
        <v>434</v>
      </c>
      <c r="E14" s="59" t="n">
        <f aca="false">IFERROR(INDEX(Correspondance!$D$2:$D$3000,MATCH(A14,Correspondance!$A$2:$A$3000,0)),0)</f>
        <v>2</v>
      </c>
      <c r="F14" s="60" t="n">
        <f aca="false">C14*E14</f>
        <v>0.106880633106177</v>
      </c>
      <c r="G14" s="61"/>
      <c r="I14" s="63"/>
    </row>
    <row r="15" customFormat="false" ht="15.75" hidden="false" customHeight="false" outlineLevel="0" collapsed="false">
      <c r="A15" s="57" t="s">
        <v>1796</v>
      </c>
      <c r="B15" s="57" t="n">
        <v>0.004</v>
      </c>
      <c r="C15" s="58" t="n">
        <f aca="false">B15/B$22*B$24</f>
        <v>0.00628709606506925</v>
      </c>
      <c r="D15" s="57" t="s">
        <v>434</v>
      </c>
      <c r="E15" s="59" t="n">
        <f aca="false">IFERROR(INDEX(Correspondance!$D$2:$D$3000,MATCH(A15,Correspondance!$A$2:$A$3000,0)),0)</f>
        <v>18</v>
      </c>
      <c r="F15" s="60" t="n">
        <f aca="false">C15*E15</f>
        <v>0.113167729171246</v>
      </c>
      <c r="G15" s="61"/>
      <c r="I15" s="63"/>
    </row>
    <row r="16" customFormat="false" ht="15.75" hidden="false" customHeight="false" outlineLevel="0" collapsed="false">
      <c r="A16" s="57" t="s">
        <v>1986</v>
      </c>
      <c r="B16" s="57"/>
      <c r="C16" s="58" t="n">
        <f aca="false">B16/B$22*B$24</f>
        <v>0</v>
      </c>
      <c r="D16" s="57" t="s">
        <v>434</v>
      </c>
      <c r="E16" s="59" t="n">
        <f aca="false">IFERROR(INDEX(Correspondance!$D$2:$D$3000,MATCH(A16,Correspondance!$A$2:$A$3000,0)),0)</f>
        <v>1.6</v>
      </c>
      <c r="F16" s="60" t="n">
        <f aca="false">C16*E16</f>
        <v>0</v>
      </c>
      <c r="G16" s="61"/>
      <c r="I16" s="63"/>
    </row>
    <row r="17" customFormat="false" ht="15.75" hidden="false" customHeight="false" outlineLevel="0" collapsed="false">
      <c r="A17" s="57" t="s">
        <v>1120</v>
      </c>
      <c r="B17" s="57" t="n">
        <v>0.086</v>
      </c>
      <c r="C17" s="58" t="n">
        <f aca="false">B17/B$22*B$24</f>
        <v>0.135172565398989</v>
      </c>
      <c r="D17" s="57" t="s">
        <v>682</v>
      </c>
      <c r="E17" s="59" t="n">
        <f aca="false">IFERROR(INDEX(Correspondance!$D$2:$D$3000,MATCH(A17,Correspondance!$A$2:$A$3000,0)),0)</f>
        <v>7.5</v>
      </c>
      <c r="F17" s="60" t="n">
        <f aca="false">C17*E17</f>
        <v>1.01379424049242</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104.647142229061</v>
      </c>
      <c r="G19" s="61"/>
      <c r="I19" s="63"/>
    </row>
    <row r="20" customFormat="false" ht="18.75" hidden="false" customHeight="true" outlineLevel="0" collapsed="false">
      <c r="A20" s="68" t="s">
        <v>2628</v>
      </c>
      <c r="B20" s="69" t="n">
        <f aca="false">F19/B24</f>
        <v>0.95133765662783</v>
      </c>
      <c r="C20" s="70"/>
      <c r="G20" s="61"/>
      <c r="I20" s="63"/>
    </row>
    <row r="21" customFormat="false" ht="15.75" hidden="false" customHeight="false" outlineLevel="0" collapsed="false">
      <c r="A21" s="71" t="s">
        <v>2629</v>
      </c>
      <c r="B21" s="71" t="n">
        <f aca="false">SUM(B3:B18)</f>
        <v>9.098</v>
      </c>
      <c r="C21" s="66"/>
      <c r="G21" s="61"/>
      <c r="I21" s="63"/>
    </row>
    <row r="22" customFormat="false" ht="15.75" hidden="false" customHeight="false" outlineLevel="0" collapsed="false">
      <c r="A22" s="0" t="s">
        <v>2630</v>
      </c>
      <c r="B22" s="72" t="n">
        <f aca="false">B21/B23</f>
        <v>69.9846153846154</v>
      </c>
      <c r="C22" s="66"/>
      <c r="G22" s="61"/>
      <c r="I22" s="63"/>
    </row>
    <row r="23" customFormat="false" ht="15.75" hidden="false" customHeight="false" outlineLevel="0" collapsed="false">
      <c r="A23" s="0" t="s">
        <v>2631</v>
      </c>
      <c r="B23" s="0" t="n">
        <v>0.13</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0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292</v>
      </c>
      <c r="B1" s="50"/>
      <c r="C1" s="50"/>
      <c r="D1" s="50"/>
      <c r="E1" s="51" t="s">
        <v>2619</v>
      </c>
      <c r="F1" s="51"/>
      <c r="G1" s="52" t="s">
        <v>2965</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1511</v>
      </c>
      <c r="B4" s="57" t="n">
        <v>6.53</v>
      </c>
      <c r="C4" s="58" t="n">
        <f aca="false">B4/B$22*B$24</f>
        <v>10.2589859557248</v>
      </c>
      <c r="D4" s="57" t="s">
        <v>434</v>
      </c>
      <c r="E4" s="59" t="n">
        <f aca="false">IFERROR(INDEX(Correspondance!$D$2:$D$3000,MATCH(A4,Correspondance!$A$2:$A$3000,0)),0)</f>
        <v>11</v>
      </c>
      <c r="F4" s="60" t="n">
        <f aca="false">C4*E4</f>
        <v>112.848845512973</v>
      </c>
      <c r="G4" s="61" t="s">
        <v>2966</v>
      </c>
    </row>
    <row r="5" customFormat="false" ht="15.75" hidden="false" customHeight="false" outlineLevel="0" collapsed="false">
      <c r="A5" s="57" t="s">
        <v>1675</v>
      </c>
      <c r="B5" s="57" t="n">
        <v>0.196</v>
      </c>
      <c r="C5" s="58" t="n">
        <f aca="false">B5/B$22*B$24</f>
        <v>0.307926684122828</v>
      </c>
      <c r="D5" s="57" t="s">
        <v>682</v>
      </c>
      <c r="E5" s="59" t="n">
        <f aca="false">IFERROR(INDEX(Correspondance!$D$2:$D$3000,MATCH(A5,Correspondance!$A$2:$A$3000,0)),0)</f>
        <v>2.2</v>
      </c>
      <c r="F5" s="60" t="n">
        <f aca="false">C5*E5</f>
        <v>0.677438705070222</v>
      </c>
      <c r="G5" s="61"/>
      <c r="I5" s="62"/>
    </row>
    <row r="6" customFormat="false" ht="15.75" hidden="false" customHeight="false" outlineLevel="0" collapsed="false">
      <c r="A6" s="57" t="s">
        <v>1291</v>
      </c>
      <c r="B6" s="57" t="n">
        <v>0.131</v>
      </c>
      <c r="C6" s="58" t="n">
        <f aca="false">B6/B$22*B$24</f>
        <v>0.205808140918829</v>
      </c>
      <c r="D6" s="57" t="s">
        <v>682</v>
      </c>
      <c r="E6" s="59" t="n">
        <f aca="false">IFERROR(INDEX(Correspondance!$D$2:$D$3000,MATCH(A6,Correspondance!$A$2:$A$3000,0)),0)</f>
        <v>2.5</v>
      </c>
      <c r="F6" s="60" t="n">
        <f aca="false">C6*E6</f>
        <v>0.514520352297072</v>
      </c>
      <c r="G6" s="61"/>
      <c r="I6" s="63"/>
    </row>
    <row r="7" customFormat="false" ht="15.75" hidden="false" customHeight="false" outlineLevel="0" collapsed="false">
      <c r="A7" s="57" t="s">
        <v>1762</v>
      </c>
      <c r="B7" s="57" t="n">
        <v>0.02</v>
      </c>
      <c r="C7" s="58" t="n">
        <f aca="false">B7/B$22*B$24</f>
        <v>0.0314210902166151</v>
      </c>
      <c r="D7" s="57" t="s">
        <v>434</v>
      </c>
      <c r="E7" s="59" t="n">
        <f aca="false">IFERROR(INDEX(Correspondance!$D$2:$D$3000,MATCH(A7,Correspondance!$A$2:$A$3000,0)),0)</f>
        <v>11</v>
      </c>
      <c r="F7" s="60" t="n">
        <f aca="false">C7*E7</f>
        <v>0.345631992382766</v>
      </c>
      <c r="G7" s="61"/>
      <c r="I7" s="63"/>
    </row>
    <row r="8" customFormat="false" ht="15.75" hidden="false" customHeight="false" outlineLevel="0" collapsed="false">
      <c r="A8" s="57" t="s">
        <v>1591</v>
      </c>
      <c r="B8" s="57" t="n">
        <v>0.013</v>
      </c>
      <c r="C8" s="58" t="n">
        <f aca="false">B8/B$22*B$24</f>
        <v>0.0204237086407998</v>
      </c>
      <c r="D8" s="57" t="s">
        <v>434</v>
      </c>
      <c r="E8" s="59" t="n">
        <f aca="false">IFERROR(INDEX(Correspondance!$D$2:$D$3000,MATCH(A8,Correspondance!$A$2:$A$3000,0)),0)</f>
        <v>13</v>
      </c>
      <c r="F8" s="60" t="n">
        <f aca="false">C8*E8</f>
        <v>0.265508212330398</v>
      </c>
      <c r="G8" s="61"/>
      <c r="I8" s="63"/>
    </row>
    <row r="9" customFormat="false" ht="15.75" hidden="false" customHeight="false" outlineLevel="0" collapsed="false">
      <c r="A9" s="57" t="s">
        <v>894</v>
      </c>
      <c r="B9" s="57" t="n">
        <v>0.033</v>
      </c>
      <c r="C9" s="58" t="n">
        <f aca="false">B9/B$22*B$24</f>
        <v>0.0518447988574149</v>
      </c>
      <c r="D9" s="57" t="s">
        <v>434</v>
      </c>
      <c r="E9" s="59" t="n">
        <f aca="false">IFERROR(INDEX(Correspondance!$D$2:$D$3000,MATCH(A9,Correspondance!$A$2:$A$3000,0)),0)</f>
        <v>5.5</v>
      </c>
      <c r="F9" s="60" t="n">
        <f aca="false">C9*E9</f>
        <v>0.285146393715782</v>
      </c>
      <c r="G9" s="61"/>
      <c r="I9" s="63"/>
    </row>
    <row r="10" customFormat="false" ht="15.75" hidden="false" customHeight="false" outlineLevel="0" collapsed="false">
      <c r="A10" s="57" t="s">
        <v>1664</v>
      </c>
      <c r="B10" s="57"/>
      <c r="C10" s="58" t="n">
        <f aca="false">B10/B$22*B$24</f>
        <v>0</v>
      </c>
      <c r="D10" s="57" t="s">
        <v>434</v>
      </c>
      <c r="E10" s="59" t="n">
        <f aca="false">IFERROR(INDEX(Correspondance!$D$2:$D$3000,MATCH(A10,Correspondance!$A$2:$A$3000,0)),0)</f>
        <v>11</v>
      </c>
      <c r="F10" s="60" t="n">
        <f aca="false">C10*E10</f>
        <v>0</v>
      </c>
      <c r="G10" s="61"/>
      <c r="I10" s="63"/>
    </row>
    <row r="11" customFormat="false" ht="15.75" hidden="false" customHeight="false" outlineLevel="0" collapsed="false">
      <c r="A11" s="57" t="s">
        <v>1919</v>
      </c>
      <c r="B11" s="57" t="n">
        <v>0.052</v>
      </c>
      <c r="C11" s="58" t="n">
        <f aca="false">B11/B$22*B$24</f>
        <v>0.0816948345631992</v>
      </c>
      <c r="D11" s="57" t="s">
        <v>434</v>
      </c>
      <c r="E11" s="59" t="n">
        <f aca="false">IFERROR(INDEX(Correspondance!$D$2:$D$3000,MATCH(A11,Correspondance!$A$2:$A$3000,0)),0)</f>
        <v>2</v>
      </c>
      <c r="F11" s="60" t="n">
        <f aca="false">C11*E11</f>
        <v>0.163389669126398</v>
      </c>
      <c r="G11" s="61"/>
      <c r="I11" s="63"/>
    </row>
    <row r="12" customFormat="false" ht="18.75" hidden="false" customHeight="true" outlineLevel="0" collapsed="false">
      <c r="A12" s="57" t="s">
        <v>1814</v>
      </c>
      <c r="B12" s="64"/>
      <c r="C12" s="58" t="n">
        <f aca="false">B12/B$22*B$24</f>
        <v>0</v>
      </c>
      <c r="D12" s="57" t="s">
        <v>434</v>
      </c>
      <c r="E12" s="59" t="n">
        <f aca="false">IFERROR(INDEX(Correspondance!$D$2:$D$3000,MATCH(A12,Correspondance!$A$2:$A$3000,0)),0)</f>
        <v>18</v>
      </c>
      <c r="F12" s="60" t="n">
        <f aca="false">C12*E12</f>
        <v>0</v>
      </c>
      <c r="G12" s="61"/>
      <c r="I12" s="63"/>
    </row>
    <row r="13" customFormat="false" ht="18.75" hidden="false" customHeight="true" outlineLevel="0" collapsed="false">
      <c r="A13" s="57" t="s">
        <v>1635</v>
      </c>
      <c r="B13" s="64" t="n">
        <v>0.065</v>
      </c>
      <c r="C13" s="58" t="n">
        <f aca="false">B13/B$22*B$24</f>
        <v>0.102118543203999</v>
      </c>
      <c r="D13" s="57" t="s">
        <v>434</v>
      </c>
      <c r="E13" s="59" t="n">
        <f aca="false">IFERROR(INDEX(Correspondance!$D$2:$D$3000,MATCH(A13,Correspondance!$A$2:$A$3000,0)),0)</f>
        <v>10</v>
      </c>
      <c r="F13" s="60" t="n">
        <f aca="false">C13*E13</f>
        <v>1.02118543203999</v>
      </c>
      <c r="G13" s="61"/>
      <c r="I13" s="63"/>
    </row>
    <row r="14" customFormat="false" ht="15.75" hidden="false" customHeight="false" outlineLevel="0" collapsed="false">
      <c r="A14" s="57" t="s">
        <v>1459</v>
      </c>
      <c r="B14" s="57" t="n">
        <v>1.31</v>
      </c>
      <c r="C14" s="58" t="n">
        <f aca="false">B14/B$22*B$24</f>
        <v>2.05808140918829</v>
      </c>
      <c r="D14" s="57" t="s">
        <v>682</v>
      </c>
      <c r="E14" s="59" t="n">
        <f aca="false">IFERROR(INDEX(Correspondance!$D$2:$D$3000,MATCH(A14,Correspondance!$A$2:$A$3000,0)),0)</f>
        <v>0</v>
      </c>
      <c r="F14" s="60" t="n">
        <f aca="false">C14*E14</f>
        <v>0</v>
      </c>
      <c r="G14" s="61"/>
      <c r="I14" s="63"/>
    </row>
    <row r="15" customFormat="false" ht="15.75" hidden="false" customHeight="false" outlineLevel="0" collapsed="false">
      <c r="A15" s="57" t="s">
        <v>1084</v>
      </c>
      <c r="B15" s="57" t="n">
        <v>0.052</v>
      </c>
      <c r="C15" s="58" t="n">
        <f aca="false">B15/B$22*B$24</f>
        <v>0.0816948345631992</v>
      </c>
      <c r="D15" s="57" t="s">
        <v>434</v>
      </c>
      <c r="E15" s="59" t="n">
        <f aca="false">IFERROR(INDEX(Correspondance!$D$2:$D$3000,MATCH(A15,Correspondance!$A$2:$A$3000,0)),0)</f>
        <v>2.2</v>
      </c>
      <c r="F15" s="60" t="n">
        <f aca="false">C15*E15</f>
        <v>0.179728636039038</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116.301394905975</v>
      </c>
      <c r="G19" s="61"/>
      <c r="I19" s="63"/>
    </row>
    <row r="20" customFormat="false" ht="18.75" hidden="false" customHeight="true" outlineLevel="0" collapsed="false">
      <c r="A20" s="68" t="s">
        <v>2628</v>
      </c>
      <c r="B20" s="69" t="n">
        <f aca="false">F19/B24</f>
        <v>1.05728540823613</v>
      </c>
      <c r="C20" s="70"/>
      <c r="G20" s="61"/>
      <c r="I20" s="63"/>
    </row>
    <row r="21" customFormat="false" ht="15.75" hidden="false" customHeight="false" outlineLevel="0" collapsed="false">
      <c r="A21" s="71" t="s">
        <v>2629</v>
      </c>
      <c r="B21" s="71" t="n">
        <f aca="false">SUM(B3:B18)</f>
        <v>8.402</v>
      </c>
      <c r="C21" s="66"/>
      <c r="G21" s="61"/>
      <c r="I21" s="63"/>
    </row>
    <row r="22" customFormat="false" ht="15.75" hidden="false" customHeight="false" outlineLevel="0" collapsed="false">
      <c r="A22" s="0" t="s">
        <v>2630</v>
      </c>
      <c r="B22" s="72" t="n">
        <f aca="false">B21/B23</f>
        <v>70.0166666666667</v>
      </c>
      <c r="C22" s="66"/>
      <c r="G22" s="61"/>
      <c r="I22" s="63"/>
    </row>
    <row r="23" customFormat="false" ht="15.75" hidden="false" customHeight="false" outlineLevel="0" collapsed="false">
      <c r="A23" s="0" t="s">
        <v>2631</v>
      </c>
      <c r="B23" s="0" t="n">
        <v>0.12</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0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293</v>
      </c>
      <c r="B1" s="50"/>
      <c r="C1" s="50"/>
      <c r="D1" s="50"/>
      <c r="E1" s="51" t="s">
        <v>2619</v>
      </c>
      <c r="F1" s="51"/>
      <c r="G1" s="52" t="s">
        <v>2967</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1510</v>
      </c>
      <c r="B4" s="57" t="n">
        <v>6.79</v>
      </c>
      <c r="C4" s="58" t="n">
        <f aca="false">B4/B$22*B$24</f>
        <v>10.6688276013625</v>
      </c>
      <c r="D4" s="57" t="s">
        <v>434</v>
      </c>
      <c r="E4" s="59" t="n">
        <f aca="false">IFERROR(INDEX(Correspondance!$D$2:$D$3000,MATCH(A4,Correspondance!$A$2:$A$3000,0)),0)</f>
        <v>14</v>
      </c>
      <c r="F4" s="60" t="n">
        <f aca="false">C4*E4</f>
        <v>149.363586419075</v>
      </c>
      <c r="G4" s="61" t="s">
        <v>2968</v>
      </c>
    </row>
    <row r="5" customFormat="false" ht="15.75" hidden="false" customHeight="false" outlineLevel="0" collapsed="false">
      <c r="A5" s="57" t="s">
        <v>1675</v>
      </c>
      <c r="B5" s="57" t="n">
        <v>0.204</v>
      </c>
      <c r="C5" s="58" t="n">
        <f aca="false">B5/B$22*B$24</f>
        <v>0.320536204812658</v>
      </c>
      <c r="D5" s="57" t="s">
        <v>682</v>
      </c>
      <c r="E5" s="59" t="n">
        <f aca="false">IFERROR(INDEX(Correspondance!$D$2:$D$3000,MATCH(A5,Correspondance!$A$2:$A$3000,0)),0)</f>
        <v>2.2</v>
      </c>
      <c r="F5" s="60" t="n">
        <f aca="false">C5*E5</f>
        <v>0.705179650587848</v>
      </c>
      <c r="G5" s="61"/>
      <c r="I5" s="62"/>
    </row>
    <row r="6" customFormat="false" ht="15.75" hidden="false" customHeight="false" outlineLevel="0" collapsed="false">
      <c r="A6" s="57" t="s">
        <v>1919</v>
      </c>
      <c r="B6" s="57" t="n">
        <v>0.054</v>
      </c>
      <c r="C6" s="58" t="n">
        <f aca="false">B6/B$22*B$24</f>
        <v>0.0848478189209977</v>
      </c>
      <c r="D6" s="57" t="s">
        <v>434</v>
      </c>
      <c r="E6" s="59" t="n">
        <f aca="false">IFERROR(INDEX(Correspondance!$D$2:$D$3000,MATCH(A6,Correspondance!$A$2:$A$3000,0)),0)</f>
        <v>2</v>
      </c>
      <c r="F6" s="60" t="n">
        <f aca="false">C6*E6</f>
        <v>0.169695637841995</v>
      </c>
      <c r="G6" s="61"/>
      <c r="I6" s="63"/>
    </row>
    <row r="7" customFormat="false" ht="15.75" hidden="false" customHeight="false" outlineLevel="0" collapsed="false">
      <c r="A7" s="57" t="s">
        <v>1796</v>
      </c>
      <c r="B7" s="57" t="n">
        <v>0.007</v>
      </c>
      <c r="C7" s="58" t="n">
        <f aca="false">B7/B$22*B$24</f>
        <v>0.0109987913416108</v>
      </c>
      <c r="D7" s="57" t="s">
        <v>434</v>
      </c>
      <c r="E7" s="59" t="n">
        <f aca="false">IFERROR(INDEX(Correspondance!$D$2:$D$3000,MATCH(A7,Correspondance!$A$2:$A$3000,0)),0)</f>
        <v>18</v>
      </c>
      <c r="F7" s="60" t="n">
        <f aca="false">C7*E7</f>
        <v>0.197978244148995</v>
      </c>
      <c r="G7" s="61"/>
      <c r="I7" s="63"/>
    </row>
    <row r="8" customFormat="false" ht="15.75" hidden="false" customHeight="false" outlineLevel="0" collapsed="false">
      <c r="A8" s="57" t="s">
        <v>1666</v>
      </c>
      <c r="B8" s="57"/>
      <c r="C8" s="58" t="n">
        <f aca="false">B8/B$22*B$24</f>
        <v>0</v>
      </c>
      <c r="D8" s="57" t="s">
        <v>434</v>
      </c>
      <c r="E8" s="59" t="n">
        <f aca="false">IFERROR(INDEX(Correspondance!$D$2:$D$3000,MATCH(A8,Correspondance!$A$2:$A$3000,0)),0)</f>
        <v>11</v>
      </c>
      <c r="F8" s="60" t="n">
        <f aca="false">C8*E8</f>
        <v>0</v>
      </c>
      <c r="G8" s="61"/>
      <c r="I8" s="63"/>
    </row>
    <row r="9" customFormat="false" ht="15.75" hidden="false" customHeight="false" outlineLevel="0" collapsed="false">
      <c r="A9" s="57" t="s">
        <v>947</v>
      </c>
      <c r="B9" s="57" t="n">
        <v>0.136</v>
      </c>
      <c r="C9" s="58" t="n">
        <f aca="false">B9/B$22*B$24</f>
        <v>0.213690803208439</v>
      </c>
      <c r="D9" s="57" t="s">
        <v>434</v>
      </c>
      <c r="E9" s="59" t="n">
        <f aca="false">IFERROR(INDEX(Correspondance!$D$2:$D$3000,MATCH(A9,Correspondance!$A$2:$A$3000,0)),0)</f>
        <v>4.5</v>
      </c>
      <c r="F9" s="60" t="n">
        <f aca="false">C9*E9</f>
        <v>0.961608614437974</v>
      </c>
      <c r="G9" s="61"/>
      <c r="I9" s="63"/>
    </row>
    <row r="10" customFormat="false" ht="15.75" hidden="false" customHeight="false" outlineLevel="0" collapsed="false">
      <c r="A10" s="57" t="s">
        <v>1322</v>
      </c>
      <c r="B10" s="57" t="n">
        <v>0.034</v>
      </c>
      <c r="C10" s="58" t="n">
        <f aca="false">B10/B$22*B$24</f>
        <v>0.0534227008021097</v>
      </c>
      <c r="D10" s="57" t="s">
        <v>434</v>
      </c>
      <c r="E10" s="59" t="n">
        <f aca="false">IFERROR(INDEX(Correspondance!$D$2:$D$3000,MATCH(A10,Correspondance!$A$2:$A$3000,0)),0)</f>
        <v>25</v>
      </c>
      <c r="F10" s="60" t="n">
        <f aca="false">C10*E10</f>
        <v>1.33556752005274</v>
      </c>
      <c r="G10" s="61"/>
      <c r="I10" s="63"/>
    </row>
    <row r="11" customFormat="false" ht="15.75" hidden="false" customHeight="false" outlineLevel="0" collapsed="false">
      <c r="A11" s="57" t="s">
        <v>1098</v>
      </c>
      <c r="B11" s="57" t="n">
        <v>0.068</v>
      </c>
      <c r="C11" s="58" t="n">
        <f aca="false">B11/B$22*B$24</f>
        <v>0.106845401604219</v>
      </c>
      <c r="D11" s="57" t="s">
        <v>434</v>
      </c>
      <c r="E11" s="59" t="n">
        <f aca="false">IFERROR(INDEX(Correspondance!$D$2:$D$3000,MATCH(A11,Correspondance!$A$2:$A$3000,0)),0)</f>
        <v>12</v>
      </c>
      <c r="F11" s="60" t="n">
        <f aca="false">C11*E11</f>
        <v>1.28214481925063</v>
      </c>
      <c r="G11" s="61"/>
      <c r="I11" s="63"/>
    </row>
    <row r="12" customFormat="false" ht="18.75" hidden="false" customHeight="true" outlineLevel="0" collapsed="false">
      <c r="A12" s="57" t="s">
        <v>1459</v>
      </c>
      <c r="B12" s="64" t="n">
        <v>1.02</v>
      </c>
      <c r="C12" s="58" t="n">
        <f aca="false">B12/B$22*B$24</f>
        <v>1.60268102406329</v>
      </c>
      <c r="D12" s="57" t="s">
        <v>682</v>
      </c>
      <c r="E12" s="59" t="n">
        <f aca="false">IFERROR(INDEX(Correspondance!$D$2:$D$3000,MATCH(A12,Correspondance!$A$2:$A$3000,0)),0)</f>
        <v>0</v>
      </c>
      <c r="F12" s="60" t="n">
        <f aca="false">C12*E12</f>
        <v>0</v>
      </c>
      <c r="G12" s="61"/>
      <c r="I12" s="63"/>
    </row>
    <row r="13" customFormat="false" ht="18.75" hidden="false" customHeight="true" outlineLevel="0" collapsed="false">
      <c r="A13" s="57" t="s">
        <v>1576</v>
      </c>
      <c r="B13" s="64" t="n">
        <v>0.679</v>
      </c>
      <c r="C13" s="58" t="n">
        <f aca="false">B13/B$22*B$24</f>
        <v>1.06688276013625</v>
      </c>
      <c r="D13" s="57" t="s">
        <v>682</v>
      </c>
      <c r="E13" s="59" t="n">
        <f aca="false">IFERROR(INDEX(Correspondance!$D$2:$D$3000,MATCH(A13,Correspondance!$A$2:$A$3000,0)),0)</f>
        <v>5.5</v>
      </c>
      <c r="F13" s="60" t="n">
        <f aca="false">C13*E13</f>
        <v>5.86785518074937</v>
      </c>
      <c r="G13" s="61"/>
      <c r="I13" s="63"/>
    </row>
    <row r="14" customFormat="false" ht="15.75" hidden="false" customHeight="false" outlineLevel="0" collapsed="false">
      <c r="A14" s="57" t="s">
        <v>1084</v>
      </c>
      <c r="B14" s="57" t="n">
        <v>0.041</v>
      </c>
      <c r="C14" s="58" t="n">
        <f aca="false">B14/B$22*B$24</f>
        <v>0.0644214921437205</v>
      </c>
      <c r="D14" s="57" t="s">
        <v>434</v>
      </c>
      <c r="E14" s="59" t="n">
        <f aca="false">IFERROR(INDEX(Correspondance!$D$2:$D$3000,MATCH(A14,Correspondance!$A$2:$A$3000,0)),0)</f>
        <v>2.2</v>
      </c>
      <c r="F14" s="60" t="n">
        <f aca="false">C14*E14</f>
        <v>0.141727282716185</v>
      </c>
      <c r="G14" s="61"/>
      <c r="I14" s="63"/>
    </row>
    <row r="15" customFormat="false" ht="15.75" hidden="false" customHeight="false" outlineLevel="0" collapsed="false">
      <c r="A15" s="57" t="s">
        <v>1491</v>
      </c>
      <c r="B15" s="57" t="n">
        <v>0.068</v>
      </c>
      <c r="C15" s="58" t="n">
        <f aca="false">B15/B$22*B$24</f>
        <v>0.106845401604219</v>
      </c>
      <c r="D15" s="57" t="s">
        <v>434</v>
      </c>
      <c r="E15" s="59" t="n">
        <f aca="false">IFERROR(INDEX(Correspondance!$D$2:$D$3000,MATCH(A15,Correspondance!$A$2:$A$3000,0)),0)</f>
        <v>9</v>
      </c>
      <c r="F15" s="60" t="n">
        <f aca="false">C15*E15</f>
        <v>0.961608614437974</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160.986951983299</v>
      </c>
      <c r="G19" s="61"/>
      <c r="I19" s="63"/>
    </row>
    <row r="20" customFormat="false" ht="18.75" hidden="false" customHeight="true" outlineLevel="0" collapsed="false">
      <c r="A20" s="68" t="s">
        <v>2628</v>
      </c>
      <c r="B20" s="69" t="n">
        <f aca="false">F19/B24</f>
        <v>1.46351774530271</v>
      </c>
      <c r="C20" s="70"/>
      <c r="G20" s="61"/>
      <c r="I20" s="63"/>
    </row>
    <row r="21" customFormat="false" ht="15.75" hidden="false" customHeight="false" outlineLevel="0" collapsed="false">
      <c r="A21" s="71" t="s">
        <v>2629</v>
      </c>
      <c r="B21" s="71" t="n">
        <f aca="false">SUM(B3:B18)</f>
        <v>9.101</v>
      </c>
      <c r="C21" s="66"/>
      <c r="G21" s="61"/>
      <c r="I21" s="63"/>
    </row>
    <row r="22" customFormat="false" ht="15.75" hidden="false" customHeight="false" outlineLevel="0" collapsed="false">
      <c r="A22" s="0" t="s">
        <v>2630</v>
      </c>
      <c r="B22" s="72" t="n">
        <f aca="false">B21/B23</f>
        <v>70.0076923076923</v>
      </c>
      <c r="C22" s="66"/>
      <c r="G22" s="61"/>
      <c r="I22" s="63"/>
    </row>
    <row r="23" customFormat="false" ht="15.75" hidden="false" customHeight="false" outlineLevel="0" collapsed="false">
      <c r="A23" s="0" t="s">
        <v>2631</v>
      </c>
      <c r="B23" s="0" t="n">
        <v>0.13</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0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295</v>
      </c>
      <c r="B1" s="50"/>
      <c r="C1" s="50"/>
      <c r="D1" s="50"/>
      <c r="E1" s="51" t="s">
        <v>2619</v>
      </c>
      <c r="F1" s="51"/>
      <c r="G1" s="52" t="s">
        <v>2969</v>
      </c>
    </row>
    <row r="2" customFormat="false" ht="24.75" hidden="false" customHeight="true" outlineLevel="0" collapsed="false">
      <c r="A2" s="50"/>
      <c r="B2" s="50"/>
      <c r="C2" s="50"/>
      <c r="D2" s="50"/>
      <c r="E2" s="53" t="s">
        <v>2636</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1482</v>
      </c>
      <c r="B4" s="57" t="n">
        <v>7.88</v>
      </c>
      <c r="C4" s="58" t="n">
        <f aca="false">B4/B$22*B$24</f>
        <v>12.3796416515191</v>
      </c>
      <c r="D4" s="57" t="s">
        <v>434</v>
      </c>
      <c r="E4" s="59" t="n">
        <f aca="false">IFERROR(INDEX(Correspondance!$D$2:$D$3000,MATCH(A4,Correspondance!$A$2:$A$3000,0)),0)</f>
        <v>2.6</v>
      </c>
      <c r="F4" s="60" t="n">
        <f aca="false">C4*E4</f>
        <v>32.1870682939496</v>
      </c>
      <c r="G4" s="61" t="s">
        <v>2970</v>
      </c>
    </row>
    <row r="5" customFormat="false" ht="15.75" hidden="false" customHeight="false" outlineLevel="0" collapsed="false">
      <c r="A5" s="57" t="s">
        <v>1957</v>
      </c>
      <c r="B5" s="57" t="n">
        <v>3.94</v>
      </c>
      <c r="C5" s="58" t="n">
        <f aca="false">B5/B$22*B$24</f>
        <v>6.18982082575954</v>
      </c>
      <c r="D5" s="57" t="s">
        <v>434</v>
      </c>
      <c r="E5" s="59" t="n">
        <f aca="false">IFERROR(INDEX(Correspondance!$D$2:$D$3000,MATCH(A5,Correspondance!$A$2:$A$3000,0)),0)</f>
        <v>1.6</v>
      </c>
      <c r="F5" s="60" t="n">
        <f aca="false">C5*E5</f>
        <v>9.90371332121527</v>
      </c>
      <c r="G5" s="61"/>
      <c r="I5" s="62"/>
    </row>
    <row r="6" customFormat="false" ht="15.75" hidden="false" customHeight="false" outlineLevel="0" collapsed="false">
      <c r="A6" s="57" t="s">
        <v>1001</v>
      </c>
      <c r="B6" s="57" t="n">
        <v>0.788</v>
      </c>
      <c r="C6" s="58" t="n">
        <f aca="false">B6/B$22*B$24</f>
        <v>1.23796416515191</v>
      </c>
      <c r="D6" s="57" t="s">
        <v>434</v>
      </c>
      <c r="E6" s="59" t="n">
        <f aca="false">IFERROR(INDEX(Correspondance!$D$2:$D$3000,MATCH(A6,Correspondance!$A$2:$A$3000,0)),0)</f>
        <v>1.8</v>
      </c>
      <c r="F6" s="60" t="n">
        <f aca="false">C6*E6</f>
        <v>2.22833549727344</v>
      </c>
      <c r="G6" s="61"/>
      <c r="I6" s="63"/>
    </row>
    <row r="7" customFormat="false" ht="15.75" hidden="false" customHeight="false" outlineLevel="0" collapsed="false">
      <c r="A7" s="57" t="s">
        <v>894</v>
      </c>
      <c r="B7" s="57" t="n">
        <v>0.079</v>
      </c>
      <c r="C7" s="58" t="n">
        <f aca="false">B7/B$22*B$24</f>
        <v>0.124110620618021</v>
      </c>
      <c r="D7" s="57" t="s">
        <v>434</v>
      </c>
      <c r="E7" s="59" t="n">
        <f aca="false">IFERROR(INDEX(Correspondance!$D$2:$D$3000,MATCH(A7,Correspondance!$A$2:$A$3000,0)),0)</f>
        <v>5.5</v>
      </c>
      <c r="F7" s="60" t="n">
        <f aca="false">C7*E7</f>
        <v>0.682608413399117</v>
      </c>
      <c r="G7" s="61"/>
      <c r="I7" s="63"/>
    </row>
    <row r="8" customFormat="false" ht="15.75" hidden="false" customHeight="false" outlineLevel="0" collapsed="false">
      <c r="A8" s="57" t="s">
        <v>1120</v>
      </c>
      <c r="B8" s="57" t="n">
        <v>0.394</v>
      </c>
      <c r="C8" s="58" t="n">
        <f aca="false">B8/B$22*B$24</f>
        <v>0.618982082575954</v>
      </c>
      <c r="D8" s="57" t="s">
        <v>682</v>
      </c>
      <c r="E8" s="59" t="n">
        <f aca="false">IFERROR(INDEX(Correspondance!$D$2:$D$3000,MATCH(A8,Correspondance!$A$2:$A$3000,0)),0)</f>
        <v>7.5</v>
      </c>
      <c r="F8" s="60" t="n">
        <f aca="false">C8*E8</f>
        <v>4.64236561931966</v>
      </c>
      <c r="G8" s="61"/>
      <c r="I8" s="63"/>
    </row>
    <row r="9" customFormat="false" ht="15.75" hidden="false" customHeight="false" outlineLevel="0" collapsed="false">
      <c r="A9" s="57" t="s">
        <v>1197</v>
      </c>
      <c r="B9" s="57" t="n">
        <v>0.158</v>
      </c>
      <c r="C9" s="58" t="n">
        <f aca="false">B9/B$22*B$24</f>
        <v>0.248221241236043</v>
      </c>
      <c r="D9" s="57" t="s">
        <v>682</v>
      </c>
      <c r="E9" s="59" t="n">
        <f aca="false">IFERROR(INDEX(Correspondance!$D$2:$D$3000,MATCH(A9,Correspondance!$A$2:$A$3000,0)),0)</f>
        <v>2.6</v>
      </c>
      <c r="F9" s="60" t="n">
        <f aca="false">C9*E9</f>
        <v>0.645375227213711</v>
      </c>
      <c r="G9" s="61"/>
      <c r="I9" s="63"/>
    </row>
    <row r="10" customFormat="false" ht="15.75" hidden="false" customHeight="false" outlineLevel="0" collapsed="false">
      <c r="A10" s="57" t="s">
        <v>1937</v>
      </c>
      <c r="B10" s="57" t="n">
        <v>0.039</v>
      </c>
      <c r="C10" s="58" t="n">
        <f aca="false">B10/B$22*B$24</f>
        <v>0.0612698000519346</v>
      </c>
      <c r="D10" s="57" t="s">
        <v>434</v>
      </c>
      <c r="E10" s="59" t="n">
        <f aca="false">IFERROR(INDEX(Correspondance!$D$2:$D$3000,MATCH(A10,Correspondance!$A$2:$A$3000,0)),0)</f>
        <v>1.3</v>
      </c>
      <c r="F10" s="60" t="n">
        <f aca="false">C10*E10</f>
        <v>0.0796507400675149</v>
      </c>
      <c r="G10" s="61"/>
      <c r="I10" s="63"/>
    </row>
    <row r="11" customFormat="false" ht="15.75" hidden="false" customHeight="false" outlineLevel="0" collapsed="false">
      <c r="A11" s="57" t="s">
        <v>1084</v>
      </c>
      <c r="B11" s="57" t="n">
        <v>0.079</v>
      </c>
      <c r="C11" s="58" t="n">
        <f aca="false">B11/B$22*B$24</f>
        <v>0.124110620618021</v>
      </c>
      <c r="D11" s="57" t="s">
        <v>434</v>
      </c>
      <c r="E11" s="59" t="n">
        <f aca="false">IFERROR(INDEX(Correspondance!$D$2:$D$3000,MATCH(A11,Correspondance!$A$2:$A$3000,0)),0)</f>
        <v>2.2</v>
      </c>
      <c r="F11" s="60" t="n">
        <f aca="false">C11*E11</f>
        <v>0.273043365359647</v>
      </c>
      <c r="G11" s="61"/>
      <c r="I11" s="63"/>
    </row>
    <row r="12" customFormat="false" ht="18.75" hidden="false" customHeight="true" outlineLevel="0" collapsed="false">
      <c r="A12" s="57" t="s">
        <v>728</v>
      </c>
      <c r="B12" s="64" t="n">
        <v>0.63</v>
      </c>
      <c r="C12" s="58" t="n">
        <f aca="false">B12/B$22*B$24</f>
        <v>0.989742923915866</v>
      </c>
      <c r="D12" s="57" t="s">
        <v>434</v>
      </c>
      <c r="E12" s="59" t="n">
        <f aca="false">IFERROR(INDEX(Correspondance!$D$2:$D$3000,MATCH(A12,Correspondance!$A$2:$A$3000,0)),0)</f>
        <v>16</v>
      </c>
      <c r="F12" s="60" t="n">
        <f aca="false">C12*E12</f>
        <v>15.8358867826539</v>
      </c>
      <c r="G12" s="61"/>
      <c r="I12" s="63"/>
    </row>
    <row r="13" customFormat="false" ht="18.75" hidden="false" customHeight="true" outlineLevel="0" collapsed="false">
      <c r="A13" s="57" t="s">
        <v>726</v>
      </c>
      <c r="B13" s="64" t="n">
        <v>1.18</v>
      </c>
      <c r="C13" s="58" t="n">
        <f aca="false">B13/B$22*B$24</f>
        <v>1.85380420669956</v>
      </c>
      <c r="D13" s="57" t="s">
        <v>434</v>
      </c>
      <c r="E13" s="59" t="n">
        <f aca="false">IFERROR(INDEX(Correspondance!$D$2:$D$3000,MATCH(A13,Correspondance!$A$2:$A$3000,0)),0)</f>
        <v>7.5</v>
      </c>
      <c r="F13" s="60" t="n">
        <f aca="false">C13*E13</f>
        <v>13.9035315502467</v>
      </c>
      <c r="G13" s="61"/>
      <c r="I13" s="63"/>
    </row>
    <row r="14" customFormat="false" ht="15.75" hidden="false" customHeight="false" outlineLevel="0" collapsed="false">
      <c r="A14" s="57" t="s">
        <v>1070</v>
      </c>
      <c r="B14" s="57" t="n">
        <v>0.158</v>
      </c>
      <c r="C14" s="58" t="n">
        <f aca="false">B14/B$22*B$24</f>
        <v>0.248221241236043</v>
      </c>
      <c r="D14" s="57" t="s">
        <v>434</v>
      </c>
      <c r="E14" s="59" t="n">
        <f aca="false">IFERROR(INDEX(Correspondance!$D$2:$D$3000,MATCH(A14,Correspondance!$A$2:$A$3000,0)),0)</f>
        <v>2</v>
      </c>
      <c r="F14" s="60" t="n">
        <f aca="false">C14*E14</f>
        <v>0.496442482472085</v>
      </c>
      <c r="G14" s="61"/>
      <c r="I14" s="63"/>
    </row>
    <row r="15" customFormat="false" ht="15.75" hidden="false" customHeight="false" outlineLevel="0" collapsed="false">
      <c r="A15" s="57" t="s">
        <v>1919</v>
      </c>
      <c r="B15" s="57" t="n">
        <v>0.071</v>
      </c>
      <c r="C15" s="58" t="n">
        <f aca="false">B15/B$22*B$24</f>
        <v>0.111542456504804</v>
      </c>
      <c r="D15" s="57" t="s">
        <v>434</v>
      </c>
      <c r="E15" s="59" t="n">
        <f aca="false">IFERROR(INDEX(Correspondance!$D$2:$D$3000,MATCH(A15,Correspondance!$A$2:$A$3000,0)),0)</f>
        <v>2</v>
      </c>
      <c r="F15" s="60" t="n">
        <f aca="false">C15*E15</f>
        <v>0.223084913009608</v>
      </c>
      <c r="G15" s="61"/>
      <c r="I15" s="63"/>
    </row>
    <row r="16" customFormat="false" ht="15.75" hidden="false" customHeight="false" outlineLevel="0" collapsed="false">
      <c r="A16" s="57" t="s">
        <v>1796</v>
      </c>
      <c r="B16" s="57" t="n">
        <v>0.008</v>
      </c>
      <c r="C16" s="58" t="n">
        <f aca="false">B16/B$22*B$24</f>
        <v>0.0125681641132173</v>
      </c>
      <c r="D16" s="57" t="s">
        <v>434</v>
      </c>
      <c r="E16" s="59" t="n">
        <f aca="false">IFERROR(INDEX(Correspondance!$D$2:$D$3000,MATCH(A16,Correspondance!$A$2:$A$3000,0)),0)</f>
        <v>18</v>
      </c>
      <c r="F16" s="60" t="n">
        <f aca="false">C16*E16</f>
        <v>0.226226954037912</v>
      </c>
      <c r="G16" s="61"/>
      <c r="I16" s="63"/>
    </row>
    <row r="17" customFormat="false" ht="15.75" hidden="false" customHeight="false" outlineLevel="0" collapsed="false">
      <c r="A17" s="57" t="s">
        <v>1490</v>
      </c>
      <c r="B17" s="57"/>
      <c r="C17" s="58" t="n">
        <f aca="false">B17/B$22*B$24</f>
        <v>0</v>
      </c>
      <c r="D17" s="57" t="s">
        <v>434</v>
      </c>
      <c r="E17" s="59" t="n">
        <f aca="false">IFERROR(INDEX(Correspondance!$D$2:$D$3000,MATCH(A17,Correspondance!$A$2:$A$3000,0)),0)</f>
        <v>12</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81.3273331602181</v>
      </c>
      <c r="G19" s="61"/>
      <c r="I19" s="63"/>
    </row>
    <row r="20" customFormat="false" ht="18.75" hidden="false" customHeight="true" outlineLevel="0" collapsed="false">
      <c r="A20" s="68" t="s">
        <v>2628</v>
      </c>
      <c r="B20" s="69" t="n">
        <f aca="false">F19/B24</f>
        <v>0.739339392365619</v>
      </c>
      <c r="C20" s="70"/>
      <c r="G20" s="61"/>
      <c r="I20" s="63"/>
    </row>
    <row r="21" customFormat="false" ht="15.75" hidden="false" customHeight="false" outlineLevel="0" collapsed="false">
      <c r="A21" s="71" t="s">
        <v>2629</v>
      </c>
      <c r="B21" s="71" t="n">
        <f aca="false">SUM(B3:B18)</f>
        <v>15.404</v>
      </c>
      <c r="C21" s="66"/>
      <c r="G21" s="61"/>
      <c r="I21" s="63"/>
    </row>
    <row r="22" customFormat="false" ht="15.75" hidden="false" customHeight="false" outlineLevel="0" collapsed="false">
      <c r="A22" s="0" t="s">
        <v>2630</v>
      </c>
      <c r="B22" s="72" t="n">
        <f aca="false">B21/B23</f>
        <v>70.0181818181818</v>
      </c>
      <c r="C22" s="66"/>
      <c r="G22" s="61"/>
      <c r="I22" s="63"/>
    </row>
    <row r="23" customFormat="false" ht="15.75" hidden="false" customHeight="false" outlineLevel="0" collapsed="false">
      <c r="A23" s="0" t="s">
        <v>2631</v>
      </c>
      <c r="B23" s="0" t="n">
        <v>0.22</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0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297</v>
      </c>
      <c r="B1" s="50"/>
      <c r="C1" s="50"/>
      <c r="D1" s="50"/>
      <c r="E1" s="51" t="s">
        <v>2619</v>
      </c>
      <c r="F1" s="51"/>
      <c r="G1" s="52" t="s">
        <v>2861</v>
      </c>
    </row>
    <row r="2" customFormat="false" ht="24.75" hidden="false" customHeight="true" outlineLevel="0" collapsed="false">
      <c r="A2" s="50"/>
      <c r="B2" s="50"/>
      <c r="C2" s="50"/>
      <c r="D2" s="50"/>
      <c r="E2" s="53" t="s">
        <v>2636</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1918</v>
      </c>
      <c r="B4" s="57" t="n">
        <v>4.82</v>
      </c>
      <c r="C4" s="58" t="n">
        <f aca="false">B4/B$22*B$24</f>
        <v>7.57012630422845</v>
      </c>
      <c r="D4" s="57" t="s">
        <v>434</v>
      </c>
      <c r="E4" s="59" t="n">
        <f aca="false">IFERROR(INDEX(Correspondance!$D$2:$D$3000,MATCH(A4,Correspondance!$A$2:$A$3000,0)),0)</f>
        <v>11</v>
      </c>
      <c r="F4" s="60" t="n">
        <f aca="false">C4*E4</f>
        <v>83.2713893465129</v>
      </c>
      <c r="G4" s="61" t="s">
        <v>2971</v>
      </c>
    </row>
    <row r="5" customFormat="false" ht="15.75" hidden="false" customHeight="false" outlineLevel="0" collapsed="false">
      <c r="A5" s="57" t="s">
        <v>1003</v>
      </c>
      <c r="B5" s="57" t="n">
        <v>1.93</v>
      </c>
      <c r="C5" s="58" t="n">
        <f aca="false">B5/B$22*B$24</f>
        <v>3.03119165293795</v>
      </c>
      <c r="D5" s="57" t="s">
        <v>434</v>
      </c>
      <c r="E5" s="59" t="n">
        <f aca="false">IFERROR(INDEX(Correspondance!$D$2:$D$3000,MATCH(A5,Correspondance!$A$2:$A$3000,0)),0)</f>
        <v>1.9</v>
      </c>
      <c r="F5" s="60" t="n">
        <f aca="false">C5*E5</f>
        <v>5.7592641405821</v>
      </c>
      <c r="G5" s="61"/>
      <c r="I5" s="62"/>
    </row>
    <row r="6" customFormat="false" ht="15.75" hidden="false" customHeight="false" outlineLevel="0" collapsed="false">
      <c r="A6" s="57" t="s">
        <v>1246</v>
      </c>
      <c r="B6" s="57" t="n">
        <v>0.289</v>
      </c>
      <c r="C6" s="58" t="n">
        <f aca="false">B6/B$22*B$24</f>
        <v>0.45389346512905</v>
      </c>
      <c r="D6" s="57" t="s">
        <v>682</v>
      </c>
      <c r="E6" s="59" t="n">
        <f aca="false">IFERROR(INDEX(Correspondance!$D$2:$D$3000,MATCH(A6,Correspondance!$A$2:$A$3000,0)),0)</f>
        <v>4</v>
      </c>
      <c r="F6" s="60" t="n">
        <f aca="false">C6*E6</f>
        <v>1.8155738605162</v>
      </c>
      <c r="G6" s="61"/>
      <c r="I6" s="63"/>
    </row>
    <row r="7" customFormat="false" ht="15.75" hidden="false" customHeight="false" outlineLevel="0" collapsed="false">
      <c r="A7" s="57" t="s">
        <v>1242</v>
      </c>
      <c r="B7" s="57" t="n">
        <v>0.145</v>
      </c>
      <c r="C7" s="58" t="n">
        <f aca="false">B7/B$22*B$24</f>
        <v>0.227732015376167</v>
      </c>
      <c r="D7" s="57" t="s">
        <v>682</v>
      </c>
      <c r="E7" s="59" t="n">
        <f aca="false">IFERROR(INDEX(Correspondance!$D$2:$D$3000,MATCH(A7,Correspondance!$A$2:$A$3000,0)),0)</f>
        <v>5</v>
      </c>
      <c r="F7" s="60" t="n">
        <f aca="false">C7*E7</f>
        <v>1.13866007688083</v>
      </c>
      <c r="G7" s="61"/>
      <c r="I7" s="63"/>
    </row>
    <row r="8" customFormat="false" ht="15.75" hidden="false" customHeight="false" outlineLevel="0" collapsed="false">
      <c r="A8" s="57" t="s">
        <v>1459</v>
      </c>
      <c r="B8" s="57" t="n">
        <v>1.45</v>
      </c>
      <c r="C8" s="58" t="n">
        <f aca="false">B8/B$22*B$24</f>
        <v>2.27732015376167</v>
      </c>
      <c r="D8" s="57" t="s">
        <v>682</v>
      </c>
      <c r="E8" s="59" t="n">
        <f aca="false">IFERROR(INDEX(Correspondance!$D$2:$D$3000,MATCH(A8,Correspondance!$A$2:$A$3000,0)),0)</f>
        <v>0</v>
      </c>
      <c r="F8" s="60" t="n">
        <f aca="false">C8*E8</f>
        <v>0</v>
      </c>
      <c r="G8" s="61"/>
      <c r="I8" s="63"/>
    </row>
    <row r="9" customFormat="false" ht="15.75" hidden="false" customHeight="false" outlineLevel="0" collapsed="false">
      <c r="A9" s="57" t="s">
        <v>1633</v>
      </c>
      <c r="B9" s="57" t="n">
        <v>0.048</v>
      </c>
      <c r="C9" s="58" t="n">
        <f aca="false">B9/B$22*B$24</f>
        <v>0.0753871499176277</v>
      </c>
      <c r="D9" s="57" t="s">
        <v>434</v>
      </c>
      <c r="E9" s="59" t="n">
        <f aca="false">IFERROR(INDEX(Correspondance!$D$2:$D$3000,MATCH(A9,Correspondance!$A$2:$A$3000,0)),0)</f>
        <v>9</v>
      </c>
      <c r="F9" s="60" t="n">
        <f aca="false">C9*E9</f>
        <v>0.678484349258649</v>
      </c>
      <c r="G9" s="61"/>
      <c r="I9" s="63"/>
    </row>
    <row r="10" customFormat="false" ht="15.75" hidden="false" customHeight="false" outlineLevel="0" collapsed="false">
      <c r="A10" s="57" t="s">
        <v>894</v>
      </c>
      <c r="B10" s="57" t="n">
        <v>0.048</v>
      </c>
      <c r="C10" s="58" t="n">
        <f aca="false">B10/B$22*B$24</f>
        <v>0.0753871499176277</v>
      </c>
      <c r="D10" s="57" t="s">
        <v>434</v>
      </c>
      <c r="E10" s="59" t="n">
        <f aca="false">IFERROR(INDEX(Correspondance!$D$2:$D$3000,MATCH(A10,Correspondance!$A$2:$A$3000,0)),0)</f>
        <v>5.5</v>
      </c>
      <c r="F10" s="60" t="n">
        <f aca="false">C10*E10</f>
        <v>0.414629324546952</v>
      </c>
      <c r="G10" s="61"/>
      <c r="I10" s="63"/>
    </row>
    <row r="11" customFormat="false" ht="15.75" hidden="false" customHeight="false" outlineLevel="0" collapsed="false">
      <c r="A11" s="57" t="s">
        <v>1649</v>
      </c>
      <c r="B11" s="57" t="n">
        <v>0.024</v>
      </c>
      <c r="C11" s="58" t="n">
        <f aca="false">B11/B$22*B$24</f>
        <v>0.0376935749588139</v>
      </c>
      <c r="D11" s="57" t="s">
        <v>434</v>
      </c>
      <c r="E11" s="59" t="n">
        <f aca="false">IFERROR(INDEX(Correspondance!$D$2:$D$3000,MATCH(A11,Correspondance!$A$2:$A$3000,0)),0)</f>
        <v>6.5</v>
      </c>
      <c r="F11" s="60" t="n">
        <f aca="false">C11*E11</f>
        <v>0.24500823723229</v>
      </c>
      <c r="G11" s="61"/>
      <c r="I11" s="63"/>
    </row>
    <row r="12" customFormat="false" ht="18.75" hidden="false" customHeight="true" outlineLevel="0" collapsed="false">
      <c r="A12" s="57" t="s">
        <v>1937</v>
      </c>
      <c r="B12" s="64" t="n">
        <v>0.048</v>
      </c>
      <c r="C12" s="58" t="n">
        <f aca="false">B12/B$22*B$24</f>
        <v>0.0753871499176277</v>
      </c>
      <c r="D12" s="57" t="s">
        <v>434</v>
      </c>
      <c r="E12" s="59" t="n">
        <f aca="false">IFERROR(INDEX(Correspondance!$D$2:$D$3000,MATCH(A12,Correspondance!$A$2:$A$3000,0)),0)</f>
        <v>1.3</v>
      </c>
      <c r="F12" s="60" t="n">
        <f aca="false">C12*E12</f>
        <v>0.098003294892916</v>
      </c>
      <c r="G12" s="61"/>
      <c r="I12" s="63"/>
    </row>
    <row r="13" customFormat="false" ht="18.75" hidden="false" customHeight="true" outlineLevel="0" collapsed="false">
      <c r="A13" s="57" t="s">
        <v>1084</v>
      </c>
      <c r="B13" s="64" t="n">
        <v>0.193</v>
      </c>
      <c r="C13" s="58" t="n">
        <f aca="false">B13/B$22*B$24</f>
        <v>0.303119165293795</v>
      </c>
      <c r="D13" s="57" t="s">
        <v>434</v>
      </c>
      <c r="E13" s="59" t="n">
        <f aca="false">IFERROR(INDEX(Correspondance!$D$2:$D$3000,MATCH(A13,Correspondance!$A$2:$A$3000,0)),0)</f>
        <v>2.2</v>
      </c>
      <c r="F13" s="60" t="n">
        <f aca="false">C13*E13</f>
        <v>0.666862163646348</v>
      </c>
      <c r="G13" s="61"/>
      <c r="I13" s="63"/>
    </row>
    <row r="14" customFormat="false" ht="15.75" hidden="false" customHeight="false" outlineLevel="0" collapsed="false">
      <c r="A14" s="57" t="s">
        <v>1675</v>
      </c>
      <c r="B14" s="57" t="n">
        <v>0.096</v>
      </c>
      <c r="C14" s="58" t="n">
        <f aca="false">B14/B$22*B$24</f>
        <v>0.150774299835255</v>
      </c>
      <c r="D14" s="57" t="s">
        <v>682</v>
      </c>
      <c r="E14" s="59" t="n">
        <f aca="false">IFERROR(INDEX(Correspondance!$D$2:$D$3000,MATCH(A14,Correspondance!$A$2:$A$3000,0)),0)</f>
        <v>2.2</v>
      </c>
      <c r="F14" s="60" t="n">
        <f aca="false">C14*E14</f>
        <v>0.331703459637562</v>
      </c>
      <c r="G14" s="61"/>
      <c r="I14" s="63"/>
    </row>
    <row r="15" customFormat="false" ht="15.75" hidden="false" customHeight="false" outlineLevel="0" collapsed="false">
      <c r="A15" s="57" t="s">
        <v>1922</v>
      </c>
      <c r="B15" s="57" t="n">
        <v>0.014</v>
      </c>
      <c r="C15" s="58" t="n">
        <f aca="false">B15/B$22*B$24</f>
        <v>0.0219879187259747</v>
      </c>
      <c r="D15" s="57" t="s">
        <v>434</v>
      </c>
      <c r="E15" s="59" t="n">
        <f aca="false">IFERROR(INDEX(Correspondance!$D$2:$D$3000,MATCH(A15,Correspondance!$A$2:$A$3000,0)),0)</f>
        <v>2</v>
      </c>
      <c r="F15" s="60" t="n">
        <f aca="false">C15*E15</f>
        <v>0.0439758374519495</v>
      </c>
      <c r="G15" s="61"/>
      <c r="I15" s="63"/>
    </row>
    <row r="16" customFormat="false" ht="15.75" hidden="false" customHeight="false" outlineLevel="0" collapsed="false">
      <c r="A16" s="57" t="s">
        <v>1815</v>
      </c>
      <c r="B16" s="57"/>
      <c r="C16" s="58" t="n">
        <f aca="false">B16/B$22*B$24</f>
        <v>0</v>
      </c>
      <c r="D16" s="57" t="s">
        <v>434</v>
      </c>
      <c r="E16" s="59" t="n">
        <f aca="false">IFERROR(INDEX(Correspondance!$D$2:$D$3000,MATCH(A16,Correspondance!$A$2:$A$3000,0)),0)</f>
        <v>18</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94.4635540911587</v>
      </c>
      <c r="G19" s="61"/>
      <c r="I19" s="63"/>
    </row>
    <row r="20" customFormat="false" ht="18.75" hidden="false" customHeight="true" outlineLevel="0" collapsed="false">
      <c r="A20" s="68" t="s">
        <v>2628</v>
      </c>
      <c r="B20" s="69" t="n">
        <f aca="false">F19/B24</f>
        <v>0.858759582646898</v>
      </c>
      <c r="C20" s="70"/>
      <c r="G20" s="61"/>
      <c r="I20" s="63"/>
    </row>
    <row r="21" customFormat="false" ht="15.75" hidden="false" customHeight="false" outlineLevel="0" collapsed="false">
      <c r="A21" s="71" t="s">
        <v>2629</v>
      </c>
      <c r="B21" s="71" t="n">
        <f aca="false">SUM(B3:B18)</f>
        <v>9.105</v>
      </c>
      <c r="C21" s="66"/>
      <c r="G21" s="61"/>
      <c r="I21" s="63"/>
    </row>
    <row r="22" customFormat="false" ht="15.75" hidden="false" customHeight="false" outlineLevel="0" collapsed="false">
      <c r="A22" s="0" t="s">
        <v>2630</v>
      </c>
      <c r="B22" s="72" t="n">
        <f aca="false">B21/B23</f>
        <v>70.0384615384615</v>
      </c>
      <c r="C22" s="66"/>
      <c r="G22" s="61"/>
      <c r="I22" s="63"/>
    </row>
    <row r="23" customFormat="false" ht="15.75" hidden="false" customHeight="false" outlineLevel="0" collapsed="false">
      <c r="A23" s="0" t="s">
        <v>2631</v>
      </c>
      <c r="B23" s="0" t="n">
        <v>0.13</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0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299</v>
      </c>
      <c r="B1" s="50"/>
      <c r="C1" s="50"/>
      <c r="D1" s="50"/>
      <c r="E1" s="51" t="s">
        <v>2619</v>
      </c>
      <c r="F1" s="51"/>
      <c r="G1" s="52" t="s">
        <v>2972</v>
      </c>
    </row>
    <row r="2" customFormat="false" ht="24.75" hidden="false" customHeight="true" outlineLevel="0" collapsed="false">
      <c r="A2" s="50"/>
      <c r="B2" s="50"/>
      <c r="C2" s="50"/>
      <c r="D2" s="50"/>
      <c r="E2" s="53" t="s">
        <v>2692</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551</v>
      </c>
      <c r="B4" s="57" t="n">
        <v>5.11</v>
      </c>
      <c r="C4" s="58" t="n">
        <f aca="false">B4/B$22*B$24</f>
        <v>8.03176522312596</v>
      </c>
      <c r="D4" s="57" t="s">
        <v>434</v>
      </c>
      <c r="E4" s="59" t="n">
        <f aca="false">IFERROR(INDEX(Correspondance!$D$2:$D$3000,MATCH(A4,Correspondance!$A$2:$A$3000,0)),0)</f>
        <v>9.5</v>
      </c>
      <c r="F4" s="60" t="n">
        <f aca="false">C4*E4</f>
        <v>76.3017696196966</v>
      </c>
      <c r="G4" s="61" t="s">
        <v>2973</v>
      </c>
    </row>
    <row r="5" customFormat="false" ht="15.75" hidden="false" customHeight="false" outlineLevel="0" collapsed="false">
      <c r="A5" s="57" t="s">
        <v>921</v>
      </c>
      <c r="B5" s="57" t="n">
        <v>1.02</v>
      </c>
      <c r="C5" s="58" t="n">
        <f aca="false">B5/B$22*B$24</f>
        <v>1.60320949659266</v>
      </c>
      <c r="D5" s="57" t="s">
        <v>434</v>
      </c>
      <c r="E5" s="59" t="n">
        <f aca="false">IFERROR(INDEX(Correspondance!$D$2:$D$3000,MATCH(A5,Correspondance!$A$2:$A$3000,0)),0)</f>
        <v>3.8</v>
      </c>
      <c r="F5" s="60" t="n">
        <f aca="false">C5*E5</f>
        <v>6.0921960870521</v>
      </c>
      <c r="G5" s="61"/>
      <c r="I5" s="62"/>
    </row>
    <row r="6" customFormat="false" ht="15.75" hidden="false" customHeight="false" outlineLevel="0" collapsed="false">
      <c r="A6" s="57" t="s">
        <v>1988</v>
      </c>
      <c r="B6" s="57" t="n">
        <v>0.256</v>
      </c>
      <c r="C6" s="58" t="n">
        <f aca="false">B6/B$22*B$24</f>
        <v>0.402374148164432</v>
      </c>
      <c r="D6" s="57" t="s">
        <v>434</v>
      </c>
      <c r="E6" s="59" t="n">
        <f aca="false">IFERROR(INDEX(Correspondance!$D$2:$D$3000,MATCH(A6,Correspondance!$A$2:$A$3000,0)),0)</f>
        <v>4.5</v>
      </c>
      <c r="F6" s="60" t="n">
        <f aca="false">C6*E6</f>
        <v>1.81068366673994</v>
      </c>
      <c r="G6" s="61"/>
      <c r="I6" s="63"/>
    </row>
    <row r="7" customFormat="false" ht="15.75" hidden="false" customHeight="false" outlineLevel="0" collapsed="false">
      <c r="A7" s="57" t="s">
        <v>1973</v>
      </c>
      <c r="B7" s="57" t="n">
        <v>0.256</v>
      </c>
      <c r="C7" s="58" t="n">
        <f aca="false">B7/B$22*B$24</f>
        <v>0.402374148164432</v>
      </c>
      <c r="D7" s="57" t="s">
        <v>682</v>
      </c>
      <c r="E7" s="59" t="n">
        <f aca="false">IFERROR(INDEX(Correspondance!$D$2:$D$3000,MATCH(A7,Correspondance!$A$2:$A$3000,0)),0)</f>
        <v>2</v>
      </c>
      <c r="F7" s="60" t="n">
        <f aca="false">C7*E7</f>
        <v>0.804748296328864</v>
      </c>
      <c r="G7" s="61"/>
      <c r="I7" s="63"/>
    </row>
    <row r="8" customFormat="false" ht="15.75" hidden="false" customHeight="false" outlineLevel="0" collapsed="false">
      <c r="A8" s="57" t="s">
        <v>1576</v>
      </c>
      <c r="B8" s="57" t="n">
        <v>1.28</v>
      </c>
      <c r="C8" s="58" t="n">
        <f aca="false">B8/B$22*B$24</f>
        <v>2.01187074082216</v>
      </c>
      <c r="D8" s="57" t="s">
        <v>682</v>
      </c>
      <c r="E8" s="59" t="n">
        <f aca="false">IFERROR(INDEX(Correspondance!$D$2:$D$3000,MATCH(A8,Correspondance!$A$2:$A$3000,0)),0)</f>
        <v>5.5</v>
      </c>
      <c r="F8" s="60" t="n">
        <f aca="false">C8*E8</f>
        <v>11.0652890745219</v>
      </c>
      <c r="G8" s="61"/>
      <c r="I8" s="63"/>
    </row>
    <row r="9" customFormat="false" ht="15.75" hidden="false" customHeight="false" outlineLevel="0" collapsed="false">
      <c r="A9" s="57" t="s">
        <v>1100</v>
      </c>
      <c r="B9" s="57" t="n">
        <v>0.077</v>
      </c>
      <c r="C9" s="58" t="n">
        <f aca="false">B9/B$22*B$24</f>
        <v>0.121026599252583</v>
      </c>
      <c r="D9" s="57" t="s">
        <v>434</v>
      </c>
      <c r="E9" s="59" t="n">
        <f aca="false">IFERROR(INDEX(Correspondance!$D$2:$D$3000,MATCH(A9,Correspondance!$A$2:$A$3000,0)),0)</f>
        <v>10</v>
      </c>
      <c r="F9" s="60" t="n">
        <f aca="false">C9*E9</f>
        <v>1.21026599252583</v>
      </c>
      <c r="G9" s="61"/>
      <c r="I9" s="63"/>
    </row>
    <row r="10" customFormat="false" ht="15.75" hidden="false" customHeight="false" outlineLevel="0" collapsed="false">
      <c r="A10" s="57" t="s">
        <v>1459</v>
      </c>
      <c r="B10" s="57" t="n">
        <v>0.767</v>
      </c>
      <c r="C10" s="58" t="n">
        <f aca="false">B10/B$22*B$24</f>
        <v>1.20555067047703</v>
      </c>
      <c r="D10" s="57" t="s">
        <v>682</v>
      </c>
      <c r="E10" s="59" t="n">
        <f aca="false">IFERROR(INDEX(Correspondance!$D$2:$D$3000,MATCH(A10,Correspondance!$A$2:$A$3000,0)),0)</f>
        <v>0</v>
      </c>
      <c r="F10" s="60" t="n">
        <f aca="false">C10*E10</f>
        <v>0</v>
      </c>
      <c r="G10" s="61"/>
      <c r="I10" s="63"/>
    </row>
    <row r="11" customFormat="false" ht="15.75" hidden="false" customHeight="false" outlineLevel="0" collapsed="false">
      <c r="A11" s="57" t="s">
        <v>1084</v>
      </c>
      <c r="B11" s="57" t="n">
        <v>0.077</v>
      </c>
      <c r="C11" s="58" t="n">
        <f aca="false">B11/B$22*B$24</f>
        <v>0.121026599252583</v>
      </c>
      <c r="D11" s="57" t="s">
        <v>434</v>
      </c>
      <c r="E11" s="59" t="n">
        <f aca="false">IFERROR(INDEX(Correspondance!$D$2:$D$3000,MATCH(A11,Correspondance!$A$2:$A$3000,0)),0)</f>
        <v>2.2</v>
      </c>
      <c r="F11" s="60" t="n">
        <f aca="false">C11*E11</f>
        <v>0.266258518355683</v>
      </c>
      <c r="G11" s="61"/>
      <c r="I11" s="63"/>
    </row>
    <row r="12" customFormat="false" ht="18.75" hidden="false" customHeight="true" outlineLevel="0" collapsed="false">
      <c r="A12" s="57" t="s">
        <v>1725</v>
      </c>
      <c r="B12" s="64" t="n">
        <v>0.051</v>
      </c>
      <c r="C12" s="58" t="n">
        <f aca="false">B12/B$22*B$24</f>
        <v>0.0801604748296329</v>
      </c>
      <c r="D12" s="57" t="s">
        <v>434</v>
      </c>
      <c r="E12" s="59" t="n">
        <f aca="false">IFERROR(INDEX(Correspondance!$D$2:$D$3000,MATCH(A12,Correspondance!$A$2:$A$3000,0)),0)</f>
        <v>9</v>
      </c>
      <c r="F12" s="60" t="n">
        <f aca="false">C12*E12</f>
        <v>0.721444273466696</v>
      </c>
      <c r="G12" s="61"/>
      <c r="I12" s="63"/>
    </row>
    <row r="13" customFormat="false" ht="18.75" hidden="false" customHeight="true" outlineLevel="0" collapsed="false">
      <c r="A13" s="57" t="s">
        <v>1919</v>
      </c>
      <c r="B13" s="64" t="n">
        <v>0.046</v>
      </c>
      <c r="C13" s="58" t="n">
        <f aca="false">B13/B$22*B$24</f>
        <v>0.0723016047482963</v>
      </c>
      <c r="D13" s="57" t="s">
        <v>434</v>
      </c>
      <c r="E13" s="59" t="n">
        <f aca="false">IFERROR(INDEX(Correspondance!$D$2:$D$3000,MATCH(A13,Correspondance!$A$2:$A$3000,0)),0)</f>
        <v>2</v>
      </c>
      <c r="F13" s="60" t="n">
        <f aca="false">C13*E13</f>
        <v>0.144603209496593</v>
      </c>
      <c r="G13" s="61"/>
      <c r="I13" s="63"/>
    </row>
    <row r="14" customFormat="false" ht="15.75" hidden="false" customHeight="false" outlineLevel="0" collapsed="false">
      <c r="A14" s="57" t="s">
        <v>1796</v>
      </c>
      <c r="B14" s="57" t="n">
        <v>0.005</v>
      </c>
      <c r="C14" s="58" t="n">
        <f aca="false">B14/B$22*B$24</f>
        <v>0.00785887008133656</v>
      </c>
      <c r="D14" s="57" t="s">
        <v>434</v>
      </c>
      <c r="E14" s="59" t="n">
        <f aca="false">IFERROR(INDEX(Correspondance!$D$2:$D$3000,MATCH(A14,Correspondance!$A$2:$A$3000,0)),0)</f>
        <v>18</v>
      </c>
      <c r="F14" s="60" t="n">
        <f aca="false">C14*E14</f>
        <v>0.141459661464058</v>
      </c>
      <c r="G14" s="61"/>
      <c r="I14" s="63"/>
    </row>
    <row r="15" customFormat="false" ht="15.75" hidden="false" customHeight="false" outlineLevel="0" collapsed="false">
      <c r="A15" s="57" t="s">
        <v>1613</v>
      </c>
      <c r="B15" s="57"/>
      <c r="C15" s="58" t="n">
        <f aca="false">B15/B$22*B$24</f>
        <v>0</v>
      </c>
      <c r="D15" s="57" t="s">
        <v>434</v>
      </c>
      <c r="E15" s="59" t="n">
        <f aca="false">IFERROR(INDEX(Correspondance!$D$2:$D$3000,MATCH(A15,Correspondance!$A$2:$A$3000,0)),0)</f>
        <v>14</v>
      </c>
      <c r="F15" s="60" t="n">
        <f aca="false">C15*E15</f>
        <v>0</v>
      </c>
      <c r="G15" s="61"/>
      <c r="I15" s="63"/>
    </row>
    <row r="16" customFormat="false" ht="15.75" hidden="false" customHeight="false" outlineLevel="0" collapsed="false">
      <c r="A16" s="57" t="s">
        <v>1491</v>
      </c>
      <c r="B16" s="57" t="n">
        <v>0.051</v>
      </c>
      <c r="C16" s="58" t="n">
        <f aca="false">B16/B$22*B$24</f>
        <v>0.0801604748296329</v>
      </c>
      <c r="D16" s="57" t="s">
        <v>434</v>
      </c>
      <c r="E16" s="59" t="n">
        <f aca="false">IFERROR(INDEX(Correspondance!$D$2:$D$3000,MATCH(A16,Correspondance!$A$2:$A$3000,0)),0)</f>
        <v>9</v>
      </c>
      <c r="F16" s="60" t="n">
        <f aca="false">C16*E16</f>
        <v>0.721444273466696</v>
      </c>
      <c r="G16" s="61"/>
      <c r="I16" s="63"/>
    </row>
    <row r="17" customFormat="false" ht="15.75" hidden="false" customHeight="false" outlineLevel="0" collapsed="false">
      <c r="A17" s="57" t="s">
        <v>1675</v>
      </c>
      <c r="B17" s="57" t="n">
        <v>0.102</v>
      </c>
      <c r="C17" s="58" t="n">
        <f aca="false">B17/B$22*B$24</f>
        <v>0.160320949659266</v>
      </c>
      <c r="D17" s="57" t="s">
        <v>682</v>
      </c>
      <c r="E17" s="59" t="n">
        <f aca="false">IFERROR(INDEX(Correspondance!$D$2:$D$3000,MATCH(A17,Correspondance!$A$2:$A$3000,0)),0)</f>
        <v>2.2</v>
      </c>
      <c r="F17" s="60" t="n">
        <f aca="false">C17*E17</f>
        <v>0.352706089250385</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99.6328687623654</v>
      </c>
      <c r="G19" s="61"/>
      <c r="I19" s="63"/>
    </row>
    <row r="20" customFormat="false" ht="18.75" hidden="false" customHeight="true" outlineLevel="0" collapsed="false">
      <c r="A20" s="68" t="s">
        <v>2628</v>
      </c>
      <c r="B20" s="69" t="n">
        <f aca="false">F19/B24</f>
        <v>0.90575335238514</v>
      </c>
      <c r="C20" s="70"/>
      <c r="G20" s="61"/>
      <c r="I20" s="63"/>
    </row>
    <row r="21" customFormat="false" ht="15.75" hidden="false" customHeight="false" outlineLevel="0" collapsed="false">
      <c r="A21" s="71" t="s">
        <v>2629</v>
      </c>
      <c r="B21" s="71" t="n">
        <f aca="false">SUM(B3:B18)</f>
        <v>9.098</v>
      </c>
      <c r="C21" s="66"/>
      <c r="G21" s="61"/>
      <c r="I21" s="63"/>
    </row>
    <row r="22" customFormat="false" ht="15.75" hidden="false" customHeight="false" outlineLevel="0" collapsed="false">
      <c r="A22" s="0" t="s">
        <v>2630</v>
      </c>
      <c r="B22" s="72" t="n">
        <f aca="false">B21/B23</f>
        <v>69.9846153846154</v>
      </c>
      <c r="C22" s="66"/>
      <c r="G22" s="61"/>
      <c r="I22" s="63"/>
    </row>
    <row r="23" customFormat="false" ht="15.75" hidden="false" customHeight="false" outlineLevel="0" collapsed="false">
      <c r="A23" s="0" t="s">
        <v>2631</v>
      </c>
      <c r="B23" s="0" t="n">
        <v>0.13</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0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300</v>
      </c>
      <c r="B1" s="50"/>
      <c r="C1" s="50"/>
      <c r="D1" s="50"/>
      <c r="E1" s="51" t="s">
        <v>2619</v>
      </c>
      <c r="F1" s="51"/>
      <c r="G1" s="52" t="s">
        <v>2974</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1612</v>
      </c>
      <c r="B4" s="57" t="n">
        <v>3.32</v>
      </c>
      <c r="C4" s="58" t="n">
        <f aca="false">B4/B$22*B$24</f>
        <v>5.21279885809445</v>
      </c>
      <c r="D4" s="57" t="s">
        <v>434</v>
      </c>
      <c r="E4" s="59" t="n">
        <f aca="false">IFERROR(INDEX(Correspondance!$D$2:$D$3000,MATCH(A4,Correspondance!$A$2:$A$3000,0)),0)</f>
        <v>40</v>
      </c>
      <c r="F4" s="60" t="n">
        <f aca="false">C4*E4</f>
        <v>208.511954323778</v>
      </c>
      <c r="G4" s="61" t="s">
        <v>2975</v>
      </c>
    </row>
    <row r="5" customFormat="false" ht="15.75" hidden="false" customHeight="false" outlineLevel="0" collapsed="false">
      <c r="A5" s="57" t="s">
        <v>1573</v>
      </c>
      <c r="B5" s="57" t="n">
        <v>1.66</v>
      </c>
      <c r="C5" s="58" t="n">
        <f aca="false">B5/B$22*B$24</f>
        <v>2.60639942904722</v>
      </c>
      <c r="D5" s="57" t="s">
        <v>434</v>
      </c>
      <c r="E5" s="59" t="n">
        <f aca="false">IFERROR(INDEX(Correspondance!$D$2:$D$3000,MATCH(A5,Correspondance!$A$2:$A$3000,0)),0)</f>
        <v>18</v>
      </c>
      <c r="F5" s="60" t="n">
        <f aca="false">C5*E5</f>
        <v>46.91518972285</v>
      </c>
      <c r="G5" s="61"/>
      <c r="I5" s="62"/>
    </row>
    <row r="6" customFormat="false" ht="15.75" hidden="false" customHeight="false" outlineLevel="0" collapsed="false">
      <c r="A6" s="57" t="s">
        <v>1491</v>
      </c>
      <c r="B6" s="57" t="n">
        <v>1.66</v>
      </c>
      <c r="C6" s="58" t="n">
        <f aca="false">B6/B$22*B$24</f>
        <v>2.60639942904722</v>
      </c>
      <c r="D6" s="57" t="s">
        <v>434</v>
      </c>
      <c r="E6" s="59" t="n">
        <f aca="false">IFERROR(INDEX(Correspondance!$D$2:$D$3000,MATCH(A6,Correspondance!$A$2:$A$3000,0)),0)</f>
        <v>9</v>
      </c>
      <c r="F6" s="60" t="n">
        <f aca="false">C6*E6</f>
        <v>23.457594861425</v>
      </c>
      <c r="G6" s="61"/>
      <c r="I6" s="63"/>
    </row>
    <row r="7" customFormat="false" ht="15.75" hidden="false" customHeight="false" outlineLevel="0" collapsed="false">
      <c r="A7" s="57" t="s">
        <v>894</v>
      </c>
      <c r="B7" s="57" t="n">
        <v>0.166</v>
      </c>
      <c r="C7" s="58" t="n">
        <f aca="false">B7/B$22*B$24</f>
        <v>0.260639942904722</v>
      </c>
      <c r="D7" s="57" t="s">
        <v>434</v>
      </c>
      <c r="E7" s="59" t="n">
        <f aca="false">IFERROR(INDEX(Correspondance!$D$2:$D$3000,MATCH(A7,Correspondance!$A$2:$A$3000,0)),0)</f>
        <v>5.5</v>
      </c>
      <c r="F7" s="60" t="n">
        <f aca="false">C7*E7</f>
        <v>1.43351968597597</v>
      </c>
      <c r="G7" s="61"/>
      <c r="I7" s="63"/>
    </row>
    <row r="8" customFormat="false" ht="15.75" hidden="false" customHeight="false" outlineLevel="0" collapsed="false">
      <c r="A8" s="57" t="s">
        <v>947</v>
      </c>
      <c r="B8" s="57" t="n">
        <v>0.166</v>
      </c>
      <c r="C8" s="58" t="n">
        <f aca="false">B8/B$22*B$24</f>
        <v>0.260639942904722</v>
      </c>
      <c r="D8" s="57" t="s">
        <v>434</v>
      </c>
      <c r="E8" s="59" t="n">
        <f aca="false">IFERROR(INDEX(Correspondance!$D$2:$D$3000,MATCH(A8,Correspondance!$A$2:$A$3000,0)),0)</f>
        <v>4.5</v>
      </c>
      <c r="F8" s="60" t="n">
        <f aca="false">C8*E8</f>
        <v>1.17287974307125</v>
      </c>
      <c r="G8" s="61"/>
      <c r="I8" s="63"/>
    </row>
    <row r="9" customFormat="false" ht="15.75" hidden="false" customHeight="false" outlineLevel="0" collapsed="false">
      <c r="A9" s="57" t="s">
        <v>1007</v>
      </c>
      <c r="B9" s="57" t="n">
        <v>0.249</v>
      </c>
      <c r="C9" s="58" t="n">
        <f aca="false">B9/B$22*B$24</f>
        <v>0.390959914357083</v>
      </c>
      <c r="D9" s="57" t="s">
        <v>434</v>
      </c>
      <c r="E9" s="59" t="n">
        <f aca="false">IFERROR(INDEX(Correspondance!$D$2:$D$3000,MATCH(A9,Correspondance!$A$2:$A$3000,0)),0)</f>
        <v>8</v>
      </c>
      <c r="F9" s="60" t="n">
        <f aca="false">C9*E9</f>
        <v>3.12767931485667</v>
      </c>
      <c r="G9" s="61"/>
      <c r="I9" s="63"/>
    </row>
    <row r="10" customFormat="false" ht="15.75" hidden="false" customHeight="false" outlineLevel="0" collapsed="false">
      <c r="A10" s="57" t="s">
        <v>1973</v>
      </c>
      <c r="B10" s="57" t="n">
        <v>0.249</v>
      </c>
      <c r="C10" s="58" t="n">
        <f aca="false">B10/B$22*B$24</f>
        <v>0.390959914357083</v>
      </c>
      <c r="D10" s="57" t="s">
        <v>682</v>
      </c>
      <c r="E10" s="59" t="n">
        <f aca="false">IFERROR(INDEX(Correspondance!$D$2:$D$3000,MATCH(A10,Correspondance!$A$2:$A$3000,0)),0)</f>
        <v>2</v>
      </c>
      <c r="F10" s="60" t="n">
        <f aca="false">C10*E10</f>
        <v>0.781919828714167</v>
      </c>
      <c r="G10" s="61"/>
      <c r="I10" s="63"/>
    </row>
    <row r="11" customFormat="false" ht="15.75" hidden="false" customHeight="false" outlineLevel="0" collapsed="false">
      <c r="A11" s="57" t="s">
        <v>1576</v>
      </c>
      <c r="B11" s="57" t="n">
        <v>0.829</v>
      </c>
      <c r="C11" s="58" t="n">
        <f aca="false">B11/B$22*B$24</f>
        <v>1.30162959438563</v>
      </c>
      <c r="D11" s="57" t="s">
        <v>682</v>
      </c>
      <c r="E11" s="59" t="n">
        <f aca="false">IFERROR(INDEX(Correspondance!$D$2:$D$3000,MATCH(A11,Correspondance!$A$2:$A$3000,0)),0)</f>
        <v>5.5</v>
      </c>
      <c r="F11" s="60" t="n">
        <f aca="false">C11*E11</f>
        <v>7.15896276912097</v>
      </c>
      <c r="G11" s="61"/>
      <c r="I11" s="63"/>
    </row>
    <row r="12" customFormat="false" ht="18.75" hidden="false" customHeight="true" outlineLevel="0" collapsed="false">
      <c r="A12" s="57" t="s">
        <v>1070</v>
      </c>
      <c r="B12" s="64" t="n">
        <v>0.083</v>
      </c>
      <c r="C12" s="58" t="n">
        <f aca="false">B12/B$22*B$24</f>
        <v>0.130319971452361</v>
      </c>
      <c r="D12" s="57" t="s">
        <v>434</v>
      </c>
      <c r="E12" s="59" t="n">
        <f aca="false">IFERROR(INDEX(Correspondance!$D$2:$D$3000,MATCH(A12,Correspondance!$A$2:$A$3000,0)),0)</f>
        <v>2</v>
      </c>
      <c r="F12" s="60" t="n">
        <f aca="false">C12*E12</f>
        <v>0.260639942904722</v>
      </c>
      <c r="G12" s="61"/>
      <c r="I12" s="63"/>
    </row>
    <row r="13" customFormat="false" ht="18.75" hidden="false" customHeight="true" outlineLevel="0" collapsed="false">
      <c r="A13" s="57" t="s">
        <v>1919</v>
      </c>
      <c r="B13" s="64" t="n">
        <v>0.025</v>
      </c>
      <c r="C13" s="58" t="n">
        <f aca="false">B13/B$22*B$24</f>
        <v>0.0392530034495064</v>
      </c>
      <c r="D13" s="57" t="s">
        <v>434</v>
      </c>
      <c r="E13" s="59" t="n">
        <f aca="false">IFERROR(INDEX(Correspondance!$D$2:$D$3000,MATCH(A13,Correspondance!$A$2:$A$3000,0)),0)</f>
        <v>2</v>
      </c>
      <c r="F13" s="60" t="n">
        <f aca="false">C13*E13</f>
        <v>0.0785060068990127</v>
      </c>
      <c r="G13" s="61"/>
      <c r="I13" s="63"/>
    </row>
    <row r="14" customFormat="false" ht="15.75" hidden="false" customHeight="false" outlineLevel="0" collapsed="false">
      <c r="A14" s="57" t="s">
        <v>1814</v>
      </c>
      <c r="B14" s="57"/>
      <c r="C14" s="58" t="n">
        <f aca="false">B14/B$22*B$24</f>
        <v>0</v>
      </c>
      <c r="D14" s="57" t="s">
        <v>434</v>
      </c>
      <c r="E14" s="59" t="n">
        <f aca="false">IFERROR(INDEX(Correspondance!$D$2:$D$3000,MATCH(A14,Correspondance!$A$2:$A$3000,0)),0)</f>
        <v>18</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292.898846199596</v>
      </c>
      <c r="G19" s="61"/>
      <c r="I19" s="63"/>
    </row>
    <row r="20" customFormat="false" ht="18.75" hidden="false" customHeight="true" outlineLevel="0" collapsed="false">
      <c r="A20" s="68" t="s">
        <v>2628</v>
      </c>
      <c r="B20" s="69" t="n">
        <f aca="false">F19/B24</f>
        <v>2.66271678363269</v>
      </c>
      <c r="C20" s="70"/>
      <c r="G20" s="61"/>
      <c r="I20" s="63"/>
    </row>
    <row r="21" customFormat="false" ht="15.75" hidden="false" customHeight="false" outlineLevel="0" collapsed="false">
      <c r="A21" s="71" t="s">
        <v>2629</v>
      </c>
      <c r="B21" s="71" t="n">
        <f aca="false">SUM(B3:B18)</f>
        <v>8.407</v>
      </c>
      <c r="C21" s="66"/>
      <c r="G21" s="61"/>
      <c r="I21" s="63"/>
    </row>
    <row r="22" customFormat="false" ht="15.75" hidden="false" customHeight="false" outlineLevel="0" collapsed="false">
      <c r="A22" s="0" t="s">
        <v>2630</v>
      </c>
      <c r="B22" s="72" t="n">
        <f aca="false">B21/B23</f>
        <v>70.0583333333333</v>
      </c>
      <c r="C22" s="66"/>
      <c r="G22" s="61"/>
      <c r="I22" s="63"/>
    </row>
    <row r="23" customFormat="false" ht="15.75" hidden="false" customHeight="false" outlineLevel="0" collapsed="false">
      <c r="A23" s="0" t="s">
        <v>2631</v>
      </c>
      <c r="B23" s="0" t="n">
        <v>0.12</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0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301</v>
      </c>
      <c r="B1" s="50"/>
      <c r="C1" s="50"/>
      <c r="D1" s="50"/>
      <c r="E1" s="51" t="s">
        <v>2619</v>
      </c>
      <c r="F1" s="51"/>
      <c r="G1" s="52" t="s">
        <v>2976</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941</v>
      </c>
      <c r="B4" s="57" t="n">
        <v>6.59</v>
      </c>
      <c r="C4" s="58" t="n">
        <f aca="false">B4/B$22*B$24</f>
        <v>10.352756355327</v>
      </c>
      <c r="D4" s="57" t="s">
        <v>434</v>
      </c>
      <c r="E4" s="59" t="n">
        <f aca="false">IFERROR(INDEX(Correspondance!$D$2:$D$3000,MATCH(A4,Correspondance!$A$2:$A$3000,0)),0)</f>
        <v>2.4</v>
      </c>
      <c r="F4" s="60" t="n">
        <f aca="false">C4*E4</f>
        <v>24.8466152527849</v>
      </c>
      <c r="G4" s="61" t="s">
        <v>2977</v>
      </c>
    </row>
    <row r="5" customFormat="false" ht="15.75" hidden="false" customHeight="false" outlineLevel="0" collapsed="false">
      <c r="A5" s="57" t="s">
        <v>1971</v>
      </c>
      <c r="B5" s="57" t="n">
        <v>4.95</v>
      </c>
      <c r="C5" s="58" t="n">
        <f aca="false">B5/B$22*B$24</f>
        <v>7.77634961439589</v>
      </c>
      <c r="D5" s="57" t="s">
        <v>434</v>
      </c>
      <c r="E5" s="59" t="n">
        <f aca="false">IFERROR(INDEX(Correspondance!$D$2:$D$3000,MATCH(A5,Correspondance!$A$2:$A$3000,0)),0)</f>
        <v>9.5</v>
      </c>
      <c r="F5" s="60" t="n">
        <f aca="false">C5*E5</f>
        <v>73.8753213367609</v>
      </c>
      <c r="G5" s="61"/>
      <c r="I5" s="62"/>
    </row>
    <row r="6" customFormat="false" ht="15.75" hidden="false" customHeight="false" outlineLevel="0" collapsed="false">
      <c r="A6" s="57" t="s">
        <v>1001</v>
      </c>
      <c r="B6" s="57" t="n">
        <v>0.824</v>
      </c>
      <c r="C6" s="58" t="n">
        <f aca="false">B6/B$22*B$24</f>
        <v>1.2944872893459</v>
      </c>
      <c r="D6" s="57" t="s">
        <v>434</v>
      </c>
      <c r="E6" s="59" t="n">
        <f aca="false">IFERROR(INDEX(Correspondance!$D$2:$D$3000,MATCH(A6,Correspondance!$A$2:$A$3000,0)),0)</f>
        <v>1.8</v>
      </c>
      <c r="F6" s="60" t="n">
        <f aca="false">C6*E6</f>
        <v>2.33007712082262</v>
      </c>
      <c r="G6" s="61"/>
      <c r="I6" s="63"/>
    </row>
    <row r="7" customFormat="false" ht="15.75" hidden="false" customHeight="false" outlineLevel="0" collapsed="false">
      <c r="A7" s="57" t="s">
        <v>894</v>
      </c>
      <c r="B7" s="57" t="n">
        <v>0.082</v>
      </c>
      <c r="C7" s="58" t="n">
        <f aca="false">B7/B$22*B$24</f>
        <v>0.128820337046558</v>
      </c>
      <c r="D7" s="57" t="s">
        <v>434</v>
      </c>
      <c r="E7" s="59" t="n">
        <f aca="false">IFERROR(INDEX(Correspondance!$D$2:$D$3000,MATCH(A7,Correspondance!$A$2:$A$3000,0)),0)</f>
        <v>5.5</v>
      </c>
      <c r="F7" s="60" t="n">
        <f aca="false">C7*E7</f>
        <v>0.70851185375607</v>
      </c>
      <c r="G7" s="61"/>
      <c r="I7" s="63"/>
    </row>
    <row r="8" customFormat="false" ht="15.75" hidden="false" customHeight="false" outlineLevel="0" collapsed="false">
      <c r="A8" s="57" t="s">
        <v>1957</v>
      </c>
      <c r="B8" s="57" t="n">
        <v>1.65</v>
      </c>
      <c r="C8" s="58" t="n">
        <f aca="false">B8/B$22*B$24</f>
        <v>2.59211653813196</v>
      </c>
      <c r="D8" s="57" t="s">
        <v>434</v>
      </c>
      <c r="E8" s="59" t="n">
        <f aca="false">IFERROR(INDEX(Correspondance!$D$2:$D$3000,MATCH(A8,Correspondance!$A$2:$A$3000,0)),0)</f>
        <v>1.6</v>
      </c>
      <c r="F8" s="60" t="n">
        <f aca="false">C8*E8</f>
        <v>4.14738646101114</v>
      </c>
      <c r="G8" s="61"/>
      <c r="I8" s="63"/>
    </row>
    <row r="9" customFormat="false" ht="15.75" hidden="false" customHeight="false" outlineLevel="0" collapsed="false">
      <c r="A9" s="57" t="s">
        <v>2000</v>
      </c>
      <c r="B9" s="57" t="n">
        <v>0.824</v>
      </c>
      <c r="C9" s="58" t="n">
        <f aca="false">B9/B$22*B$24</f>
        <v>1.2944872893459</v>
      </c>
      <c r="D9" s="57" t="s">
        <v>682</v>
      </c>
      <c r="E9" s="59" t="n">
        <f aca="false">IFERROR(INDEX(Correspondance!$D$2:$D$3000,MATCH(A9,Correspondance!$A$2:$A$3000,0)),0)</f>
        <v>3.8</v>
      </c>
      <c r="F9" s="60" t="n">
        <f aca="false">C9*E9</f>
        <v>4.91905169951443</v>
      </c>
      <c r="G9" s="61"/>
      <c r="I9" s="63"/>
    </row>
    <row r="10" customFormat="false" ht="15.75" hidden="false" customHeight="false" outlineLevel="0" collapsed="false">
      <c r="A10" s="57" t="s">
        <v>1576</v>
      </c>
      <c r="B10" s="57" t="n">
        <v>1.24</v>
      </c>
      <c r="C10" s="58" t="n">
        <f aca="false">B10/B$22*B$24</f>
        <v>1.94801485289917</v>
      </c>
      <c r="D10" s="57" t="s">
        <v>682</v>
      </c>
      <c r="E10" s="59" t="n">
        <f aca="false">IFERROR(INDEX(Correspondance!$D$2:$D$3000,MATCH(A10,Correspondance!$A$2:$A$3000,0)),0)</f>
        <v>5.5</v>
      </c>
      <c r="F10" s="60" t="n">
        <f aca="false">C10*E10</f>
        <v>10.7140816909454</v>
      </c>
      <c r="G10" s="61"/>
      <c r="I10" s="63"/>
    </row>
    <row r="11" customFormat="false" ht="15.75" hidden="false" customHeight="false" outlineLevel="0" collapsed="false">
      <c r="A11" s="57" t="s">
        <v>706</v>
      </c>
      <c r="B11" s="57" t="n">
        <v>0.824</v>
      </c>
      <c r="C11" s="58" t="n">
        <f aca="false">B11/B$22*B$24</f>
        <v>1.2944872893459</v>
      </c>
      <c r="D11" s="57" t="s">
        <v>434</v>
      </c>
      <c r="E11" s="59" t="n">
        <f aca="false">IFERROR(INDEX(Correspondance!$D$2:$D$3000,MATCH(A11,Correspondance!$A$2:$A$3000,0)),0)</f>
        <v>7.5</v>
      </c>
      <c r="F11" s="60" t="n">
        <f aca="false">C11*E11</f>
        <v>9.70865467009426</v>
      </c>
      <c r="G11" s="61"/>
      <c r="I11" s="63"/>
    </row>
    <row r="12" customFormat="false" ht="18.75" hidden="false" customHeight="true" outlineLevel="0" collapsed="false">
      <c r="A12" s="57" t="s">
        <v>1070</v>
      </c>
      <c r="B12" s="64" t="n">
        <v>0.165</v>
      </c>
      <c r="C12" s="58" t="n">
        <f aca="false">B12/B$22*B$24</f>
        <v>0.259211653813196</v>
      </c>
      <c r="D12" s="57" t="s">
        <v>434</v>
      </c>
      <c r="E12" s="59" t="n">
        <f aca="false">IFERROR(INDEX(Correspondance!$D$2:$D$3000,MATCH(A12,Correspondance!$A$2:$A$3000,0)),0)</f>
        <v>2</v>
      </c>
      <c r="F12" s="60" t="n">
        <f aca="false">C12*E12</f>
        <v>0.518423307626392</v>
      </c>
      <c r="G12" s="61"/>
      <c r="I12" s="63"/>
    </row>
    <row r="13" customFormat="false" ht="18.75" hidden="false" customHeight="true" outlineLevel="0" collapsed="false">
      <c r="A13" s="57" t="s">
        <v>1120</v>
      </c>
      <c r="B13" s="64" t="n">
        <v>0.247</v>
      </c>
      <c r="C13" s="58" t="n">
        <f aca="false">B13/B$22*B$24</f>
        <v>0.388031990859754</v>
      </c>
      <c r="D13" s="57" t="s">
        <v>682</v>
      </c>
      <c r="E13" s="59" t="n">
        <f aca="false">IFERROR(INDEX(Correspondance!$D$2:$D$3000,MATCH(A13,Correspondance!$A$2:$A$3000,0)),0)</f>
        <v>7.5</v>
      </c>
      <c r="F13" s="60" t="n">
        <f aca="false">C13*E13</f>
        <v>2.91023993144816</v>
      </c>
      <c r="G13" s="61"/>
      <c r="I13" s="63"/>
    </row>
    <row r="14" customFormat="false" ht="15.75" hidden="false" customHeight="false" outlineLevel="0" collapsed="false">
      <c r="A14" s="57" t="s">
        <v>1919</v>
      </c>
      <c r="B14" s="57" t="n">
        <v>0.099</v>
      </c>
      <c r="C14" s="58" t="n">
        <f aca="false">B14/B$22*B$24</f>
        <v>0.155526992287918</v>
      </c>
      <c r="D14" s="57" t="s">
        <v>434</v>
      </c>
      <c r="E14" s="59" t="n">
        <f aca="false">IFERROR(INDEX(Correspondance!$D$2:$D$3000,MATCH(A14,Correspondance!$A$2:$A$3000,0)),0)</f>
        <v>2</v>
      </c>
      <c r="F14" s="60" t="n">
        <f aca="false">C14*E14</f>
        <v>0.311053984575836</v>
      </c>
      <c r="G14" s="61"/>
      <c r="I14" s="63"/>
    </row>
    <row r="15" customFormat="false" ht="15.75" hidden="false" customHeight="false" outlineLevel="0" collapsed="false">
      <c r="A15" s="57" t="s">
        <v>1796</v>
      </c>
      <c r="B15" s="57" t="n">
        <v>0.01</v>
      </c>
      <c r="C15" s="58" t="n">
        <f aca="false">B15/B$22*B$24</f>
        <v>0.0157097972007998</v>
      </c>
      <c r="D15" s="57" t="s">
        <v>434</v>
      </c>
      <c r="E15" s="59" t="n">
        <f aca="false">IFERROR(INDEX(Correspondance!$D$2:$D$3000,MATCH(A15,Correspondance!$A$2:$A$3000,0)),0)</f>
        <v>18</v>
      </c>
      <c r="F15" s="60" t="n">
        <f aca="false">C15*E15</f>
        <v>0.282776349614396</v>
      </c>
      <c r="G15" s="61"/>
      <c r="I15" s="63"/>
    </row>
    <row r="16" customFormat="false" ht="15.75" hidden="false" customHeight="false" outlineLevel="0" collapsed="false">
      <c r="A16" s="57" t="s">
        <v>1670</v>
      </c>
      <c r="B16" s="57"/>
      <c r="C16" s="58" t="n">
        <f aca="false">B16/B$22*B$24</f>
        <v>0</v>
      </c>
      <c r="D16" s="57" t="s">
        <v>434</v>
      </c>
      <c r="E16" s="59" t="n">
        <f aca="false">IFERROR(INDEX(Correspondance!$D$2:$D$3000,MATCH(A16,Correspondance!$A$2:$A$3000,0)),0)</f>
        <v>11</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135.272193658955</v>
      </c>
      <c r="G19" s="61"/>
      <c r="I19" s="63"/>
    </row>
    <row r="20" customFormat="false" ht="18.75" hidden="false" customHeight="true" outlineLevel="0" collapsed="false">
      <c r="A20" s="68" t="s">
        <v>2628</v>
      </c>
      <c r="B20" s="69" t="n">
        <f aca="false">F19/B24</f>
        <v>1.22974721508141</v>
      </c>
      <c r="C20" s="70"/>
      <c r="G20" s="61"/>
      <c r="I20" s="63"/>
    </row>
    <row r="21" customFormat="false" ht="15.75" hidden="false" customHeight="false" outlineLevel="0" collapsed="false">
      <c r="A21" s="71" t="s">
        <v>2629</v>
      </c>
      <c r="B21" s="71" t="n">
        <f aca="false">SUM(B3:B18)</f>
        <v>17.505</v>
      </c>
      <c r="C21" s="66"/>
      <c r="G21" s="61"/>
      <c r="I21" s="63"/>
    </row>
    <row r="22" customFormat="false" ht="15.75" hidden="false" customHeight="false" outlineLevel="0" collapsed="false">
      <c r="A22" s="0" t="s">
        <v>2630</v>
      </c>
      <c r="B22" s="72" t="n">
        <f aca="false">B21/B23</f>
        <v>70.02</v>
      </c>
      <c r="C22" s="66"/>
      <c r="G22" s="61"/>
      <c r="I22" s="63"/>
    </row>
    <row r="23" customFormat="false" ht="15.75" hidden="false" customHeight="false" outlineLevel="0" collapsed="false">
      <c r="A23" s="0" t="s">
        <v>2631</v>
      </c>
      <c r="B23" s="0" t="n">
        <v>0.25</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0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302</v>
      </c>
      <c r="B1" s="50"/>
      <c r="C1" s="50"/>
      <c r="D1" s="50"/>
      <c r="E1" s="51" t="s">
        <v>2619</v>
      </c>
      <c r="F1" s="51"/>
      <c r="G1" s="52" t="s">
        <v>2978</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1861</v>
      </c>
      <c r="B4" s="57" t="n">
        <v>3.85</v>
      </c>
      <c r="C4" s="58" t="n">
        <f aca="false">B4/B$22*B$24</f>
        <v>6.04827192230791</v>
      </c>
      <c r="D4" s="57" t="s">
        <v>434</v>
      </c>
      <c r="E4" s="59" t="n">
        <f aca="false">IFERROR(INDEX(Correspondance!$D$2:$D$3000,MATCH(A4,Correspondance!$A$2:$A$3000,0)),0)</f>
        <v>3.89</v>
      </c>
      <c r="F4" s="60" t="n">
        <f aca="false">C4*E4</f>
        <v>23.5277777777778</v>
      </c>
      <c r="G4" s="61" t="s">
        <v>2979</v>
      </c>
    </row>
    <row r="5" customFormat="false" ht="15.75" hidden="false" customHeight="false" outlineLevel="0" collapsed="false">
      <c r="A5" s="57" t="s">
        <v>921</v>
      </c>
      <c r="B5" s="57" t="n">
        <v>4.62</v>
      </c>
      <c r="C5" s="58" t="n">
        <f aca="false">B5/B$22*B$24</f>
        <v>7.2579263067695</v>
      </c>
      <c r="D5" s="57" t="s">
        <v>434</v>
      </c>
      <c r="E5" s="59" t="n">
        <f aca="false">IFERROR(INDEX(Correspondance!$D$2:$D$3000,MATCH(A5,Correspondance!$A$2:$A$3000,0)),0)</f>
        <v>3.8</v>
      </c>
      <c r="F5" s="60" t="n">
        <f aca="false">C5*E5</f>
        <v>27.5801199657241</v>
      </c>
      <c r="G5" s="61"/>
      <c r="I5" s="62"/>
    </row>
    <row r="6" customFormat="false" ht="15.75" hidden="false" customHeight="false" outlineLevel="0" collapsed="false">
      <c r="A6" s="57" t="s">
        <v>989</v>
      </c>
      <c r="B6" s="57" t="n">
        <v>1.54</v>
      </c>
      <c r="C6" s="58" t="n">
        <f aca="false">B6/B$22*B$24</f>
        <v>2.41930876892316</v>
      </c>
      <c r="D6" s="57" t="s">
        <v>434</v>
      </c>
      <c r="E6" s="59" t="n">
        <f aca="false">IFERROR(INDEX(Correspondance!$D$2:$D$3000,MATCH(A6,Correspondance!$A$2:$A$3000,0)),0)</f>
        <v>7.5</v>
      </c>
      <c r="F6" s="60" t="n">
        <f aca="false">C6*E6</f>
        <v>18.1448157669237</v>
      </c>
      <c r="G6" s="61"/>
      <c r="I6" s="63"/>
    </row>
    <row r="7" customFormat="false" ht="15.75" hidden="false" customHeight="false" outlineLevel="0" collapsed="false">
      <c r="A7" s="57" t="s">
        <v>1001</v>
      </c>
      <c r="B7" s="57" t="n">
        <v>0.616</v>
      </c>
      <c r="C7" s="58" t="n">
        <f aca="false">B7/B$22*B$24</f>
        <v>0.967723507569266</v>
      </c>
      <c r="D7" s="57" t="s">
        <v>434</v>
      </c>
      <c r="E7" s="59" t="n">
        <f aca="false">IFERROR(INDEX(Correspondance!$D$2:$D$3000,MATCH(A7,Correspondance!$A$2:$A$3000,0)),0)</f>
        <v>1.8</v>
      </c>
      <c r="F7" s="60" t="n">
        <f aca="false">C7*E7</f>
        <v>1.74190231362468</v>
      </c>
      <c r="G7" s="61"/>
      <c r="I7" s="63"/>
    </row>
    <row r="8" customFormat="false" ht="15.75" hidden="false" customHeight="false" outlineLevel="0" collapsed="false">
      <c r="A8" s="57" t="s">
        <v>1491</v>
      </c>
      <c r="B8" s="57" t="n">
        <v>0.231</v>
      </c>
      <c r="C8" s="58" t="n">
        <f aca="false">B8/B$22*B$24</f>
        <v>0.362896315338475</v>
      </c>
      <c r="D8" s="57" t="s">
        <v>434</v>
      </c>
      <c r="E8" s="59" t="n">
        <f aca="false">IFERROR(INDEX(Correspondance!$D$2:$D$3000,MATCH(A8,Correspondance!$A$2:$A$3000,0)),0)</f>
        <v>9</v>
      </c>
      <c r="F8" s="60" t="n">
        <f aca="false">C8*E8</f>
        <v>3.26606683804627</v>
      </c>
      <c r="G8" s="61"/>
      <c r="I8" s="63"/>
    </row>
    <row r="9" customFormat="false" ht="15.75" hidden="false" customHeight="false" outlineLevel="0" collapsed="false">
      <c r="A9" s="57" t="s">
        <v>1616</v>
      </c>
      <c r="B9" s="57" t="n">
        <v>0.192</v>
      </c>
      <c r="C9" s="58" t="n">
        <f aca="false">B9/B$22*B$24</f>
        <v>0.301628106255356</v>
      </c>
      <c r="D9" s="57" t="s">
        <v>434</v>
      </c>
      <c r="E9" s="59" t="n">
        <f aca="false">IFERROR(INDEX(Correspondance!$D$2:$D$3000,MATCH(A9,Correspondance!$A$2:$A$3000,0)),0)</f>
        <v>0.85</v>
      </c>
      <c r="F9" s="60" t="n">
        <f aca="false">C9*E9</f>
        <v>0.256383890317052</v>
      </c>
      <c r="G9" s="61"/>
      <c r="I9" s="63"/>
    </row>
    <row r="10" customFormat="false" ht="15.75" hidden="false" customHeight="false" outlineLevel="0" collapsed="false">
      <c r="A10" s="57" t="s">
        <v>1692</v>
      </c>
      <c r="B10" s="57" t="n">
        <v>1.54</v>
      </c>
      <c r="C10" s="58" t="n">
        <f aca="false">B10/B$22*B$24</f>
        <v>2.41930876892316</v>
      </c>
      <c r="D10" s="57" t="s">
        <v>682</v>
      </c>
      <c r="E10" s="59" t="n">
        <f aca="false">IFERROR(INDEX(Correspondance!$D$2:$D$3000,MATCH(A10,Correspondance!$A$2:$A$3000,0)),0)</f>
        <v>2.4</v>
      </c>
      <c r="F10" s="60" t="n">
        <f aca="false">C10*E10</f>
        <v>5.8063410454156</v>
      </c>
      <c r="G10" s="61"/>
      <c r="I10" s="63"/>
    </row>
    <row r="11" customFormat="false" ht="15.75" hidden="false" customHeight="false" outlineLevel="0" collapsed="false">
      <c r="A11" s="57" t="s">
        <v>1576</v>
      </c>
      <c r="B11" s="57" t="n">
        <v>0.77</v>
      </c>
      <c r="C11" s="58" t="n">
        <f aca="false">B11/B$22*B$24</f>
        <v>1.20965438446158</v>
      </c>
      <c r="D11" s="57" t="s">
        <v>682</v>
      </c>
      <c r="E11" s="59" t="n">
        <f aca="false">IFERROR(INDEX(Correspondance!$D$2:$D$3000,MATCH(A11,Correspondance!$A$2:$A$3000,0)),0)</f>
        <v>5.5</v>
      </c>
      <c r="F11" s="60" t="n">
        <f aca="false">C11*E11</f>
        <v>6.6530991145387</v>
      </c>
      <c r="G11" s="61"/>
      <c r="I11" s="63"/>
    </row>
    <row r="12" customFormat="false" ht="18.75" hidden="false" customHeight="true" outlineLevel="0" collapsed="false">
      <c r="A12" s="57" t="s">
        <v>706</v>
      </c>
      <c r="B12" s="64" t="n">
        <v>0.385</v>
      </c>
      <c r="C12" s="58" t="n">
        <f aca="false">B12/B$22*B$24</f>
        <v>0.604827192230791</v>
      </c>
      <c r="D12" s="57" t="s">
        <v>434</v>
      </c>
      <c r="E12" s="59" t="n">
        <f aca="false">IFERROR(INDEX(Correspondance!$D$2:$D$3000,MATCH(A12,Correspondance!$A$2:$A$3000,0)),0)</f>
        <v>7.5</v>
      </c>
      <c r="F12" s="60" t="n">
        <f aca="false">C12*E12</f>
        <v>4.53620394173093</v>
      </c>
      <c r="G12" s="61"/>
      <c r="I12" s="63"/>
    </row>
    <row r="13" customFormat="false" ht="18.75" hidden="false" customHeight="true" outlineLevel="0" collapsed="false">
      <c r="A13" s="57" t="s">
        <v>1687</v>
      </c>
      <c r="B13" s="64" t="n">
        <v>0.154</v>
      </c>
      <c r="C13" s="58" t="n">
        <f aca="false">B13/B$22*B$24</f>
        <v>0.241930876892317</v>
      </c>
      <c r="D13" s="57" t="s">
        <v>682</v>
      </c>
      <c r="E13" s="59" t="n">
        <f aca="false">IFERROR(INDEX(Correspondance!$D$2:$D$3000,MATCH(A13,Correspondance!$A$2:$A$3000,0)),0)</f>
        <v>6.5</v>
      </c>
      <c r="F13" s="60" t="n">
        <f aca="false">C13*E13</f>
        <v>1.57255069980006</v>
      </c>
      <c r="G13" s="61"/>
      <c r="I13" s="63"/>
    </row>
    <row r="14" customFormat="false" ht="15.75" hidden="false" customHeight="false" outlineLevel="0" collapsed="false">
      <c r="A14" s="57" t="s">
        <v>1007</v>
      </c>
      <c r="B14" s="57" t="n">
        <v>0.038</v>
      </c>
      <c r="C14" s="58" t="n">
        <f aca="false">B14/B$22*B$24</f>
        <v>0.0596972293630391</v>
      </c>
      <c r="D14" s="57" t="s">
        <v>434</v>
      </c>
      <c r="E14" s="59" t="n">
        <f aca="false">IFERROR(INDEX(Correspondance!$D$2:$D$3000,MATCH(A14,Correspondance!$A$2:$A$3000,0)),0)</f>
        <v>8</v>
      </c>
      <c r="F14" s="60" t="n">
        <f aca="false">C14*E14</f>
        <v>0.477577834904313</v>
      </c>
      <c r="G14" s="61"/>
      <c r="I14" s="63"/>
    </row>
    <row r="15" customFormat="false" ht="15.75" hidden="false" customHeight="false" outlineLevel="0" collapsed="false">
      <c r="A15" s="57" t="s">
        <v>1919</v>
      </c>
      <c r="B15" s="57" t="n">
        <v>0.062</v>
      </c>
      <c r="C15" s="58" t="n">
        <f aca="false">B15/B$22*B$24</f>
        <v>0.0974007426449586</v>
      </c>
      <c r="D15" s="57" t="s">
        <v>434</v>
      </c>
      <c r="E15" s="59" t="n">
        <f aca="false">IFERROR(INDEX(Correspondance!$D$2:$D$3000,MATCH(A15,Correspondance!$A$2:$A$3000,0)),0)</f>
        <v>2</v>
      </c>
      <c r="F15" s="60" t="n">
        <f aca="false">C15*E15</f>
        <v>0.194801485289917</v>
      </c>
      <c r="G15" s="61"/>
      <c r="I15" s="63"/>
    </row>
    <row r="16" customFormat="false" ht="15.75" hidden="false" customHeight="false" outlineLevel="0" collapsed="false">
      <c r="A16" s="57" t="s">
        <v>1796</v>
      </c>
      <c r="B16" s="57" t="n">
        <v>0.006</v>
      </c>
      <c r="C16" s="58" t="n">
        <f aca="false">B16/B$22*B$24</f>
        <v>0.00942587832047986</v>
      </c>
      <c r="D16" s="57" t="s">
        <v>434</v>
      </c>
      <c r="E16" s="59" t="n">
        <f aca="false">IFERROR(INDEX(Correspondance!$D$2:$D$3000,MATCH(A16,Correspondance!$A$2:$A$3000,0)),0)</f>
        <v>18</v>
      </c>
      <c r="F16" s="60" t="n">
        <f aca="false">C16*E16</f>
        <v>0.169665809768638</v>
      </c>
      <c r="G16" s="61"/>
      <c r="I16" s="63"/>
    </row>
    <row r="17" customFormat="false" ht="15.75" hidden="false" customHeight="false" outlineLevel="0" collapsed="false">
      <c r="A17" s="57" t="s">
        <v>1732</v>
      </c>
      <c r="B17" s="57"/>
      <c r="C17" s="58" t="n">
        <f aca="false">B17/B$22*B$24</f>
        <v>0</v>
      </c>
      <c r="D17" s="57" t="s">
        <v>434</v>
      </c>
      <c r="E17" s="59" t="n">
        <f aca="false">IFERROR(INDEX(Correspondance!$D$2:$D$3000,MATCH(A17,Correspondance!$A$2:$A$3000,0)),0)</f>
        <v>30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93.9273064838617</v>
      </c>
      <c r="G19" s="61"/>
      <c r="I19" s="63"/>
    </row>
    <row r="20" customFormat="false" ht="18.75" hidden="false" customHeight="true" outlineLevel="0" collapsed="false">
      <c r="A20" s="68" t="s">
        <v>2628</v>
      </c>
      <c r="B20" s="69" t="n">
        <f aca="false">F19/B24</f>
        <v>0.853884604398743</v>
      </c>
      <c r="C20" s="70"/>
      <c r="G20" s="61"/>
      <c r="I20" s="63"/>
    </row>
    <row r="21" customFormat="false" ht="15.75" hidden="false" customHeight="false" outlineLevel="0" collapsed="false">
      <c r="A21" s="71" t="s">
        <v>2629</v>
      </c>
      <c r="B21" s="71" t="n">
        <f aca="false">SUM(B3:B18)</f>
        <v>14.004</v>
      </c>
      <c r="C21" s="66"/>
      <c r="G21" s="61"/>
      <c r="I21" s="63"/>
    </row>
    <row r="22" customFormat="false" ht="15.75" hidden="false" customHeight="false" outlineLevel="0" collapsed="false">
      <c r="A22" s="0" t="s">
        <v>2630</v>
      </c>
      <c r="B22" s="72" t="n">
        <f aca="false">B21/B23</f>
        <v>70.02</v>
      </c>
      <c r="C22" s="66"/>
      <c r="G22" s="61"/>
      <c r="I22" s="63"/>
    </row>
    <row r="23" customFormat="false" ht="15.75" hidden="false" customHeight="false" outlineLevel="0" collapsed="false">
      <c r="A23" s="0" t="s">
        <v>2631</v>
      </c>
      <c r="B23" s="0" t="n">
        <v>0.2</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303</v>
      </c>
      <c r="B1" s="50"/>
      <c r="C1" s="50"/>
      <c r="D1" s="50"/>
      <c r="E1" s="51" t="s">
        <v>2619</v>
      </c>
      <c r="F1" s="51"/>
      <c r="G1" s="52" t="s">
        <v>2980</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611</v>
      </c>
      <c r="B4" s="57" t="n">
        <v>3.77</v>
      </c>
      <c r="C4" s="58" t="n">
        <f aca="false">B4/B$22*B$24</f>
        <v>5.92343950864162</v>
      </c>
      <c r="D4" s="57" t="s">
        <v>434</v>
      </c>
      <c r="E4" s="59" t="n">
        <f aca="false">IFERROR(INDEX(Correspondance!$D$2:$D$3000,MATCH(A4,Correspondance!$A$2:$A$3000,0)),0)</f>
        <v>11</v>
      </c>
      <c r="F4" s="60" t="n">
        <f aca="false">C4*E4</f>
        <v>65.1578345950579</v>
      </c>
      <c r="G4" s="61" t="s">
        <v>2981</v>
      </c>
    </row>
    <row r="5" customFormat="false" ht="15.75" hidden="false" customHeight="false" outlineLevel="0" collapsed="false">
      <c r="A5" s="57" t="s">
        <v>1835</v>
      </c>
      <c r="B5" s="57" t="n">
        <v>3.01</v>
      </c>
      <c r="C5" s="58" t="n">
        <f aca="false">B5/B$22*B$24</f>
        <v>4.72932438223111</v>
      </c>
      <c r="D5" s="57" t="s">
        <v>434</v>
      </c>
      <c r="E5" s="59" t="n">
        <f aca="false">IFERROR(INDEX(Correspondance!$D$2:$D$3000,MATCH(A5,Correspondance!$A$2:$A$3000,0)),0)</f>
        <v>2</v>
      </c>
      <c r="F5" s="60" t="n">
        <f aca="false">C5*E5</f>
        <v>9.45864876446222</v>
      </c>
      <c r="G5" s="61"/>
      <c r="I5" s="62"/>
    </row>
    <row r="6" customFormat="false" ht="15.75" hidden="false" customHeight="false" outlineLevel="0" collapsed="false">
      <c r="A6" s="57" t="s">
        <v>697</v>
      </c>
      <c r="B6" s="57" t="n">
        <v>1.13</v>
      </c>
      <c r="C6" s="58" t="n">
        <f aca="false">B6/B$22*B$24</f>
        <v>1.77546064847879</v>
      </c>
      <c r="D6" s="57" t="s">
        <v>434</v>
      </c>
      <c r="E6" s="59" t="n">
        <f aca="false">IFERROR(INDEX(Correspondance!$D$2:$D$3000,MATCH(A6,Correspondance!$A$2:$A$3000,0)),0)</f>
        <v>13</v>
      </c>
      <c r="F6" s="60" t="n">
        <f aca="false">C6*E6</f>
        <v>23.0809884302243</v>
      </c>
      <c r="G6" s="61"/>
      <c r="I6" s="63"/>
    </row>
    <row r="7" customFormat="false" ht="15.75" hidden="false" customHeight="false" outlineLevel="0" collapsed="false">
      <c r="A7" s="57" t="s">
        <v>1860</v>
      </c>
      <c r="B7" s="57" t="n">
        <v>3.77</v>
      </c>
      <c r="C7" s="58" t="n">
        <f aca="false">B7/B$22*B$24</f>
        <v>5.92343950864162</v>
      </c>
      <c r="D7" s="57" t="s">
        <v>434</v>
      </c>
      <c r="E7" s="59" t="n">
        <f aca="false">IFERROR(INDEX(Correspondance!$D$2:$D$3000,MATCH(A7,Correspondance!$A$2:$A$3000,0)),0)</f>
        <v>3.89</v>
      </c>
      <c r="F7" s="60" t="n">
        <f aca="false">C7*E7</f>
        <v>23.0421796886159</v>
      </c>
      <c r="G7" s="61"/>
      <c r="I7" s="63"/>
    </row>
    <row r="8" customFormat="false" ht="15.75" hidden="false" customHeight="false" outlineLevel="0" collapsed="false">
      <c r="A8" s="57" t="s">
        <v>1001</v>
      </c>
      <c r="B8" s="57" t="n">
        <v>0.603</v>
      </c>
      <c r="C8" s="58" t="n">
        <f aca="false">B8/B$22*B$24</f>
        <v>0.94743608055992</v>
      </c>
      <c r="D8" s="57" t="s">
        <v>434</v>
      </c>
      <c r="E8" s="59" t="n">
        <f aca="false">IFERROR(INDEX(Correspondance!$D$2:$D$3000,MATCH(A8,Correspondance!$A$2:$A$3000,0)),0)</f>
        <v>1.8</v>
      </c>
      <c r="F8" s="60" t="n">
        <f aca="false">C8*E8</f>
        <v>1.70538494500786</v>
      </c>
      <c r="G8" s="61"/>
      <c r="I8" s="63"/>
    </row>
    <row r="9" customFormat="false" ht="15.75" hidden="false" customHeight="false" outlineLevel="0" collapsed="false">
      <c r="A9" s="57" t="s">
        <v>1576</v>
      </c>
      <c r="B9" s="57" t="n">
        <v>1.13</v>
      </c>
      <c r="C9" s="58" t="n">
        <f aca="false">B9/B$22*B$24</f>
        <v>1.77546064847879</v>
      </c>
      <c r="D9" s="57" t="s">
        <v>682</v>
      </c>
      <c r="E9" s="59" t="n">
        <f aca="false">IFERROR(INDEX(Correspondance!$D$2:$D$3000,MATCH(A9,Correspondance!$A$2:$A$3000,0)),0)</f>
        <v>5.5</v>
      </c>
      <c r="F9" s="60" t="n">
        <f aca="false">C9*E9</f>
        <v>9.76503356663334</v>
      </c>
      <c r="G9" s="61"/>
      <c r="I9" s="63"/>
    </row>
    <row r="10" customFormat="false" ht="15.75" hidden="false" customHeight="false" outlineLevel="0" collapsed="false">
      <c r="A10" s="57" t="s">
        <v>1976</v>
      </c>
      <c r="B10" s="57" t="n">
        <v>0.226</v>
      </c>
      <c r="C10" s="58" t="n">
        <f aca="false">B10/B$22*B$24</f>
        <v>0.355092129695758</v>
      </c>
      <c r="D10" s="57" t="s">
        <v>682</v>
      </c>
      <c r="E10" s="59" t="n">
        <f aca="false">IFERROR(INDEX(Correspondance!$D$2:$D$3000,MATCH(A10,Correspondance!$A$2:$A$3000,0)),0)</f>
        <v>2</v>
      </c>
      <c r="F10" s="60" t="n">
        <f aca="false">C10*E10</f>
        <v>0.710184259391516</v>
      </c>
      <c r="G10" s="61"/>
      <c r="I10" s="63"/>
    </row>
    <row r="11" customFormat="false" ht="15.75" hidden="false" customHeight="false" outlineLevel="0" collapsed="false">
      <c r="A11" s="57" t="s">
        <v>1491</v>
      </c>
      <c r="B11" s="57" t="n">
        <v>0.151</v>
      </c>
      <c r="C11" s="58" t="n">
        <f aca="false">B11/B$22*B$24</f>
        <v>0.237251821168405</v>
      </c>
      <c r="D11" s="57" t="s">
        <v>434</v>
      </c>
      <c r="E11" s="59" t="n">
        <f aca="false">IFERROR(INDEX(Correspondance!$D$2:$D$3000,MATCH(A11,Correspondance!$A$2:$A$3000,0)),0)</f>
        <v>9</v>
      </c>
      <c r="F11" s="60" t="n">
        <f aca="false">C11*E11</f>
        <v>2.13526639051564</v>
      </c>
      <c r="G11" s="61"/>
      <c r="I11" s="63"/>
    </row>
    <row r="12" customFormat="false" ht="18.75" hidden="false" customHeight="true" outlineLevel="0" collapsed="false">
      <c r="A12" s="57" t="s">
        <v>1687</v>
      </c>
      <c r="B12" s="64" t="n">
        <v>0.151</v>
      </c>
      <c r="C12" s="58" t="n">
        <f aca="false">B12/B$22*B$24</f>
        <v>0.237251821168405</v>
      </c>
      <c r="D12" s="57" t="s">
        <v>682</v>
      </c>
      <c r="E12" s="59" t="n">
        <f aca="false">IFERROR(INDEX(Correspondance!$D$2:$D$3000,MATCH(A12,Correspondance!$A$2:$A$3000,0)),0)</f>
        <v>6.5</v>
      </c>
      <c r="F12" s="60" t="n">
        <f aca="false">C12*E12</f>
        <v>1.54213683759463</v>
      </c>
      <c r="G12" s="61"/>
      <c r="I12" s="63"/>
    </row>
    <row r="13" customFormat="false" ht="18.75" hidden="false" customHeight="true" outlineLevel="0" collapsed="false">
      <c r="A13" s="57" t="s">
        <v>1007</v>
      </c>
      <c r="B13" s="64" t="n">
        <v>0.038</v>
      </c>
      <c r="C13" s="58" t="n">
        <f aca="false">B13/B$22*B$24</f>
        <v>0.0597057563205256</v>
      </c>
      <c r="D13" s="57" t="s">
        <v>434</v>
      </c>
      <c r="E13" s="59" t="n">
        <f aca="false">IFERROR(INDEX(Correspondance!$D$2:$D$3000,MATCH(A13,Correspondance!$A$2:$A$3000,0)),0)</f>
        <v>8</v>
      </c>
      <c r="F13" s="60" t="n">
        <f aca="false">C13*E13</f>
        <v>0.477646050564205</v>
      </c>
      <c r="G13" s="61"/>
      <c r="I13" s="63"/>
    </row>
    <row r="14" customFormat="false" ht="15.75" hidden="false" customHeight="false" outlineLevel="0" collapsed="false">
      <c r="A14" s="57" t="s">
        <v>1920</v>
      </c>
      <c r="B14" s="57" t="n">
        <v>0.023</v>
      </c>
      <c r="C14" s="58" t="n">
        <f aca="false">B14/B$22*B$24</f>
        <v>0.036137694615055</v>
      </c>
      <c r="D14" s="57" t="s">
        <v>434</v>
      </c>
      <c r="E14" s="59" t="n">
        <f aca="false">IFERROR(INDEX(Correspondance!$D$2:$D$3000,MATCH(A14,Correspondance!$A$2:$A$3000,0)),0)</f>
        <v>2</v>
      </c>
      <c r="F14" s="60" t="n">
        <f aca="false">C14*E14</f>
        <v>0.07227538923011</v>
      </c>
      <c r="G14" s="61"/>
      <c r="I14" s="63"/>
    </row>
    <row r="15" customFormat="false" ht="15.75" hidden="false" customHeight="false" outlineLevel="0" collapsed="false">
      <c r="A15" s="57" t="s">
        <v>1814</v>
      </c>
      <c r="B15" s="57"/>
      <c r="C15" s="58" t="n">
        <f aca="false">B15/B$22*B$24</f>
        <v>0</v>
      </c>
      <c r="D15" s="57" t="s">
        <v>434</v>
      </c>
      <c r="E15" s="59" t="n">
        <f aca="false">IFERROR(INDEX(Correspondance!$D$2:$D$3000,MATCH(A15,Correspondance!$A$2:$A$3000,0)),0)</f>
        <v>18</v>
      </c>
      <c r="F15" s="60" t="n">
        <f aca="false">C15*E15</f>
        <v>0</v>
      </c>
      <c r="G15" s="61"/>
      <c r="I15" s="63"/>
    </row>
    <row r="16" customFormat="false" ht="15.75" hidden="false" customHeight="false" outlineLevel="0" collapsed="false">
      <c r="A16" s="57" t="s">
        <v>1732</v>
      </c>
      <c r="B16" s="57"/>
      <c r="C16" s="58" t="n">
        <f aca="false">B16/B$22*B$24</f>
        <v>0</v>
      </c>
      <c r="D16" s="57" t="s">
        <v>434</v>
      </c>
      <c r="E16" s="59" t="n">
        <f aca="false">IFERROR(INDEX(Correspondance!$D$2:$D$3000,MATCH(A16,Correspondance!$A$2:$A$3000,0)),0)</f>
        <v>30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137.147578917298</v>
      </c>
      <c r="G19" s="61"/>
      <c r="I19" s="63"/>
    </row>
    <row r="20" customFormat="false" ht="18.75" hidden="false" customHeight="true" outlineLevel="0" collapsed="false">
      <c r="A20" s="68" t="s">
        <v>2628</v>
      </c>
      <c r="B20" s="69" t="n">
        <f aca="false">F19/B24</f>
        <v>1.24679617197543</v>
      </c>
      <c r="C20" s="70"/>
      <c r="G20" s="61"/>
      <c r="I20" s="63"/>
    </row>
    <row r="21" customFormat="false" ht="15.75" hidden="false" customHeight="false" outlineLevel="0" collapsed="false">
      <c r="A21" s="71" t="s">
        <v>2629</v>
      </c>
      <c r="B21" s="71" t="n">
        <f aca="false">SUM(B3:B18)</f>
        <v>14.002</v>
      </c>
      <c r="C21" s="66"/>
      <c r="G21" s="61"/>
      <c r="I21" s="63"/>
    </row>
    <row r="22" customFormat="false" ht="15.75" hidden="false" customHeight="false" outlineLevel="0" collapsed="false">
      <c r="A22" s="0" t="s">
        <v>2630</v>
      </c>
      <c r="B22" s="72" t="n">
        <f aca="false">B21/B23</f>
        <v>70.01</v>
      </c>
      <c r="C22" s="66"/>
      <c r="G22" s="61"/>
      <c r="I22" s="63"/>
    </row>
    <row r="23" customFormat="false" ht="15.75" hidden="false" customHeight="false" outlineLevel="0" collapsed="false">
      <c r="A23" s="0" t="s">
        <v>2631</v>
      </c>
      <c r="B23" s="0" t="n">
        <v>0.2</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304</v>
      </c>
      <c r="B1" s="50"/>
      <c r="C1" s="50"/>
      <c r="D1" s="50"/>
      <c r="E1" s="51" t="s">
        <v>2619</v>
      </c>
      <c r="F1" s="51"/>
      <c r="G1" s="52" t="s">
        <v>2982</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1173</v>
      </c>
      <c r="B4" s="57" t="n">
        <v>3.94</v>
      </c>
      <c r="C4" s="58" t="n">
        <f aca="false">B4/B$22*B$24</f>
        <v>6.18789263278127</v>
      </c>
      <c r="D4" s="57" t="s">
        <v>434</v>
      </c>
      <c r="E4" s="59" t="n">
        <f aca="false">IFERROR(INDEX(Correspondance!$D$2:$D$3000,MATCH(A4,Correspondance!$A$2:$A$3000,0)),0)</f>
        <v>1.9</v>
      </c>
      <c r="F4" s="60" t="n">
        <f aca="false">C4*E4</f>
        <v>11.7569960022844</v>
      </c>
      <c r="G4" s="61" t="s">
        <v>2983</v>
      </c>
    </row>
    <row r="5" customFormat="false" ht="15.75" hidden="false" customHeight="false" outlineLevel="0" collapsed="false">
      <c r="A5" s="57" t="s">
        <v>1459</v>
      </c>
      <c r="B5" s="57" t="n">
        <v>5.91</v>
      </c>
      <c r="C5" s="58" t="n">
        <f aca="false">B5/B$22*B$24</f>
        <v>9.2818389491719</v>
      </c>
      <c r="D5" s="57" t="s">
        <v>682</v>
      </c>
      <c r="E5" s="59" t="n">
        <f aca="false">IFERROR(INDEX(Correspondance!$D$2:$D$3000,MATCH(A5,Correspondance!$A$2:$A$3000,0)),0)</f>
        <v>0</v>
      </c>
      <c r="F5" s="60" t="n">
        <f aca="false">C5*E5</f>
        <v>0</v>
      </c>
      <c r="G5" s="61"/>
      <c r="I5" s="62"/>
    </row>
    <row r="6" customFormat="false" ht="15.75" hidden="false" customHeight="false" outlineLevel="0" collapsed="false">
      <c r="A6" s="57" t="s">
        <v>2000</v>
      </c>
      <c r="B6" s="57" t="n">
        <v>1.58</v>
      </c>
      <c r="C6" s="58" t="n">
        <f aca="false">B6/B$22*B$24</f>
        <v>2.48143917761279</v>
      </c>
      <c r="D6" s="57" t="s">
        <v>682</v>
      </c>
      <c r="E6" s="59" t="n">
        <f aca="false">IFERROR(INDEX(Correspondance!$D$2:$D$3000,MATCH(A6,Correspondance!$A$2:$A$3000,0)),0)</f>
        <v>3.8</v>
      </c>
      <c r="F6" s="60" t="n">
        <f aca="false">C6*E6</f>
        <v>9.42946887492861</v>
      </c>
      <c r="G6" s="61"/>
      <c r="I6" s="63"/>
    </row>
    <row r="7" customFormat="false" ht="15.75" hidden="false" customHeight="false" outlineLevel="0" collapsed="false">
      <c r="A7" s="57" t="s">
        <v>576</v>
      </c>
      <c r="B7" s="57" t="n">
        <v>1.58</v>
      </c>
      <c r="C7" s="58" t="n">
        <f aca="false">B7/B$22*B$24</f>
        <v>2.48143917761279</v>
      </c>
      <c r="D7" s="57" t="s">
        <v>434</v>
      </c>
      <c r="E7" s="59" t="n">
        <f aca="false">IFERROR(INDEX(Correspondance!$D$2:$D$3000,MATCH(A7,Correspondance!$A$2:$A$3000,0)),0)</f>
        <v>8.5</v>
      </c>
      <c r="F7" s="60" t="n">
        <f aca="false">C7*E7</f>
        <v>21.0922330097087</v>
      </c>
      <c r="G7" s="61"/>
      <c r="I7" s="63"/>
    </row>
    <row r="8" customFormat="false" ht="15.75" hidden="false" customHeight="false" outlineLevel="0" collapsed="false">
      <c r="A8" s="57" t="s">
        <v>1009</v>
      </c>
      <c r="B8" s="57" t="n">
        <v>1.58</v>
      </c>
      <c r="C8" s="58" t="n">
        <f aca="false">B8/B$22*B$24</f>
        <v>2.48143917761279</v>
      </c>
      <c r="D8" s="57" t="s">
        <v>434</v>
      </c>
      <c r="E8" s="59" t="n">
        <f aca="false">IFERROR(INDEX(Correspondance!$D$2:$D$3000,MATCH(A8,Correspondance!$A$2:$A$3000,0)),0)</f>
        <v>2.3</v>
      </c>
      <c r="F8" s="60" t="n">
        <f aca="false">C8*E8</f>
        <v>5.70731010850942</v>
      </c>
      <c r="G8" s="61"/>
      <c r="I8" s="63"/>
    </row>
    <row r="9" customFormat="false" ht="15.75" hidden="false" customHeight="false" outlineLevel="0" collapsed="false">
      <c r="A9" s="57" t="s">
        <v>633</v>
      </c>
      <c r="B9" s="57" t="n">
        <v>1.18</v>
      </c>
      <c r="C9" s="58" t="n">
        <f aca="false">B9/B$22*B$24</f>
        <v>1.85322672758424</v>
      </c>
      <c r="D9" s="57" t="s">
        <v>434</v>
      </c>
      <c r="E9" s="59" t="n">
        <f aca="false">IFERROR(INDEX(Correspondance!$D$2:$D$3000,MATCH(A9,Correspondance!$A$2:$A$3000,0)),0)</f>
        <v>12</v>
      </c>
      <c r="F9" s="60" t="n">
        <f aca="false">C9*E9</f>
        <v>22.2387207310108</v>
      </c>
      <c r="G9" s="61"/>
      <c r="I9" s="63"/>
    </row>
    <row r="10" customFormat="false" ht="15.75" hidden="false" customHeight="false" outlineLevel="0" collapsed="false">
      <c r="A10" s="57" t="s">
        <v>1526</v>
      </c>
      <c r="B10" s="57" t="n">
        <v>0.394</v>
      </c>
      <c r="C10" s="58" t="n">
        <f aca="false">B10/B$22*B$24</f>
        <v>0.618789263278127</v>
      </c>
      <c r="D10" s="57" t="s">
        <v>434</v>
      </c>
      <c r="E10" s="59" t="n">
        <f aca="false">IFERROR(INDEX(Correspondance!$D$2:$D$3000,MATCH(A10,Correspondance!$A$2:$A$3000,0)),0)</f>
        <v>2.6</v>
      </c>
      <c r="F10" s="60" t="n">
        <f aca="false">C10*E10</f>
        <v>1.60885208452313</v>
      </c>
      <c r="G10" s="61"/>
      <c r="I10" s="63"/>
    </row>
    <row r="11" customFormat="false" ht="15.75" hidden="false" customHeight="false" outlineLevel="0" collapsed="false">
      <c r="A11" s="57" t="s">
        <v>1001</v>
      </c>
      <c r="B11" s="57" t="n">
        <v>0.63</v>
      </c>
      <c r="C11" s="58" t="n">
        <f aca="false">B11/B$22*B$24</f>
        <v>0.989434608794974</v>
      </c>
      <c r="D11" s="57" t="s">
        <v>434</v>
      </c>
      <c r="E11" s="59" t="n">
        <f aca="false">IFERROR(INDEX(Correspondance!$D$2:$D$3000,MATCH(A11,Correspondance!$A$2:$A$3000,0)),0)</f>
        <v>1.8</v>
      </c>
      <c r="F11" s="60" t="n">
        <f aca="false">C11*E11</f>
        <v>1.78098229583095</v>
      </c>
      <c r="G11" s="61"/>
      <c r="I11" s="63"/>
    </row>
    <row r="12" customFormat="false" ht="18.75" hidden="false" customHeight="true" outlineLevel="0" collapsed="false">
      <c r="A12" s="57" t="s">
        <v>1246</v>
      </c>
      <c r="B12" s="64" t="n">
        <v>0.315</v>
      </c>
      <c r="C12" s="58" t="n">
        <f aca="false">B12/B$22*B$24</f>
        <v>0.494717304397487</v>
      </c>
      <c r="D12" s="57" t="s">
        <v>682</v>
      </c>
      <c r="E12" s="59" t="n">
        <f aca="false">IFERROR(INDEX(Correspondance!$D$2:$D$3000,MATCH(A12,Correspondance!$A$2:$A$3000,0)),0)</f>
        <v>4</v>
      </c>
      <c r="F12" s="60" t="n">
        <f aca="false">C12*E12</f>
        <v>1.97886921758995</v>
      </c>
      <c r="G12" s="61"/>
      <c r="I12" s="63"/>
    </row>
    <row r="13" customFormat="false" ht="18.75" hidden="false" customHeight="true" outlineLevel="0" collapsed="false">
      <c r="A13" s="57" t="s">
        <v>1675</v>
      </c>
      <c r="B13" s="64" t="n">
        <v>0.315</v>
      </c>
      <c r="C13" s="58" t="n">
        <f aca="false">B13/B$22*B$24</f>
        <v>0.494717304397487</v>
      </c>
      <c r="D13" s="57" t="s">
        <v>682</v>
      </c>
      <c r="E13" s="59" t="n">
        <f aca="false">IFERROR(INDEX(Correspondance!$D$2:$D$3000,MATCH(A13,Correspondance!$A$2:$A$3000,0)),0)</f>
        <v>2.2</v>
      </c>
      <c r="F13" s="60" t="n">
        <f aca="false">C13*E13</f>
        <v>1.08837806967447</v>
      </c>
      <c r="G13" s="61"/>
      <c r="I13" s="63"/>
    </row>
    <row r="14" customFormat="false" ht="15.75" hidden="false" customHeight="false" outlineLevel="0" collapsed="false">
      <c r="A14" s="57" t="s">
        <v>1919</v>
      </c>
      <c r="B14" s="57" t="n">
        <v>0.047</v>
      </c>
      <c r="C14" s="58" t="n">
        <f aca="false">B14/B$22*B$24</f>
        <v>0.0738149628783552</v>
      </c>
      <c r="D14" s="57" t="s">
        <v>434</v>
      </c>
      <c r="E14" s="59" t="n">
        <f aca="false">IFERROR(INDEX(Correspondance!$D$2:$D$3000,MATCH(A14,Correspondance!$A$2:$A$3000,0)),0)</f>
        <v>2</v>
      </c>
      <c r="F14" s="60" t="n">
        <f aca="false">C14*E14</f>
        <v>0.14762992575671</v>
      </c>
      <c r="G14" s="61"/>
      <c r="I14" s="63"/>
    </row>
    <row r="15" customFormat="false" ht="15.75" hidden="false" customHeight="false" outlineLevel="0" collapsed="false">
      <c r="A15" s="57" t="s">
        <v>1814</v>
      </c>
      <c r="B15" s="57"/>
      <c r="C15" s="58" t="n">
        <f aca="false">B15/B$22*B$24</f>
        <v>0</v>
      </c>
      <c r="D15" s="57" t="s">
        <v>434</v>
      </c>
      <c r="E15" s="59" t="n">
        <f aca="false">IFERROR(INDEX(Correspondance!$D$2:$D$3000,MATCH(A15,Correspondance!$A$2:$A$3000,0)),0)</f>
        <v>18</v>
      </c>
      <c r="F15" s="60" t="n">
        <f aca="false">C15*E15</f>
        <v>0</v>
      </c>
      <c r="G15" s="61"/>
      <c r="I15" s="63"/>
    </row>
    <row r="16" customFormat="false" ht="15.75" hidden="false" customHeight="false" outlineLevel="0" collapsed="false">
      <c r="A16" s="57" t="s">
        <v>1541</v>
      </c>
      <c r="B16" s="57" t="n">
        <v>0.039</v>
      </c>
      <c r="C16" s="58" t="n">
        <f aca="false">B16/B$22*B$24</f>
        <v>0.0612507138777841</v>
      </c>
      <c r="D16" s="57" t="s">
        <v>434</v>
      </c>
      <c r="E16" s="59" t="n">
        <f aca="false">IFERROR(INDEX(Correspondance!$D$2:$D$3000,MATCH(A16,Correspondance!$A$2:$A$3000,0)),0)</f>
        <v>13</v>
      </c>
      <c r="F16" s="60" t="n">
        <f aca="false">C16*E16</f>
        <v>0.796259280411194</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77.6256996002284</v>
      </c>
      <c r="G19" s="61"/>
      <c r="I19" s="63"/>
    </row>
    <row r="20" customFormat="false" ht="18.75" hidden="false" customHeight="true" outlineLevel="0" collapsed="false">
      <c r="A20" s="68" t="s">
        <v>2628</v>
      </c>
      <c r="B20" s="69" t="n">
        <f aca="false">F19/B24</f>
        <v>0.705688178183895</v>
      </c>
      <c r="C20" s="70"/>
      <c r="G20" s="61"/>
      <c r="I20" s="63"/>
    </row>
    <row r="21" customFormat="false" ht="15.75" hidden="false" customHeight="false" outlineLevel="0" collapsed="false">
      <c r="A21" s="71" t="s">
        <v>2629</v>
      </c>
      <c r="B21" s="71" t="n">
        <f aca="false">SUM(B3:B18)</f>
        <v>17.51</v>
      </c>
      <c r="C21" s="66"/>
      <c r="G21" s="61"/>
      <c r="I21" s="63"/>
    </row>
    <row r="22" customFormat="false" ht="15.75" hidden="false" customHeight="false" outlineLevel="0" collapsed="false">
      <c r="A22" s="0" t="s">
        <v>2630</v>
      </c>
      <c r="B22" s="72" t="n">
        <f aca="false">B21/B23</f>
        <v>70.04</v>
      </c>
      <c r="C22" s="66"/>
      <c r="G22" s="61"/>
      <c r="I22" s="63"/>
    </row>
    <row r="23" customFormat="false" ht="15.75" hidden="false" customHeight="false" outlineLevel="0" collapsed="false">
      <c r="A23" s="0" t="s">
        <v>2631</v>
      </c>
      <c r="B23" s="0" t="n">
        <v>0.25</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306</v>
      </c>
      <c r="B1" s="50"/>
      <c r="C1" s="50"/>
      <c r="D1" s="50"/>
      <c r="E1" s="51" t="s">
        <v>2619</v>
      </c>
      <c r="F1" s="51"/>
      <c r="G1" s="52" t="s">
        <v>2984</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1173</v>
      </c>
      <c r="B4" s="57" t="n">
        <v>5.11</v>
      </c>
      <c r="C4" s="58" t="n">
        <f aca="false">B4/B$22*B$24</f>
        <v>8.03057361240089</v>
      </c>
      <c r="D4" s="57" t="s">
        <v>434</v>
      </c>
      <c r="E4" s="59" t="n">
        <f aca="false">IFERROR(INDEX(Correspondance!$D$2:$D$3000,MATCH(A4,Correspondance!$A$2:$A$3000,0)),0)</f>
        <v>1.9</v>
      </c>
      <c r="F4" s="60" t="n">
        <f aca="false">C4*E4</f>
        <v>15.2580898635617</v>
      </c>
      <c r="G4" s="61" t="s">
        <v>2985</v>
      </c>
    </row>
    <row r="5" customFormat="false" ht="15.75" hidden="false" customHeight="false" outlineLevel="0" collapsed="false">
      <c r="A5" s="57" t="s">
        <v>1459</v>
      </c>
      <c r="B5" s="57" t="n">
        <v>7.67</v>
      </c>
      <c r="C5" s="58" t="n">
        <f aca="false">B5/B$22*B$24</f>
        <v>12.0537181227231</v>
      </c>
      <c r="D5" s="57" t="s">
        <v>682</v>
      </c>
      <c r="E5" s="59" t="n">
        <f aca="false">IFERROR(INDEX(Correspondance!$D$2:$D$3000,MATCH(A5,Correspondance!$A$2:$A$3000,0)),0)</f>
        <v>0</v>
      </c>
      <c r="F5" s="60" t="n">
        <f aca="false">C5*E5</f>
        <v>0</v>
      </c>
      <c r="G5" s="61"/>
      <c r="I5" s="62"/>
    </row>
    <row r="6" customFormat="false" ht="15.75" hidden="false" customHeight="false" outlineLevel="0" collapsed="false">
      <c r="A6" s="57" t="s">
        <v>1100</v>
      </c>
      <c r="B6" s="57" t="n">
        <v>0.102</v>
      </c>
      <c r="C6" s="58" t="n">
        <f aca="false">B6/B$22*B$24</f>
        <v>0.160297164083149</v>
      </c>
      <c r="D6" s="57" t="s">
        <v>434</v>
      </c>
      <c r="E6" s="59" t="n">
        <f aca="false">IFERROR(INDEX(Correspondance!$D$2:$D$3000,MATCH(A6,Correspondance!$A$2:$A$3000,0)),0)</f>
        <v>10</v>
      </c>
      <c r="F6" s="60" t="n">
        <f aca="false">C6*E6</f>
        <v>1.60297164083149</v>
      </c>
      <c r="G6" s="61"/>
      <c r="I6" s="63"/>
    </row>
    <row r="7" customFormat="false" ht="15.75" hidden="false" customHeight="false" outlineLevel="0" collapsed="false">
      <c r="A7" s="57" t="s">
        <v>1001</v>
      </c>
      <c r="B7" s="57" t="n">
        <v>0.682</v>
      </c>
      <c r="C7" s="58" t="n">
        <f aca="false">B7/B$22*B$24</f>
        <v>1.07179084220301</v>
      </c>
      <c r="D7" s="57" t="s">
        <v>434</v>
      </c>
      <c r="E7" s="59" t="n">
        <f aca="false">IFERROR(INDEX(Correspondance!$D$2:$D$3000,MATCH(A7,Correspondance!$A$2:$A$3000,0)),0)</f>
        <v>1.8</v>
      </c>
      <c r="F7" s="60" t="n">
        <f aca="false">C7*E7</f>
        <v>1.92922351596543</v>
      </c>
      <c r="G7" s="61"/>
      <c r="I7" s="63"/>
    </row>
    <row r="8" customFormat="false" ht="15.75" hidden="false" customHeight="false" outlineLevel="0" collapsed="false">
      <c r="A8" s="57" t="s">
        <v>1491</v>
      </c>
      <c r="B8" s="57" t="n">
        <v>0.256</v>
      </c>
      <c r="C8" s="58" t="n">
        <f aca="false">B8/B$22*B$24</f>
        <v>0.402314451032217</v>
      </c>
      <c r="D8" s="57" t="s">
        <v>434</v>
      </c>
      <c r="E8" s="59" t="n">
        <f aca="false">IFERROR(INDEX(Correspondance!$D$2:$D$3000,MATCH(A8,Correspondance!$A$2:$A$3000,0)),0)</f>
        <v>9</v>
      </c>
      <c r="F8" s="60" t="n">
        <f aca="false">C8*E8</f>
        <v>3.62083005928995</v>
      </c>
      <c r="G8" s="61"/>
      <c r="I8" s="63"/>
    </row>
    <row r="9" customFormat="false" ht="15.75" hidden="false" customHeight="false" outlineLevel="0" collapsed="false">
      <c r="A9" s="57" t="s">
        <v>1675</v>
      </c>
      <c r="B9" s="57" t="n">
        <v>0.128</v>
      </c>
      <c r="C9" s="58" t="n">
        <f aca="false">B9/B$22*B$24</f>
        <v>0.201157225516108</v>
      </c>
      <c r="D9" s="57" t="s">
        <v>682</v>
      </c>
      <c r="E9" s="59" t="n">
        <f aca="false">IFERROR(INDEX(Correspondance!$D$2:$D$3000,MATCH(A9,Correspondance!$A$2:$A$3000,0)),0)</f>
        <v>2.2</v>
      </c>
      <c r="F9" s="60" t="n">
        <f aca="false">C9*E9</f>
        <v>0.442545896135438</v>
      </c>
      <c r="G9" s="61"/>
      <c r="I9" s="63"/>
    </row>
    <row r="10" customFormat="false" ht="15.75" hidden="false" customHeight="false" outlineLevel="0" collapsed="false">
      <c r="A10" s="57" t="s">
        <v>1919</v>
      </c>
      <c r="B10" s="57" t="n">
        <v>0.051</v>
      </c>
      <c r="C10" s="58" t="n">
        <f aca="false">B10/B$22*B$24</f>
        <v>0.0801485820415744</v>
      </c>
      <c r="D10" s="57" t="s">
        <v>434</v>
      </c>
      <c r="E10" s="59" t="n">
        <f aca="false">IFERROR(INDEX(Correspondance!$D$2:$D$3000,MATCH(A10,Correspondance!$A$2:$A$3000,0)),0)</f>
        <v>2</v>
      </c>
      <c r="F10" s="60" t="n">
        <f aca="false">C10*E10</f>
        <v>0.160297164083149</v>
      </c>
      <c r="G10" s="61"/>
      <c r="I10" s="63"/>
    </row>
    <row r="11" customFormat="false" ht="15.75" hidden="false" customHeight="false" outlineLevel="0" collapsed="false">
      <c r="A11" s="57" t="s">
        <v>1703</v>
      </c>
      <c r="B11" s="57"/>
      <c r="C11" s="58" t="n">
        <f aca="false">B11/B$22*B$24</f>
        <v>0</v>
      </c>
      <c r="D11" s="57" t="s">
        <v>434</v>
      </c>
      <c r="E11" s="59" t="n">
        <f aca="false">IFERROR(INDEX(Correspondance!$D$2:$D$3000,MATCH(A11,Correspondance!$A$2:$A$3000,0)),0)</f>
        <v>16</v>
      </c>
      <c r="F11" s="60" t="n">
        <f aca="false">C11*E11</f>
        <v>0</v>
      </c>
      <c r="G11" s="61"/>
      <c r="I11" s="63"/>
    </row>
    <row r="12" customFormat="false" ht="18.75" hidden="false" customHeight="true" outlineLevel="0" collapsed="false">
      <c r="A12" s="57"/>
      <c r="B12" s="64"/>
      <c r="C12" s="58" t="n">
        <f aca="false">B12/B$22*B$24</f>
        <v>0</v>
      </c>
      <c r="D12" s="57"/>
      <c r="E12" s="65" t="n">
        <f aca="false">IFERROR(INDEX(Correspondance!$D$2:$D$3000,MATCH(A12,Correspondance!$A$2:$A$3000,0)),0)</f>
        <v>0</v>
      </c>
      <c r="F12" s="60" t="n">
        <f aca="false">C12*E12</f>
        <v>0</v>
      </c>
      <c r="G12" s="61"/>
      <c r="I12" s="63"/>
    </row>
    <row r="13" customFormat="false" ht="18.75" hidden="false" customHeight="true" outlineLevel="0" collapsed="false">
      <c r="A13" s="57"/>
      <c r="B13" s="64"/>
      <c r="C13" s="58" t="n">
        <f aca="false">B13/B$22*B$24</f>
        <v>0</v>
      </c>
      <c r="D13" s="57"/>
      <c r="E13" s="65" t="n">
        <f aca="false">IFERROR(INDEX(Correspondance!$D$2:$D$3000,MATCH(A13,Correspondance!$A$2:$A$3000,0)),0)</f>
        <v>0</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23.0139581398671</v>
      </c>
      <c r="G19" s="61"/>
      <c r="I19" s="63"/>
    </row>
    <row r="20" customFormat="false" ht="18.75" hidden="false" customHeight="true" outlineLevel="0" collapsed="false">
      <c r="A20" s="68" t="s">
        <v>2628</v>
      </c>
      <c r="B20" s="69" t="n">
        <f aca="false">F19/B24</f>
        <v>0.209217801271519</v>
      </c>
      <c r="C20" s="70"/>
      <c r="G20" s="61"/>
      <c r="I20" s="63"/>
    </row>
    <row r="21" customFormat="false" ht="15.75" hidden="false" customHeight="false" outlineLevel="0" collapsed="false">
      <c r="A21" s="71" t="s">
        <v>2629</v>
      </c>
      <c r="B21" s="71" t="n">
        <f aca="false">SUM(B3:B18)</f>
        <v>13.999</v>
      </c>
      <c r="C21" s="66"/>
      <c r="G21" s="61"/>
      <c r="I21" s="63"/>
    </row>
    <row r="22" customFormat="false" ht="15.75" hidden="false" customHeight="false" outlineLevel="0" collapsed="false">
      <c r="A22" s="0" t="s">
        <v>2630</v>
      </c>
      <c r="B22" s="72" t="n">
        <f aca="false">B21/B23</f>
        <v>69.995</v>
      </c>
      <c r="C22" s="66"/>
      <c r="G22" s="61"/>
      <c r="I22" s="63"/>
    </row>
    <row r="23" customFormat="false" ht="15.75" hidden="false" customHeight="false" outlineLevel="0" collapsed="false">
      <c r="A23" s="0" t="s">
        <v>2631</v>
      </c>
      <c r="B23" s="0" t="n">
        <v>0.2</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307</v>
      </c>
      <c r="B1" s="50"/>
      <c r="C1" s="50"/>
      <c r="D1" s="50"/>
      <c r="E1" s="51" t="s">
        <v>2619</v>
      </c>
      <c r="F1" s="51"/>
      <c r="G1" s="52" t="s">
        <v>2986</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1173</v>
      </c>
      <c r="B4" s="57" t="n">
        <v>4.96</v>
      </c>
      <c r="C4" s="58" t="n">
        <f aca="false">B4/B$22*B$24</f>
        <v>7.78872234118487</v>
      </c>
      <c r="D4" s="57" t="s">
        <v>434</v>
      </c>
      <c r="E4" s="59" t="n">
        <f aca="false">IFERROR(INDEX(Correspondance!$D$2:$D$3000,MATCH(A4,Correspondance!$A$2:$A$3000,0)),0)</f>
        <v>1.9</v>
      </c>
      <c r="F4" s="60" t="n">
        <f aca="false">C4*E4</f>
        <v>14.7985724482512</v>
      </c>
      <c r="G4" s="61" t="s">
        <v>2987</v>
      </c>
    </row>
    <row r="5" customFormat="false" ht="15.75" hidden="false" customHeight="false" outlineLevel="0" collapsed="false">
      <c r="A5" s="57" t="s">
        <v>1459</v>
      </c>
      <c r="B5" s="57" t="n">
        <v>5.79</v>
      </c>
      <c r="C5" s="58" t="n">
        <f aca="false">B5/B$22*B$24</f>
        <v>9.09207708779443</v>
      </c>
      <c r="D5" s="57" t="s">
        <v>682</v>
      </c>
      <c r="E5" s="59" t="n">
        <f aca="false">IFERROR(INDEX(Correspondance!$D$2:$D$3000,MATCH(A5,Correspondance!$A$2:$A$3000,0)),0)</f>
        <v>0</v>
      </c>
      <c r="F5" s="60" t="n">
        <f aca="false">C5*E5</f>
        <v>0</v>
      </c>
      <c r="G5" s="61"/>
      <c r="I5" s="62"/>
    </row>
    <row r="6" customFormat="false" ht="15.75" hidden="false" customHeight="false" outlineLevel="0" collapsed="false">
      <c r="A6" s="57" t="s">
        <v>1856</v>
      </c>
      <c r="B6" s="57" t="n">
        <v>2.07</v>
      </c>
      <c r="C6" s="58" t="n">
        <f aca="false">B6/B$22*B$24</f>
        <v>3.25053533190578</v>
      </c>
      <c r="D6" s="57" t="s">
        <v>434</v>
      </c>
      <c r="E6" s="59" t="n">
        <f aca="false">IFERROR(INDEX(Correspondance!$D$2:$D$3000,MATCH(A6,Correspondance!$A$2:$A$3000,0)),0)</f>
        <v>1.5</v>
      </c>
      <c r="F6" s="60" t="n">
        <f aca="false">C6*E6</f>
        <v>4.87580299785867</v>
      </c>
      <c r="G6" s="61"/>
      <c r="I6" s="63"/>
    </row>
    <row r="7" customFormat="false" ht="15.75" hidden="false" customHeight="false" outlineLevel="0" collapsed="false">
      <c r="A7" s="57" t="s">
        <v>1197</v>
      </c>
      <c r="B7" s="57" t="n">
        <v>0.165</v>
      </c>
      <c r="C7" s="58" t="n">
        <f aca="false">B7/B$22*B$24</f>
        <v>0.259100642398287</v>
      </c>
      <c r="D7" s="57" t="s">
        <v>434</v>
      </c>
      <c r="E7" s="59" t="n">
        <f aca="false">IFERROR(INDEX(Correspondance!$D$2:$D$3000,MATCH(A7,Correspondance!$A$2:$A$3000,0)),0)</f>
        <v>2.6</v>
      </c>
      <c r="F7" s="60" t="n">
        <f aca="false">C7*E7</f>
        <v>0.673661670235546</v>
      </c>
      <c r="G7" s="61"/>
      <c r="I7" s="63"/>
    </row>
    <row r="8" customFormat="false" ht="15.75" hidden="false" customHeight="false" outlineLevel="0" collapsed="false">
      <c r="A8" s="57" t="s">
        <v>1001</v>
      </c>
      <c r="B8" s="57" t="n">
        <v>0.661</v>
      </c>
      <c r="C8" s="58" t="n">
        <f aca="false">B8/B$22*B$24</f>
        <v>1.03797287651677</v>
      </c>
      <c r="D8" s="57" t="s">
        <v>434</v>
      </c>
      <c r="E8" s="59" t="n">
        <f aca="false">IFERROR(INDEX(Correspondance!$D$2:$D$3000,MATCH(A8,Correspondance!$A$2:$A$3000,0)),0)</f>
        <v>1.8</v>
      </c>
      <c r="F8" s="60" t="n">
        <f aca="false">C8*E8</f>
        <v>1.86835117773019</v>
      </c>
      <c r="G8" s="61"/>
      <c r="I8" s="63"/>
    </row>
    <row r="9" customFormat="false" ht="15.75" hidden="false" customHeight="false" outlineLevel="0" collapsed="false">
      <c r="A9" s="57" t="s">
        <v>894</v>
      </c>
      <c r="B9" s="57" t="n">
        <v>0.041</v>
      </c>
      <c r="C9" s="58" t="n">
        <f aca="false">B9/B$22*B$24</f>
        <v>0.0643825838686652</v>
      </c>
      <c r="D9" s="57" t="s">
        <v>434</v>
      </c>
      <c r="E9" s="59" t="n">
        <f aca="false">IFERROR(INDEX(Correspondance!$D$2:$D$3000,MATCH(A9,Correspondance!$A$2:$A$3000,0)),0)</f>
        <v>5.5</v>
      </c>
      <c r="F9" s="60" t="n">
        <f aca="false">C9*E9</f>
        <v>0.354104211277659</v>
      </c>
      <c r="G9" s="61"/>
      <c r="I9" s="63"/>
    </row>
    <row r="10" customFormat="false" ht="15.75" hidden="false" customHeight="false" outlineLevel="0" collapsed="false">
      <c r="A10" s="57" t="s">
        <v>1120</v>
      </c>
      <c r="B10" s="57" t="n">
        <v>0.165</v>
      </c>
      <c r="C10" s="58" t="n">
        <f aca="false">B10/B$22*B$24</f>
        <v>0.259100642398287</v>
      </c>
      <c r="D10" s="57" t="s">
        <v>682</v>
      </c>
      <c r="E10" s="59" t="n">
        <f aca="false">IFERROR(INDEX(Correspondance!$D$2:$D$3000,MATCH(A10,Correspondance!$A$2:$A$3000,0)),0)</f>
        <v>7.5</v>
      </c>
      <c r="F10" s="60" t="n">
        <f aca="false">C10*E10</f>
        <v>1.94325481798715</v>
      </c>
      <c r="G10" s="61"/>
      <c r="I10" s="63"/>
    </row>
    <row r="11" customFormat="false" ht="15.75" hidden="false" customHeight="false" outlineLevel="0" collapsed="false">
      <c r="A11" s="57" t="s">
        <v>1100</v>
      </c>
      <c r="B11" s="57" t="n">
        <v>0.083</v>
      </c>
      <c r="C11" s="58" t="n">
        <f aca="false">B11/B$22*B$24</f>
        <v>0.130335474660956</v>
      </c>
      <c r="D11" s="57" t="s">
        <v>434</v>
      </c>
      <c r="E11" s="59" t="n">
        <f aca="false">IFERROR(INDEX(Correspondance!$D$2:$D$3000,MATCH(A11,Correspondance!$A$2:$A$3000,0)),0)</f>
        <v>10</v>
      </c>
      <c r="F11" s="60" t="n">
        <f aca="false">C11*E11</f>
        <v>1.30335474660956</v>
      </c>
      <c r="G11" s="61"/>
      <c r="I11" s="63"/>
    </row>
    <row r="12" customFormat="false" ht="18.75" hidden="false" customHeight="true" outlineLevel="0" collapsed="false">
      <c r="A12" s="57" t="s">
        <v>1919</v>
      </c>
      <c r="B12" s="64" t="n">
        <v>0.05</v>
      </c>
      <c r="C12" s="58" t="n">
        <f aca="false">B12/B$22*B$24</f>
        <v>0.0785153461812991</v>
      </c>
      <c r="D12" s="57" t="s">
        <v>434</v>
      </c>
      <c r="E12" s="59" t="n">
        <f aca="false">IFERROR(INDEX(Correspondance!$D$2:$D$3000,MATCH(A12,Correspondance!$A$2:$A$3000,0)),0)</f>
        <v>2</v>
      </c>
      <c r="F12" s="60" t="n">
        <f aca="false">C12*E12</f>
        <v>0.157030692362598</v>
      </c>
      <c r="G12" s="61"/>
      <c r="I12" s="63"/>
    </row>
    <row r="13" customFormat="false" ht="18.75" hidden="false" customHeight="true" outlineLevel="0" collapsed="false">
      <c r="A13" s="57" t="s">
        <v>1937</v>
      </c>
      <c r="B13" s="64" t="n">
        <v>0.025</v>
      </c>
      <c r="C13" s="58" t="n">
        <f aca="false">B13/B$22*B$24</f>
        <v>0.0392576730906495</v>
      </c>
      <c r="D13" s="57" t="s">
        <v>434</v>
      </c>
      <c r="E13" s="59" t="n">
        <f aca="false">IFERROR(INDEX(Correspondance!$D$2:$D$3000,MATCH(A13,Correspondance!$A$2:$A$3000,0)),0)</f>
        <v>1.3</v>
      </c>
      <c r="F13" s="60" t="n">
        <f aca="false">C13*E13</f>
        <v>0.0510349750178444</v>
      </c>
      <c r="G13" s="61"/>
      <c r="I13" s="63"/>
    </row>
    <row r="14" customFormat="false" ht="15.75" hidden="false" customHeight="false" outlineLevel="0" collapsed="false">
      <c r="A14" s="57" t="s">
        <v>1664</v>
      </c>
      <c r="B14" s="57"/>
      <c r="C14" s="58" t="n">
        <f aca="false">B14/B$22*B$24</f>
        <v>0</v>
      </c>
      <c r="D14" s="57" t="s">
        <v>434</v>
      </c>
      <c r="E14" s="59" t="n">
        <f aca="false">IFERROR(INDEX(Correspondance!$D$2:$D$3000,MATCH(A14,Correspondance!$A$2:$A$3000,0)),0)</f>
        <v>11</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26.0251677373305</v>
      </c>
      <c r="G19" s="61"/>
      <c r="I19" s="63"/>
    </row>
    <row r="20" customFormat="false" ht="18.75" hidden="false" customHeight="true" outlineLevel="0" collapsed="false">
      <c r="A20" s="68" t="s">
        <v>2628</v>
      </c>
      <c r="B20" s="69" t="n">
        <f aca="false">F19/B24</f>
        <v>0.236592433975732</v>
      </c>
      <c r="C20" s="70"/>
      <c r="G20" s="61"/>
      <c r="I20" s="63"/>
    </row>
    <row r="21" customFormat="false" ht="15.75" hidden="false" customHeight="false" outlineLevel="0" collapsed="false">
      <c r="A21" s="71" t="s">
        <v>2629</v>
      </c>
      <c r="B21" s="71" t="n">
        <f aca="false">SUM(B3:B18)</f>
        <v>14.01</v>
      </c>
      <c r="C21" s="66"/>
      <c r="G21" s="61"/>
      <c r="I21" s="63"/>
    </row>
    <row r="22" customFormat="false" ht="15.75" hidden="false" customHeight="false" outlineLevel="0" collapsed="false">
      <c r="A22" s="0" t="s">
        <v>2630</v>
      </c>
      <c r="B22" s="72" t="n">
        <f aca="false">B21/B23</f>
        <v>70.05</v>
      </c>
      <c r="C22" s="66"/>
      <c r="G22" s="61"/>
      <c r="I22" s="63"/>
    </row>
    <row r="23" customFormat="false" ht="15.75" hidden="false" customHeight="false" outlineLevel="0" collapsed="false">
      <c r="A23" s="0" t="s">
        <v>2631</v>
      </c>
      <c r="B23" s="0" t="n">
        <v>0.2</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308</v>
      </c>
      <c r="B1" s="50"/>
      <c r="C1" s="50"/>
      <c r="D1" s="50"/>
      <c r="E1" s="51" t="s">
        <v>2619</v>
      </c>
      <c r="F1" s="51"/>
      <c r="G1" s="52" t="s">
        <v>2988</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1175</v>
      </c>
      <c r="B4" s="57" t="n">
        <v>5.13</v>
      </c>
      <c r="C4" s="58" t="n">
        <f aca="false">B4/B$22*B$24</f>
        <v>8.06270836640737</v>
      </c>
      <c r="D4" s="57" t="s">
        <v>434</v>
      </c>
      <c r="E4" s="59" t="n">
        <f aca="false">IFERROR(INDEX(Correspondance!$D$2:$D$3000,MATCH(A4,Correspondance!$A$2:$A$3000,0)),0)</f>
        <v>1.5</v>
      </c>
      <c r="F4" s="60" t="n">
        <f aca="false">C4*E4</f>
        <v>12.0940625496111</v>
      </c>
      <c r="G4" s="61" t="s">
        <v>2989</v>
      </c>
    </row>
    <row r="5" customFormat="false" ht="15.75" hidden="false" customHeight="false" outlineLevel="0" collapsed="false">
      <c r="A5" s="57" t="s">
        <v>1459</v>
      </c>
      <c r="B5" s="57" t="n">
        <v>6.41</v>
      </c>
      <c r="C5" s="58" t="n">
        <f aca="false">B5/B$22*B$24</f>
        <v>10.0744562628989</v>
      </c>
      <c r="D5" s="57" t="s">
        <v>682</v>
      </c>
      <c r="E5" s="59" t="n">
        <f aca="false">IFERROR(INDEX(Correspondance!$D$2:$D$3000,MATCH(A5,Correspondance!$A$2:$A$3000,0)),0)</f>
        <v>0</v>
      </c>
      <c r="F5" s="60" t="n">
        <f aca="false">C5*E5</f>
        <v>0</v>
      </c>
      <c r="G5" s="61"/>
      <c r="I5" s="62"/>
    </row>
    <row r="6" customFormat="false" ht="15.75" hidden="false" customHeight="false" outlineLevel="0" collapsed="false">
      <c r="A6" s="57" t="s">
        <v>1120</v>
      </c>
      <c r="B6" s="57" t="n">
        <v>0.256</v>
      </c>
      <c r="C6" s="58" t="n">
        <f aca="false">B6/B$22*B$24</f>
        <v>0.402349579298301</v>
      </c>
      <c r="D6" s="57" t="s">
        <v>682</v>
      </c>
      <c r="E6" s="59" t="n">
        <f aca="false">IFERROR(INDEX(Correspondance!$D$2:$D$3000,MATCH(A6,Correspondance!$A$2:$A$3000,0)),0)</f>
        <v>7.5</v>
      </c>
      <c r="F6" s="60" t="n">
        <f aca="false">C6*E6</f>
        <v>3.01762184473726</v>
      </c>
      <c r="G6" s="61"/>
      <c r="I6" s="63"/>
    </row>
    <row r="7" customFormat="false" ht="15.75" hidden="false" customHeight="false" outlineLevel="0" collapsed="false">
      <c r="A7" s="57" t="s">
        <v>1491</v>
      </c>
      <c r="B7" s="57" t="n">
        <v>0.256</v>
      </c>
      <c r="C7" s="58" t="n">
        <f aca="false">B7/B$22*B$24</f>
        <v>0.402349579298301</v>
      </c>
      <c r="D7" s="57" t="s">
        <v>434</v>
      </c>
      <c r="E7" s="59" t="n">
        <f aca="false">IFERROR(INDEX(Correspondance!$D$2:$D$3000,MATCH(A7,Correspondance!$A$2:$A$3000,0)),0)</f>
        <v>9</v>
      </c>
      <c r="F7" s="60" t="n">
        <f aca="false">C7*E7</f>
        <v>3.62114621368471</v>
      </c>
      <c r="G7" s="61"/>
      <c r="I7" s="63"/>
    </row>
    <row r="8" customFormat="false" ht="15.75" hidden="false" customHeight="false" outlineLevel="0" collapsed="false">
      <c r="A8" s="57" t="s">
        <v>1919</v>
      </c>
      <c r="B8" s="57" t="n">
        <v>0.051</v>
      </c>
      <c r="C8" s="58" t="n">
        <f aca="false">B8/B$22*B$24</f>
        <v>0.0801555802508335</v>
      </c>
      <c r="D8" s="57" t="s">
        <v>434</v>
      </c>
      <c r="E8" s="59" t="n">
        <f aca="false">IFERROR(INDEX(Correspondance!$D$2:$D$3000,MATCH(A8,Correspondance!$A$2:$A$3000,0)),0)</f>
        <v>2</v>
      </c>
      <c r="F8" s="60" t="n">
        <f aca="false">C8*E8</f>
        <v>0.160311160501667</v>
      </c>
      <c r="G8" s="61"/>
      <c r="I8" s="63"/>
    </row>
    <row r="9" customFormat="false" ht="15.75" hidden="false" customHeight="false" outlineLevel="0" collapsed="false">
      <c r="A9" s="57" t="s">
        <v>1100</v>
      </c>
      <c r="B9" s="57" t="n">
        <v>0.068</v>
      </c>
      <c r="C9" s="58" t="n">
        <f aca="false">B9/B$22*B$24</f>
        <v>0.106874107001111</v>
      </c>
      <c r="D9" s="57" t="s">
        <v>434</v>
      </c>
      <c r="E9" s="59" t="n">
        <f aca="false">IFERROR(INDEX(Correspondance!$D$2:$D$3000,MATCH(A9,Correspondance!$A$2:$A$3000,0)),0)</f>
        <v>10</v>
      </c>
      <c r="F9" s="60" t="n">
        <f aca="false">C9*E9</f>
        <v>1.06874107001111</v>
      </c>
      <c r="G9" s="61"/>
      <c r="I9" s="63"/>
    </row>
    <row r="10" customFormat="false" ht="15.75" hidden="false" customHeight="false" outlineLevel="0" collapsed="false">
      <c r="A10" s="57" t="s">
        <v>1876</v>
      </c>
      <c r="B10" s="57" t="n">
        <v>0.427</v>
      </c>
      <c r="C10" s="58" t="n">
        <f aca="false">B10/B$22*B$24</f>
        <v>0.671106524845213</v>
      </c>
      <c r="D10" s="57" t="s">
        <v>434</v>
      </c>
      <c r="E10" s="59" t="n">
        <f aca="false">IFERROR(INDEX(Correspondance!$D$2:$D$3000,MATCH(A10,Correspondance!$A$2:$A$3000,0)),0)</f>
        <v>5</v>
      </c>
      <c r="F10" s="60" t="n">
        <f aca="false">C10*E10</f>
        <v>3.35553262422607</v>
      </c>
      <c r="G10" s="61"/>
      <c r="I10" s="63"/>
    </row>
    <row r="11" customFormat="false" ht="15.75" hidden="false" customHeight="false" outlineLevel="0" collapsed="false">
      <c r="A11" s="57" t="s">
        <v>1878</v>
      </c>
      <c r="B11" s="57"/>
      <c r="C11" s="58" t="n">
        <f aca="false">B11/B$22*B$24</f>
        <v>0</v>
      </c>
      <c r="D11" s="57" t="s">
        <v>434</v>
      </c>
      <c r="E11" s="59" t="n">
        <f aca="false">IFERROR(INDEX(Correspondance!$D$2:$D$3000,MATCH(A11,Correspondance!$A$2:$A$3000,0)),0)</f>
        <v>14</v>
      </c>
      <c r="F11" s="60" t="n">
        <f aca="false">C11*E11</f>
        <v>0</v>
      </c>
      <c r="G11" s="61"/>
      <c r="I11" s="63"/>
    </row>
    <row r="12" customFormat="false" ht="18.75" hidden="false" customHeight="true" outlineLevel="0" collapsed="false">
      <c r="A12" s="57"/>
      <c r="B12" s="64"/>
      <c r="C12" s="58" t="n">
        <f aca="false">B12/B$22*B$24</f>
        <v>0</v>
      </c>
      <c r="D12" s="57"/>
      <c r="E12" s="65" t="n">
        <f aca="false">IFERROR(INDEX(Correspondance!$D$2:$D$3000,MATCH(A12,Correspondance!$A$2:$A$3000,0)),0)</f>
        <v>0</v>
      </c>
      <c r="F12" s="60" t="n">
        <f aca="false">C12*E12</f>
        <v>0</v>
      </c>
      <c r="G12" s="61"/>
      <c r="I12" s="63"/>
    </row>
    <row r="13" customFormat="false" ht="18.75" hidden="false" customHeight="true" outlineLevel="0" collapsed="false">
      <c r="A13" s="57"/>
      <c r="B13" s="64"/>
      <c r="C13" s="58" t="n">
        <f aca="false">B13/B$22*B$24</f>
        <v>0</v>
      </c>
      <c r="D13" s="57"/>
      <c r="E13" s="65" t="n">
        <f aca="false">IFERROR(INDEX(Correspondance!$D$2:$D$3000,MATCH(A13,Correspondance!$A$2:$A$3000,0)),0)</f>
        <v>0</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23.3174154627719</v>
      </c>
      <c r="G19" s="61"/>
      <c r="I19" s="63"/>
    </row>
    <row r="20" customFormat="false" ht="18.75" hidden="false" customHeight="true" outlineLevel="0" collapsed="false">
      <c r="A20" s="68" t="s">
        <v>2628</v>
      </c>
      <c r="B20" s="69" t="n">
        <f aca="false">F19/B24</f>
        <v>0.211976504207017</v>
      </c>
      <c r="C20" s="70"/>
      <c r="G20" s="61"/>
      <c r="I20" s="63"/>
    </row>
    <row r="21" customFormat="false" ht="15.75" hidden="false" customHeight="false" outlineLevel="0" collapsed="false">
      <c r="A21" s="71" t="s">
        <v>2629</v>
      </c>
      <c r="B21" s="71" t="n">
        <f aca="false">SUM(B3:B18)</f>
        <v>12.598</v>
      </c>
      <c r="C21" s="66"/>
      <c r="G21" s="61"/>
      <c r="I21" s="63"/>
    </row>
    <row r="22" customFormat="false" ht="15.75" hidden="false" customHeight="false" outlineLevel="0" collapsed="false">
      <c r="A22" s="0" t="s">
        <v>2630</v>
      </c>
      <c r="B22" s="72" t="n">
        <f aca="false">B21/B23</f>
        <v>69.9888888888889</v>
      </c>
      <c r="C22" s="66"/>
      <c r="G22" s="61"/>
      <c r="I22" s="63"/>
    </row>
    <row r="23" customFormat="false" ht="15.75" hidden="false" customHeight="false" outlineLevel="0" collapsed="false">
      <c r="A23" s="0" t="s">
        <v>2631</v>
      </c>
      <c r="B23" s="0" t="n">
        <v>0.18</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309</v>
      </c>
      <c r="B1" s="50"/>
      <c r="C1" s="50"/>
      <c r="D1" s="50"/>
      <c r="E1" s="51" t="s">
        <v>2619</v>
      </c>
      <c r="F1" s="51"/>
      <c r="G1" s="52" t="s">
        <v>2990</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975</v>
      </c>
      <c r="B4" s="57" t="n">
        <v>9.35</v>
      </c>
      <c r="C4" s="58" t="n">
        <f aca="false">B4/B$22*B$24</f>
        <v>14.6942565958663</v>
      </c>
      <c r="D4" s="57" t="s">
        <v>434</v>
      </c>
      <c r="E4" s="59" t="n">
        <f aca="false">IFERROR(INDEX(Correspondance!$D$2:$D$3000,MATCH(A4,Correspondance!$A$2:$A$3000,0)),0)</f>
        <v>2.8</v>
      </c>
      <c r="F4" s="60" t="n">
        <f aca="false">C4*E4</f>
        <v>41.1439184684256</v>
      </c>
      <c r="G4" s="61" t="s">
        <v>2991</v>
      </c>
    </row>
    <row r="5" customFormat="false" ht="15.75" hidden="false" customHeight="false" outlineLevel="0" collapsed="false">
      <c r="A5" s="57" t="s">
        <v>1491</v>
      </c>
      <c r="B5" s="57" t="n">
        <v>0.374</v>
      </c>
      <c r="C5" s="58" t="n">
        <f aca="false">B5/B$22*B$24</f>
        <v>0.587770263834651</v>
      </c>
      <c r="D5" s="57" t="s">
        <v>434</v>
      </c>
      <c r="E5" s="59" t="n">
        <f aca="false">IFERROR(INDEX(Correspondance!$D$2:$D$3000,MATCH(A5,Correspondance!$A$2:$A$3000,0)),0)</f>
        <v>9</v>
      </c>
      <c r="F5" s="60" t="n">
        <f aca="false">C5*E5</f>
        <v>5.28993237451186</v>
      </c>
      <c r="G5" s="61"/>
      <c r="I5" s="62"/>
    </row>
    <row r="6" customFormat="false" ht="15.75" hidden="false" customHeight="false" outlineLevel="0" collapsed="false">
      <c r="A6" s="57" t="s">
        <v>1675</v>
      </c>
      <c r="B6" s="57" t="n">
        <v>0.093</v>
      </c>
      <c r="C6" s="58" t="n">
        <f aca="false">B6/B$22*B$24</f>
        <v>0.146156776835889</v>
      </c>
      <c r="D6" s="57" t="s">
        <v>682</v>
      </c>
      <c r="E6" s="59" t="n">
        <f aca="false">IFERROR(INDEX(Correspondance!$D$2:$D$3000,MATCH(A6,Correspondance!$A$2:$A$3000,0)),0)</f>
        <v>2.2</v>
      </c>
      <c r="F6" s="60" t="n">
        <f aca="false">C6*E6</f>
        <v>0.321544909038956</v>
      </c>
      <c r="G6" s="61"/>
      <c r="I6" s="63"/>
    </row>
    <row r="7" customFormat="false" ht="15.75" hidden="false" customHeight="false" outlineLevel="0" collapsed="false">
      <c r="A7" s="57" t="s">
        <v>1001</v>
      </c>
      <c r="B7" s="57" t="n">
        <v>0.467</v>
      </c>
      <c r="C7" s="58" t="n">
        <f aca="false">B7/B$22*B$24</f>
        <v>0.73392704067054</v>
      </c>
      <c r="D7" s="57" t="s">
        <v>434</v>
      </c>
      <c r="E7" s="59" t="n">
        <f aca="false">IFERROR(INDEX(Correspondance!$D$2:$D$3000,MATCH(A7,Correspondance!$A$2:$A$3000,0)),0)</f>
        <v>1.8</v>
      </c>
      <c r="F7" s="60" t="n">
        <f aca="false">C7*E7</f>
        <v>1.32106867320697</v>
      </c>
      <c r="G7" s="61"/>
      <c r="I7" s="63"/>
    </row>
    <row r="8" customFormat="false" ht="15.75" hidden="false" customHeight="false" outlineLevel="0" collapsed="false">
      <c r="A8" s="57" t="s">
        <v>894</v>
      </c>
      <c r="B8" s="57" t="n">
        <v>0.047</v>
      </c>
      <c r="C8" s="58" t="n">
        <f aca="false">B8/B$22*B$24</f>
        <v>0.0738641775407182</v>
      </c>
      <c r="D8" s="57" t="s">
        <v>434</v>
      </c>
      <c r="E8" s="59" t="n">
        <f aca="false">IFERROR(INDEX(Correspondance!$D$2:$D$3000,MATCH(A8,Correspondance!$A$2:$A$3000,0)),0)</f>
        <v>5.5</v>
      </c>
      <c r="F8" s="60" t="n">
        <f aca="false">C8*E8</f>
        <v>0.40625297647395</v>
      </c>
      <c r="G8" s="61"/>
      <c r="I8" s="63"/>
    </row>
    <row r="9" customFormat="false" ht="15.75" hidden="false" customHeight="false" outlineLevel="0" collapsed="false">
      <c r="A9" s="57" t="s">
        <v>1007</v>
      </c>
      <c r="B9" s="57" t="n">
        <v>0.093</v>
      </c>
      <c r="C9" s="58" t="n">
        <f aca="false">B9/B$22*B$24</f>
        <v>0.146156776835889</v>
      </c>
      <c r="D9" s="57" t="s">
        <v>434</v>
      </c>
      <c r="E9" s="59" t="n">
        <f aca="false">IFERROR(INDEX(Correspondance!$D$2:$D$3000,MATCH(A9,Correspondance!$A$2:$A$3000,0)),0)</f>
        <v>8</v>
      </c>
      <c r="F9" s="60" t="n">
        <f aca="false">C9*E9</f>
        <v>1.16925421468711</v>
      </c>
      <c r="G9" s="61"/>
      <c r="I9" s="63"/>
    </row>
    <row r="10" customFormat="false" ht="15.75" hidden="false" customHeight="false" outlineLevel="0" collapsed="false">
      <c r="A10" s="57" t="s">
        <v>1919</v>
      </c>
      <c r="B10" s="57" t="n">
        <v>0.075</v>
      </c>
      <c r="C10" s="58" t="n">
        <f aca="false">B10/B$22*B$24</f>
        <v>0.11786836841604</v>
      </c>
      <c r="D10" s="57" t="s">
        <v>434</v>
      </c>
      <c r="E10" s="59" t="n">
        <f aca="false">IFERROR(INDEX(Correspondance!$D$2:$D$3000,MATCH(A10,Correspondance!$A$2:$A$3000,0)),0)</f>
        <v>2</v>
      </c>
      <c r="F10" s="60" t="n">
        <f aca="false">C10*E10</f>
        <v>0.235736736832079</v>
      </c>
      <c r="G10" s="61"/>
      <c r="I10" s="63"/>
    </row>
    <row r="11" customFormat="false" ht="15.75" hidden="false" customHeight="false" outlineLevel="0" collapsed="false">
      <c r="A11" s="57" t="s">
        <v>1814</v>
      </c>
      <c r="B11" s="57"/>
      <c r="C11" s="58" t="n">
        <f aca="false">B11/B$22*B$24</f>
        <v>0</v>
      </c>
      <c r="D11" s="57" t="s">
        <v>434</v>
      </c>
      <c r="E11" s="59" t="n">
        <f aca="false">IFERROR(INDEX(Correspondance!$D$2:$D$3000,MATCH(A11,Correspondance!$A$2:$A$3000,0)),0)</f>
        <v>18</v>
      </c>
      <c r="F11" s="60" t="n">
        <f aca="false">C11*E11</f>
        <v>0</v>
      </c>
      <c r="G11" s="61"/>
      <c r="I11" s="63"/>
    </row>
    <row r="12" customFormat="false" ht="18.75" hidden="false" customHeight="true" outlineLevel="0" collapsed="false">
      <c r="A12" s="57"/>
      <c r="B12" s="64"/>
      <c r="C12" s="58" t="n">
        <f aca="false">B12/B$22*B$24</f>
        <v>0</v>
      </c>
      <c r="D12" s="57"/>
      <c r="E12" s="65" t="n">
        <f aca="false">IFERROR(INDEX(Correspondance!$D$2:$D$3000,MATCH(A12,Correspondance!$A$2:$A$3000,0)),0)</f>
        <v>0</v>
      </c>
      <c r="F12" s="60" t="n">
        <f aca="false">C12*E12</f>
        <v>0</v>
      </c>
      <c r="G12" s="61"/>
      <c r="I12" s="63"/>
    </row>
    <row r="13" customFormat="false" ht="18.75" hidden="false" customHeight="true" outlineLevel="0" collapsed="false">
      <c r="A13" s="57"/>
      <c r="B13" s="64"/>
      <c r="C13" s="58" t="n">
        <f aca="false">B13/B$22*B$24</f>
        <v>0</v>
      </c>
      <c r="D13" s="57"/>
      <c r="E13" s="65" t="n">
        <f aca="false">IFERROR(INDEX(Correspondance!$D$2:$D$3000,MATCH(A13,Correspondance!$A$2:$A$3000,0)),0)</f>
        <v>0</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49.8877083531765</v>
      </c>
      <c r="G19" s="61"/>
      <c r="I19" s="63"/>
    </row>
    <row r="20" customFormat="false" ht="18.75" hidden="false" customHeight="true" outlineLevel="0" collapsed="false">
      <c r="A20" s="68" t="s">
        <v>2628</v>
      </c>
      <c r="B20" s="69" t="n">
        <f aca="false">F19/B24</f>
        <v>0.453524621392514</v>
      </c>
      <c r="C20" s="70"/>
      <c r="G20" s="61"/>
      <c r="I20" s="63"/>
    </row>
    <row r="21" customFormat="false" ht="15.75" hidden="false" customHeight="false" outlineLevel="0" collapsed="false">
      <c r="A21" s="71" t="s">
        <v>2629</v>
      </c>
      <c r="B21" s="71" t="n">
        <f aca="false">SUM(B3:B18)</f>
        <v>10.499</v>
      </c>
      <c r="C21" s="66"/>
      <c r="G21" s="61"/>
      <c r="I21" s="63"/>
    </row>
    <row r="22" customFormat="false" ht="15.75" hidden="false" customHeight="false" outlineLevel="0" collapsed="false">
      <c r="A22" s="0" t="s">
        <v>2630</v>
      </c>
      <c r="B22" s="72" t="n">
        <f aca="false">B21/B23</f>
        <v>69.9933333333333</v>
      </c>
      <c r="C22" s="66"/>
      <c r="G22" s="61"/>
      <c r="I22" s="63"/>
    </row>
    <row r="23" customFormat="false" ht="15.75" hidden="false" customHeight="false" outlineLevel="0" collapsed="false">
      <c r="A23" s="0" t="s">
        <v>2631</v>
      </c>
      <c r="B23" s="0" t="n">
        <v>0.15</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311</v>
      </c>
      <c r="B1" s="50"/>
      <c r="C1" s="50"/>
      <c r="D1" s="50"/>
      <c r="E1" s="51" t="s">
        <v>2619</v>
      </c>
      <c r="F1" s="51"/>
      <c r="G1" s="52" t="s">
        <v>2992</v>
      </c>
    </row>
    <row r="2" customFormat="false" ht="24.75" hidden="false" customHeight="true" outlineLevel="0" collapsed="false">
      <c r="A2" s="50"/>
      <c r="B2" s="50"/>
      <c r="C2" s="50"/>
      <c r="D2" s="50"/>
      <c r="E2" s="53" t="s">
        <v>2636</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1043</v>
      </c>
      <c r="B4" s="57" t="n">
        <v>8.15</v>
      </c>
      <c r="C4" s="58" t="n">
        <f aca="false">B4/B$22*B$24</f>
        <v>12.8083627012096</v>
      </c>
      <c r="D4" s="57" t="s">
        <v>434</v>
      </c>
      <c r="E4" s="59" t="n">
        <f aca="false">IFERROR(INDEX(Correspondance!$D$2:$D$3000,MATCH(A4,Correspondance!$A$2:$A$3000,0)),0)</f>
        <v>3.2</v>
      </c>
      <c r="F4" s="60" t="n">
        <f aca="false">C4*E4</f>
        <v>40.9867606438708</v>
      </c>
      <c r="G4" s="61" t="s">
        <v>2993</v>
      </c>
    </row>
    <row r="5" customFormat="false" ht="15.75" hidden="false" customHeight="false" outlineLevel="0" collapsed="false">
      <c r="A5" s="57" t="s">
        <v>1491</v>
      </c>
      <c r="B5" s="57" t="n">
        <v>0.408</v>
      </c>
      <c r="C5" s="58" t="n">
        <f aca="false">B5/B$22*B$24</f>
        <v>0.641203924183255</v>
      </c>
      <c r="D5" s="57" t="s">
        <v>434</v>
      </c>
      <c r="E5" s="59" t="n">
        <f aca="false">IFERROR(INDEX(Correspondance!$D$2:$D$3000,MATCH(A5,Correspondance!$A$2:$A$3000,0)),0)</f>
        <v>9</v>
      </c>
      <c r="F5" s="60" t="n">
        <f aca="false">C5*E5</f>
        <v>5.7708353176493</v>
      </c>
      <c r="G5" s="61"/>
      <c r="I5" s="62"/>
    </row>
    <row r="6" customFormat="false" ht="15.75" hidden="false" customHeight="false" outlineLevel="0" collapsed="false">
      <c r="A6" s="57" t="s">
        <v>1100</v>
      </c>
      <c r="B6" s="57" t="n">
        <v>0.082</v>
      </c>
      <c r="C6" s="58" t="n">
        <f aca="false">B6/B$22*B$24</f>
        <v>0.12886941613487</v>
      </c>
      <c r="D6" s="57" t="s">
        <v>434</v>
      </c>
      <c r="E6" s="59" t="n">
        <f aca="false">IFERROR(INDEX(Correspondance!$D$2:$D$3000,MATCH(A6,Correspondance!$A$2:$A$3000,0)),0)</f>
        <v>10</v>
      </c>
      <c r="F6" s="60" t="n">
        <f aca="false">C6*E6</f>
        <v>1.2886941613487</v>
      </c>
      <c r="G6" s="61"/>
      <c r="I6" s="63"/>
    </row>
    <row r="7" customFormat="false" ht="15.75" hidden="false" customHeight="false" outlineLevel="0" collapsed="false">
      <c r="A7" s="57" t="s">
        <v>1459</v>
      </c>
      <c r="B7" s="57" t="n">
        <v>0.815</v>
      </c>
      <c r="C7" s="58" t="n">
        <f aca="false">B7/B$22*B$24</f>
        <v>1.28083627012096</v>
      </c>
      <c r="D7" s="57" t="s">
        <v>682</v>
      </c>
      <c r="E7" s="59" t="n">
        <f aca="false">IFERROR(INDEX(Correspondance!$D$2:$D$3000,MATCH(A7,Correspondance!$A$2:$A$3000,0)),0)</f>
        <v>0</v>
      </c>
      <c r="F7" s="60" t="n">
        <f aca="false">C7*E7</f>
        <v>0</v>
      </c>
      <c r="G7" s="61"/>
      <c r="I7" s="63"/>
    </row>
    <row r="8" customFormat="false" ht="15.75" hidden="false" customHeight="false" outlineLevel="0" collapsed="false">
      <c r="A8" s="57" t="s">
        <v>1291</v>
      </c>
      <c r="B8" s="57" t="n">
        <v>0.082</v>
      </c>
      <c r="C8" s="58" t="n">
        <f aca="false">B8/B$22*B$24</f>
        <v>0.12886941613487</v>
      </c>
      <c r="D8" s="57" t="s">
        <v>682</v>
      </c>
      <c r="E8" s="59" t="n">
        <f aca="false">IFERROR(INDEX(Correspondance!$D$2:$D$3000,MATCH(A8,Correspondance!$A$2:$A$3000,0)),0)</f>
        <v>2.5</v>
      </c>
      <c r="F8" s="60" t="n">
        <f aca="false">C8*E8</f>
        <v>0.322173540337175</v>
      </c>
      <c r="G8" s="61"/>
      <c r="I8" s="63"/>
    </row>
    <row r="9" customFormat="false" ht="15.75" hidden="false" customHeight="false" outlineLevel="0" collapsed="false">
      <c r="A9" s="57" t="s">
        <v>1576</v>
      </c>
      <c r="B9" s="57" t="n">
        <v>0.815</v>
      </c>
      <c r="C9" s="58" t="n">
        <f aca="false">B9/B$22*B$24</f>
        <v>1.28083627012096</v>
      </c>
      <c r="D9" s="57" t="s">
        <v>434</v>
      </c>
      <c r="E9" s="59" t="n">
        <f aca="false">IFERROR(INDEX(Correspondance!$D$2:$D$3000,MATCH(A9,Correspondance!$A$2:$A$3000,0)),0)</f>
        <v>5.5</v>
      </c>
      <c r="F9" s="60" t="n">
        <f aca="false">C9*E9</f>
        <v>7.0445994856653</v>
      </c>
      <c r="G9" s="61"/>
      <c r="I9" s="63"/>
    </row>
    <row r="10" customFormat="false" ht="15.75" hidden="false" customHeight="false" outlineLevel="0" collapsed="false">
      <c r="A10" s="57" t="s">
        <v>1007</v>
      </c>
      <c r="B10" s="57" t="n">
        <v>0.082</v>
      </c>
      <c r="C10" s="58" t="n">
        <f aca="false">B10/B$22*B$24</f>
        <v>0.12886941613487</v>
      </c>
      <c r="D10" s="57" t="s">
        <v>434</v>
      </c>
      <c r="E10" s="59" t="n">
        <f aca="false">IFERROR(INDEX(Correspondance!$D$2:$D$3000,MATCH(A10,Correspondance!$A$2:$A$3000,0)),0)</f>
        <v>8</v>
      </c>
      <c r="F10" s="60" t="n">
        <f aca="false">C10*E10</f>
        <v>1.03095532907896</v>
      </c>
      <c r="G10" s="61"/>
      <c r="I10" s="63"/>
    </row>
    <row r="11" customFormat="false" ht="15.75" hidden="false" customHeight="false" outlineLevel="0" collapsed="false">
      <c r="A11" s="57" t="s">
        <v>1919</v>
      </c>
      <c r="B11" s="57" t="n">
        <v>0.065</v>
      </c>
      <c r="C11" s="58" t="n">
        <f aca="false">B11/B$22*B$24</f>
        <v>0.102152585960568</v>
      </c>
      <c r="D11" s="57" t="s">
        <v>434</v>
      </c>
      <c r="E11" s="59" t="n">
        <f aca="false">IFERROR(INDEX(Correspondance!$D$2:$D$3000,MATCH(A11,Correspondance!$A$2:$A$3000,0)),0)</f>
        <v>2</v>
      </c>
      <c r="F11" s="60" t="n">
        <f aca="false">C11*E11</f>
        <v>0.204305171921135</v>
      </c>
      <c r="G11" s="61"/>
      <c r="I11" s="63"/>
    </row>
    <row r="12" customFormat="false" ht="18.75" hidden="false" customHeight="true" outlineLevel="0" collapsed="false">
      <c r="A12" s="57" t="s">
        <v>1814</v>
      </c>
      <c r="B12" s="64"/>
      <c r="C12" s="58" t="n">
        <f aca="false">B12/B$22*B$24</f>
        <v>0</v>
      </c>
      <c r="D12" s="57" t="s">
        <v>434</v>
      </c>
      <c r="E12" s="59" t="n">
        <f aca="false">IFERROR(INDEX(Correspondance!$D$2:$D$3000,MATCH(A12,Correspondance!$A$2:$A$3000,0)),0)</f>
        <v>18</v>
      </c>
      <c r="F12" s="60" t="n">
        <f aca="false">C12*E12</f>
        <v>0</v>
      </c>
      <c r="G12" s="61"/>
      <c r="I12" s="63"/>
    </row>
    <row r="13" customFormat="false" ht="18.75" hidden="false" customHeight="true" outlineLevel="0" collapsed="false">
      <c r="A13" s="57"/>
      <c r="B13" s="64"/>
      <c r="C13" s="58" t="n">
        <f aca="false">B13/B$22*B$24</f>
        <v>0</v>
      </c>
      <c r="D13" s="57"/>
      <c r="E13" s="65" t="n">
        <f aca="false">IFERROR(INDEX(Correspondance!$D$2:$D$3000,MATCH(A13,Correspondance!$A$2:$A$3000,0)),0)</f>
        <v>0</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56.6483236498714</v>
      </c>
      <c r="G19" s="61"/>
      <c r="I19" s="63"/>
    </row>
    <row r="20" customFormat="false" ht="18.75" hidden="false" customHeight="true" outlineLevel="0" collapsed="false">
      <c r="A20" s="68" t="s">
        <v>2628</v>
      </c>
      <c r="B20" s="69" t="n">
        <f aca="false">F19/B24</f>
        <v>0.514984760453377</v>
      </c>
      <c r="C20" s="70"/>
      <c r="G20" s="61"/>
      <c r="I20" s="63"/>
    </row>
    <row r="21" customFormat="false" ht="15.75" hidden="false" customHeight="false" outlineLevel="0" collapsed="false">
      <c r="A21" s="71" t="s">
        <v>2629</v>
      </c>
      <c r="B21" s="71" t="n">
        <f aca="false">SUM(B3:B18)</f>
        <v>10.499</v>
      </c>
      <c r="C21" s="66"/>
      <c r="G21" s="61"/>
      <c r="I21" s="63"/>
    </row>
    <row r="22" customFormat="false" ht="15.75" hidden="false" customHeight="false" outlineLevel="0" collapsed="false">
      <c r="A22" s="0" t="s">
        <v>2630</v>
      </c>
      <c r="B22" s="72" t="n">
        <f aca="false">B21/B23</f>
        <v>69.9933333333333</v>
      </c>
      <c r="C22" s="66"/>
      <c r="G22" s="61"/>
      <c r="I22" s="63"/>
    </row>
    <row r="23" customFormat="false" ht="15.75" hidden="false" customHeight="false" outlineLevel="0" collapsed="false">
      <c r="A23" s="0" t="s">
        <v>2631</v>
      </c>
      <c r="B23" s="0" t="n">
        <v>0.15</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312</v>
      </c>
      <c r="B1" s="50"/>
      <c r="C1" s="50"/>
      <c r="D1" s="50"/>
      <c r="E1" s="51" t="s">
        <v>2619</v>
      </c>
      <c r="F1" s="51"/>
      <c r="G1" s="52" t="s">
        <v>2990</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1009</v>
      </c>
      <c r="B4" s="57" t="n">
        <v>8.99</v>
      </c>
      <c r="C4" s="58" t="n">
        <f aca="false">B4/B$22*B$24</f>
        <v>14.1271428571429</v>
      </c>
      <c r="D4" s="57" t="s">
        <v>434</v>
      </c>
      <c r="E4" s="59" t="n">
        <f aca="false">IFERROR(INDEX(Correspondance!$D$2:$D$3000,MATCH(A4,Correspondance!$A$2:$A$3000,0)),0)</f>
        <v>2.3</v>
      </c>
      <c r="F4" s="60" t="n">
        <f aca="false">C4*E4</f>
        <v>32.4924285714286</v>
      </c>
      <c r="G4" s="61" t="s">
        <v>2994</v>
      </c>
    </row>
    <row r="5" customFormat="false" ht="15.75" hidden="false" customHeight="false" outlineLevel="0" collapsed="false">
      <c r="A5" s="57" t="s">
        <v>1491</v>
      </c>
      <c r="B5" s="57" t="n">
        <v>0.36</v>
      </c>
      <c r="C5" s="58" t="n">
        <f aca="false">B5/B$22*B$24</f>
        <v>0.565714285714286</v>
      </c>
      <c r="D5" s="57" t="s">
        <v>434</v>
      </c>
      <c r="E5" s="59" t="n">
        <f aca="false">IFERROR(INDEX(Correspondance!$D$2:$D$3000,MATCH(A5,Correspondance!$A$2:$A$3000,0)),0)</f>
        <v>9</v>
      </c>
      <c r="F5" s="60" t="n">
        <f aca="false">C5*E5</f>
        <v>5.09142857142857</v>
      </c>
      <c r="G5" s="61"/>
      <c r="I5" s="62"/>
    </row>
    <row r="6" customFormat="false" ht="15.75" hidden="false" customHeight="false" outlineLevel="0" collapsed="false">
      <c r="A6" s="57" t="s">
        <v>1001</v>
      </c>
      <c r="B6" s="57" t="n">
        <v>0.539</v>
      </c>
      <c r="C6" s="58" t="n">
        <f aca="false">B6/B$22*B$24</f>
        <v>0.847</v>
      </c>
      <c r="D6" s="57" t="s">
        <v>434</v>
      </c>
      <c r="E6" s="59" t="n">
        <f aca="false">IFERROR(INDEX(Correspondance!$D$2:$D$3000,MATCH(A6,Correspondance!$A$2:$A$3000,0)),0)</f>
        <v>1.8</v>
      </c>
      <c r="F6" s="60" t="n">
        <f aca="false">C6*E6</f>
        <v>1.5246</v>
      </c>
      <c r="G6" s="61"/>
      <c r="I6" s="63"/>
    </row>
    <row r="7" customFormat="false" ht="15.75" hidden="false" customHeight="false" outlineLevel="0" collapsed="false">
      <c r="A7" s="57" t="s">
        <v>1100</v>
      </c>
      <c r="B7" s="57" t="n">
        <v>0.045</v>
      </c>
      <c r="C7" s="58" t="n">
        <f aca="false">B7/B$22*B$24</f>
        <v>0.0707142857142857</v>
      </c>
      <c r="D7" s="57" t="s">
        <v>434</v>
      </c>
      <c r="E7" s="59" t="n">
        <f aca="false">IFERROR(INDEX(Correspondance!$D$2:$D$3000,MATCH(A7,Correspondance!$A$2:$A$3000,0)),0)</f>
        <v>10</v>
      </c>
      <c r="F7" s="60" t="n">
        <f aca="false">C7*E7</f>
        <v>0.707142857142857</v>
      </c>
      <c r="G7" s="61"/>
      <c r="I7" s="63"/>
    </row>
    <row r="8" customFormat="false" ht="15.75" hidden="false" customHeight="false" outlineLevel="0" collapsed="false">
      <c r="A8" s="57" t="s">
        <v>1459</v>
      </c>
      <c r="B8" s="57" t="n">
        <v>0.449</v>
      </c>
      <c r="C8" s="58" t="n">
        <f aca="false">B8/B$22*B$24</f>
        <v>0.705571428571429</v>
      </c>
      <c r="D8" s="57" t="s">
        <v>682</v>
      </c>
      <c r="E8" s="59" t="n">
        <f aca="false">IFERROR(INDEX(Correspondance!$D$2:$D$3000,MATCH(A8,Correspondance!$A$2:$A$3000,0)),0)</f>
        <v>0</v>
      </c>
      <c r="F8" s="60" t="n">
        <f aca="false">C8*E8</f>
        <v>0</v>
      </c>
      <c r="G8" s="61"/>
      <c r="I8" s="63"/>
    </row>
    <row r="9" customFormat="false" ht="15.75" hidden="false" customHeight="false" outlineLevel="0" collapsed="false">
      <c r="A9" s="57" t="s">
        <v>1937</v>
      </c>
      <c r="B9" s="57" t="n">
        <v>0.045</v>
      </c>
      <c r="C9" s="58" t="n">
        <f aca="false">B9/B$22*B$24</f>
        <v>0.0707142857142857</v>
      </c>
      <c r="D9" s="57" t="s">
        <v>434</v>
      </c>
      <c r="E9" s="59" t="n">
        <f aca="false">IFERROR(INDEX(Correspondance!$D$2:$D$3000,MATCH(A9,Correspondance!$A$2:$A$3000,0)),0)</f>
        <v>1.3</v>
      </c>
      <c r="F9" s="60" t="n">
        <f aca="false">C9*E9</f>
        <v>0.0919285714285714</v>
      </c>
      <c r="G9" s="61"/>
      <c r="I9" s="63"/>
    </row>
    <row r="10" customFormat="false" ht="15.75" hidden="false" customHeight="false" outlineLevel="0" collapsed="false">
      <c r="A10" s="57" t="s">
        <v>1919</v>
      </c>
      <c r="B10" s="57" t="n">
        <v>0.072</v>
      </c>
      <c r="C10" s="58" t="n">
        <f aca="false">B10/B$22*B$24</f>
        <v>0.113142857142857</v>
      </c>
      <c r="D10" s="57" t="s">
        <v>434</v>
      </c>
      <c r="E10" s="59" t="n">
        <f aca="false">IFERROR(INDEX(Correspondance!$D$2:$D$3000,MATCH(A10,Correspondance!$A$2:$A$3000,0)),0)</f>
        <v>2</v>
      </c>
      <c r="F10" s="60" t="n">
        <f aca="false">C10*E10</f>
        <v>0.226285714285714</v>
      </c>
      <c r="G10" s="61"/>
      <c r="I10" s="63"/>
    </row>
    <row r="11" customFormat="false" ht="15.75" hidden="false" customHeight="false" outlineLevel="0" collapsed="false">
      <c r="A11" s="57" t="s">
        <v>1814</v>
      </c>
      <c r="B11" s="57"/>
      <c r="C11" s="58" t="n">
        <f aca="false">B11/B$22*B$24</f>
        <v>0</v>
      </c>
      <c r="D11" s="57" t="s">
        <v>434</v>
      </c>
      <c r="E11" s="59" t="n">
        <f aca="false">IFERROR(INDEX(Correspondance!$D$2:$D$3000,MATCH(A11,Correspondance!$A$2:$A$3000,0)),0)</f>
        <v>18</v>
      </c>
      <c r="F11" s="60" t="n">
        <f aca="false">C11*E11</f>
        <v>0</v>
      </c>
      <c r="G11" s="61"/>
      <c r="I11" s="63"/>
    </row>
    <row r="12" customFormat="false" ht="18.75" hidden="false" customHeight="true" outlineLevel="0" collapsed="false">
      <c r="A12" s="57"/>
      <c r="B12" s="64"/>
      <c r="C12" s="58" t="n">
        <f aca="false">B12/B$22*B$24</f>
        <v>0</v>
      </c>
      <c r="D12" s="57"/>
      <c r="E12" s="65" t="n">
        <f aca="false">IFERROR(INDEX(Correspondance!$D$2:$D$3000,MATCH(A12,Correspondance!$A$2:$A$3000,0)),0)</f>
        <v>0</v>
      </c>
      <c r="F12" s="60" t="n">
        <f aca="false">C12*E12</f>
        <v>0</v>
      </c>
      <c r="G12" s="61"/>
      <c r="I12" s="63"/>
    </row>
    <row r="13" customFormat="false" ht="18.75" hidden="false" customHeight="true" outlineLevel="0" collapsed="false">
      <c r="A13" s="57"/>
      <c r="B13" s="64"/>
      <c r="C13" s="58" t="n">
        <f aca="false">B13/B$22*B$24</f>
        <v>0</v>
      </c>
      <c r="D13" s="57"/>
      <c r="E13" s="65" t="n">
        <f aca="false">IFERROR(INDEX(Correspondance!$D$2:$D$3000,MATCH(A13,Correspondance!$A$2:$A$3000,0)),0)</f>
        <v>0</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40.1338142857143</v>
      </c>
      <c r="G19" s="61"/>
      <c r="I19" s="63"/>
    </row>
    <row r="20" customFormat="false" ht="18.75" hidden="false" customHeight="true" outlineLevel="0" collapsed="false">
      <c r="A20" s="68" t="s">
        <v>2628</v>
      </c>
      <c r="B20" s="69" t="n">
        <f aca="false">F19/B24</f>
        <v>0.364852857142857</v>
      </c>
      <c r="C20" s="70"/>
      <c r="G20" s="61"/>
      <c r="I20" s="63"/>
    </row>
    <row r="21" customFormat="false" ht="15.75" hidden="false" customHeight="false" outlineLevel="0" collapsed="false">
      <c r="A21" s="71" t="s">
        <v>2629</v>
      </c>
      <c r="B21" s="71" t="n">
        <f aca="false">SUM(B3:B18)</f>
        <v>10.5</v>
      </c>
      <c r="C21" s="66"/>
      <c r="G21" s="61"/>
      <c r="I21" s="63"/>
    </row>
    <row r="22" customFormat="false" ht="15.75" hidden="false" customHeight="false" outlineLevel="0" collapsed="false">
      <c r="A22" s="0" t="s">
        <v>2630</v>
      </c>
      <c r="B22" s="72" t="n">
        <f aca="false">B21/B23</f>
        <v>70</v>
      </c>
      <c r="C22" s="66"/>
      <c r="G22" s="61"/>
      <c r="I22" s="63"/>
    </row>
    <row r="23" customFormat="false" ht="15.75" hidden="false" customHeight="false" outlineLevel="0" collapsed="false">
      <c r="A23" s="0" t="s">
        <v>2631</v>
      </c>
      <c r="B23" s="0" t="n">
        <v>0.15</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313</v>
      </c>
      <c r="B1" s="50"/>
      <c r="C1" s="50"/>
      <c r="D1" s="50"/>
      <c r="E1" s="51" t="s">
        <v>2619</v>
      </c>
      <c r="F1" s="51"/>
      <c r="G1" s="52" t="s">
        <v>2995</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1009</v>
      </c>
      <c r="B4" s="57" t="n">
        <v>5.38</v>
      </c>
      <c r="C4" s="58" t="n">
        <f aca="false">B4/B$22*B$24</f>
        <v>8.4526756808227</v>
      </c>
      <c r="D4" s="57" t="s">
        <v>434</v>
      </c>
      <c r="E4" s="59" t="n">
        <f aca="false">IFERROR(INDEX(Correspondance!$D$2:$D$3000,MATCH(A4,Correspondance!$A$2:$A$3000,0)),0)</f>
        <v>2.3</v>
      </c>
      <c r="F4" s="60" t="n">
        <f aca="false">C4*E4</f>
        <v>19.4411540658922</v>
      </c>
      <c r="G4" s="61" t="s">
        <v>2996</v>
      </c>
    </row>
    <row r="5" customFormat="false" ht="15.75" hidden="false" customHeight="false" outlineLevel="0" collapsed="false">
      <c r="A5" s="57" t="s">
        <v>917</v>
      </c>
      <c r="B5" s="57" t="n">
        <v>3.58</v>
      </c>
      <c r="C5" s="58" t="n">
        <f aca="false">B5/B$22*B$24</f>
        <v>5.62464292515711</v>
      </c>
      <c r="D5" s="57" t="s">
        <v>434</v>
      </c>
      <c r="E5" s="59" t="n">
        <f aca="false">IFERROR(INDEX(Correspondance!$D$2:$D$3000,MATCH(A5,Correspondance!$A$2:$A$3000,0)),0)</f>
        <v>1.8</v>
      </c>
      <c r="F5" s="60" t="n">
        <f aca="false">C5*E5</f>
        <v>10.1243572652828</v>
      </c>
      <c r="G5" s="61"/>
      <c r="I5" s="62"/>
    </row>
    <row r="6" customFormat="false" ht="15.75" hidden="false" customHeight="false" outlineLevel="0" collapsed="false">
      <c r="A6" s="57" t="s">
        <v>1001</v>
      </c>
      <c r="B6" s="57" t="n">
        <v>0.538</v>
      </c>
      <c r="C6" s="58" t="n">
        <f aca="false">B6/B$22*B$24</f>
        <v>0.84526756808227</v>
      </c>
      <c r="D6" s="57" t="s">
        <v>434</v>
      </c>
      <c r="E6" s="59" t="n">
        <f aca="false">IFERROR(INDEX(Correspondance!$D$2:$D$3000,MATCH(A6,Correspondance!$A$2:$A$3000,0)),0)</f>
        <v>1.8</v>
      </c>
      <c r="F6" s="60" t="n">
        <f aca="false">C6*E6</f>
        <v>1.52148162254809</v>
      </c>
      <c r="G6" s="61"/>
      <c r="I6" s="63"/>
    </row>
    <row r="7" customFormat="false" ht="15.75" hidden="false" customHeight="false" outlineLevel="0" collapsed="false">
      <c r="A7" s="57" t="s">
        <v>1491</v>
      </c>
      <c r="B7" s="57" t="n">
        <v>0.358</v>
      </c>
      <c r="C7" s="58" t="n">
        <f aca="false">B7/B$22*B$24</f>
        <v>0.562464292515711</v>
      </c>
      <c r="D7" s="57" t="s">
        <v>434</v>
      </c>
      <c r="E7" s="59" t="n">
        <f aca="false">IFERROR(INDEX(Correspondance!$D$2:$D$3000,MATCH(A7,Correspondance!$A$2:$A$3000,0)),0)</f>
        <v>9</v>
      </c>
      <c r="F7" s="60" t="n">
        <f aca="false">C7*E7</f>
        <v>5.0621786326414</v>
      </c>
      <c r="G7" s="61"/>
      <c r="I7" s="63"/>
    </row>
    <row r="8" customFormat="false" ht="15.75" hidden="false" customHeight="false" outlineLevel="0" collapsed="false">
      <c r="A8" s="57" t="s">
        <v>1100</v>
      </c>
      <c r="B8" s="57" t="n">
        <v>0.045</v>
      </c>
      <c r="C8" s="58" t="n">
        <f aca="false">B8/B$22*B$24</f>
        <v>0.0707008188916397</v>
      </c>
      <c r="D8" s="57" t="s">
        <v>434</v>
      </c>
      <c r="E8" s="59" t="n">
        <f aca="false">IFERROR(INDEX(Correspondance!$D$2:$D$3000,MATCH(A8,Correspondance!$A$2:$A$3000,0)),0)</f>
        <v>10</v>
      </c>
      <c r="F8" s="60" t="n">
        <f aca="false">C8*E8</f>
        <v>0.707008188916397</v>
      </c>
      <c r="G8" s="61"/>
      <c r="I8" s="63"/>
    </row>
    <row r="9" customFormat="false" ht="15.75" hidden="false" customHeight="false" outlineLevel="0" collapsed="false">
      <c r="A9" s="57" t="s">
        <v>1459</v>
      </c>
      <c r="B9" s="57" t="n">
        <v>0.448</v>
      </c>
      <c r="C9" s="58" t="n">
        <f aca="false">B9/B$22*B$24</f>
        <v>0.703865930298991</v>
      </c>
      <c r="D9" s="57" t="s">
        <v>682</v>
      </c>
      <c r="E9" s="59" t="n">
        <f aca="false">IFERROR(INDEX(Correspondance!$D$2:$D$3000,MATCH(A9,Correspondance!$A$2:$A$3000,0)),0)</f>
        <v>0</v>
      </c>
      <c r="F9" s="60" t="n">
        <f aca="false">C9*E9</f>
        <v>0</v>
      </c>
      <c r="G9" s="61"/>
      <c r="I9" s="63"/>
    </row>
    <row r="10" customFormat="false" ht="15.75" hidden="false" customHeight="false" outlineLevel="0" collapsed="false">
      <c r="A10" s="57" t="s">
        <v>1937</v>
      </c>
      <c r="B10" s="57" t="n">
        <v>0.036</v>
      </c>
      <c r="C10" s="58" t="n">
        <f aca="false">B10/B$22*B$24</f>
        <v>0.0565606551133117</v>
      </c>
      <c r="D10" s="57" t="s">
        <v>434</v>
      </c>
      <c r="E10" s="59" t="n">
        <f aca="false">IFERROR(INDEX(Correspondance!$D$2:$D$3000,MATCH(A10,Correspondance!$A$2:$A$3000,0)),0)</f>
        <v>1.3</v>
      </c>
      <c r="F10" s="60" t="n">
        <f aca="false">C10*E10</f>
        <v>0.0735288516473053</v>
      </c>
      <c r="G10" s="61"/>
      <c r="I10" s="63"/>
    </row>
    <row r="11" customFormat="false" ht="15.75" hidden="false" customHeight="false" outlineLevel="0" collapsed="false">
      <c r="A11" s="57" t="s">
        <v>1919</v>
      </c>
      <c r="B11" s="57" t="n">
        <v>0.072</v>
      </c>
      <c r="C11" s="58" t="n">
        <f aca="false">B11/B$22*B$24</f>
        <v>0.113121310226623</v>
      </c>
      <c r="D11" s="57" t="s">
        <v>434</v>
      </c>
      <c r="E11" s="59" t="n">
        <f aca="false">IFERROR(INDEX(Correspondance!$D$2:$D$3000,MATCH(A11,Correspondance!$A$2:$A$3000,0)),0)</f>
        <v>2</v>
      </c>
      <c r="F11" s="60" t="n">
        <f aca="false">C11*E11</f>
        <v>0.226242620453247</v>
      </c>
      <c r="G11" s="61"/>
      <c r="I11" s="63"/>
    </row>
    <row r="12" customFormat="false" ht="18.75" hidden="false" customHeight="true" outlineLevel="0" collapsed="false">
      <c r="A12" s="57" t="s">
        <v>1007</v>
      </c>
      <c r="B12" s="64" t="n">
        <v>0.045</v>
      </c>
      <c r="C12" s="58" t="n">
        <f aca="false">B12/B$22*B$24</f>
        <v>0.0707008188916397</v>
      </c>
      <c r="D12" s="57" t="s">
        <v>434</v>
      </c>
      <c r="E12" s="59" t="n">
        <f aca="false">IFERROR(INDEX(Correspondance!$D$2:$D$3000,MATCH(A12,Correspondance!$A$2:$A$3000,0)),0)</f>
        <v>8</v>
      </c>
      <c r="F12" s="60" t="n">
        <f aca="false">C12*E12</f>
        <v>0.565606551133117</v>
      </c>
      <c r="G12" s="61"/>
      <c r="I12" s="63"/>
    </row>
    <row r="13" customFormat="false" ht="18.75" hidden="false" customHeight="true" outlineLevel="0" collapsed="false">
      <c r="A13" s="57" t="s">
        <v>1814</v>
      </c>
      <c r="B13" s="64"/>
      <c r="C13" s="58" t="n">
        <f aca="false">B13/B$22*B$24</f>
        <v>0</v>
      </c>
      <c r="D13" s="57" t="s">
        <v>434</v>
      </c>
      <c r="E13" s="59" t="n">
        <f aca="false">IFERROR(INDEX(Correspondance!$D$2:$D$3000,MATCH(A13,Correspondance!$A$2:$A$3000,0)),0)</f>
        <v>18</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37.7215577985146</v>
      </c>
      <c r="G19" s="61"/>
      <c r="I19" s="63"/>
    </row>
    <row r="20" customFormat="false" ht="18.75" hidden="false" customHeight="true" outlineLevel="0" collapsed="false">
      <c r="A20" s="68" t="s">
        <v>2628</v>
      </c>
      <c r="B20" s="69" t="n">
        <f aca="false">F19/B24</f>
        <v>0.342923252713769</v>
      </c>
      <c r="C20" s="70"/>
      <c r="G20" s="61"/>
      <c r="I20" s="63"/>
    </row>
    <row r="21" customFormat="false" ht="15.75" hidden="false" customHeight="false" outlineLevel="0" collapsed="false">
      <c r="A21" s="71" t="s">
        <v>2629</v>
      </c>
      <c r="B21" s="71" t="n">
        <f aca="false">SUM(B3:B18)</f>
        <v>10.502</v>
      </c>
      <c r="C21" s="66"/>
      <c r="G21" s="61"/>
      <c r="I21" s="63"/>
    </row>
    <row r="22" customFormat="false" ht="15.75" hidden="false" customHeight="false" outlineLevel="0" collapsed="false">
      <c r="A22" s="0" t="s">
        <v>2630</v>
      </c>
      <c r="B22" s="72" t="n">
        <f aca="false">B21/B23</f>
        <v>70.0133333333333</v>
      </c>
      <c r="C22" s="66"/>
      <c r="G22" s="61"/>
      <c r="I22" s="63"/>
    </row>
    <row r="23" customFormat="false" ht="15.75" hidden="false" customHeight="false" outlineLevel="0" collapsed="false">
      <c r="A23" s="0" t="s">
        <v>2631</v>
      </c>
      <c r="B23" s="0" t="n">
        <v>0.15</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315</v>
      </c>
      <c r="B1" s="50"/>
      <c r="C1" s="50"/>
      <c r="D1" s="50"/>
      <c r="E1" s="51" t="s">
        <v>2619</v>
      </c>
      <c r="F1" s="51"/>
      <c r="G1" s="52" t="s">
        <v>2992</v>
      </c>
    </row>
    <row r="2" customFormat="false" ht="24.75" hidden="false" customHeight="true" outlineLevel="0" collapsed="false">
      <c r="A2" s="50"/>
      <c r="B2" s="50"/>
      <c r="C2" s="50"/>
      <c r="D2" s="50"/>
      <c r="E2" s="53" t="s">
        <v>2636</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917</v>
      </c>
      <c r="B4" s="57" t="n">
        <v>9.27</v>
      </c>
      <c r="C4" s="58" t="n">
        <f aca="false">B4/B$22*B$24</f>
        <v>14.5643686916778</v>
      </c>
      <c r="D4" s="57" t="s">
        <v>434</v>
      </c>
      <c r="E4" s="59" t="n">
        <f aca="false">IFERROR(INDEX(Correspondance!$D$2:$D$3000,MATCH(A4,Correspondance!$A$2:$A$3000,0)),0)</f>
        <v>1.8</v>
      </c>
      <c r="F4" s="60" t="n">
        <f aca="false">C4*E4</f>
        <v>26.21586364502</v>
      </c>
      <c r="G4" s="61" t="s">
        <v>2997</v>
      </c>
    </row>
    <row r="5" customFormat="false" ht="15.75" hidden="false" customHeight="false" outlineLevel="0" collapsed="false">
      <c r="A5" s="57" t="s">
        <v>1491</v>
      </c>
      <c r="B5" s="57" t="n">
        <v>0.463</v>
      </c>
      <c r="C5" s="58" t="n">
        <f aca="false">B5/B$22*B$24</f>
        <v>0.727432869929537</v>
      </c>
      <c r="D5" s="57" t="s">
        <v>434</v>
      </c>
      <c r="E5" s="59" t="n">
        <f aca="false">IFERROR(INDEX(Correspondance!$D$2:$D$3000,MATCH(A5,Correspondance!$A$2:$A$3000,0)),0)</f>
        <v>9</v>
      </c>
      <c r="F5" s="60" t="n">
        <f aca="false">C5*E5</f>
        <v>6.54689582936584</v>
      </c>
      <c r="G5" s="61"/>
      <c r="I5" s="62"/>
    </row>
    <row r="6" customFormat="false" ht="15.75" hidden="false" customHeight="false" outlineLevel="0" collapsed="false">
      <c r="A6" s="57" t="s">
        <v>1937</v>
      </c>
      <c r="B6" s="57" t="n">
        <v>0.093</v>
      </c>
      <c r="C6" s="58" t="n">
        <f aca="false">B6/B$22*B$24</f>
        <v>0.146115025709389</v>
      </c>
      <c r="D6" s="57" t="s">
        <v>434</v>
      </c>
      <c r="E6" s="59" t="n">
        <f aca="false">IFERROR(INDEX(Correspondance!$D$2:$D$3000,MATCH(A6,Correspondance!$A$2:$A$3000,0)),0)</f>
        <v>1.3</v>
      </c>
      <c r="F6" s="60" t="n">
        <f aca="false">C6*E6</f>
        <v>0.189949533422205</v>
      </c>
      <c r="G6" s="61"/>
      <c r="I6" s="63"/>
    </row>
    <row r="7" customFormat="false" ht="15.75" hidden="false" customHeight="false" outlineLevel="0" collapsed="false">
      <c r="A7" s="57" t="s">
        <v>1459</v>
      </c>
      <c r="B7" s="57" t="n">
        <v>0.463</v>
      </c>
      <c r="C7" s="58" t="n">
        <f aca="false">B7/B$22*B$24</f>
        <v>0.727432869929537</v>
      </c>
      <c r="D7" s="57" t="s">
        <v>682</v>
      </c>
      <c r="E7" s="59" t="n">
        <f aca="false">IFERROR(INDEX(Correspondance!$D$2:$D$3000,MATCH(A7,Correspondance!$A$2:$A$3000,0)),0)</f>
        <v>0</v>
      </c>
      <c r="F7" s="60" t="n">
        <f aca="false">C7*E7</f>
        <v>0</v>
      </c>
      <c r="G7" s="61"/>
      <c r="I7" s="63"/>
    </row>
    <row r="8" customFormat="false" ht="15.75" hidden="false" customHeight="false" outlineLevel="0" collapsed="false">
      <c r="A8" s="57" t="s">
        <v>1100</v>
      </c>
      <c r="B8" s="57" t="n">
        <v>0.046</v>
      </c>
      <c r="C8" s="58" t="n">
        <f aca="false">B8/B$22*B$24</f>
        <v>0.0722719482003428</v>
      </c>
      <c r="D8" s="57" t="s">
        <v>434</v>
      </c>
      <c r="E8" s="59" t="n">
        <f aca="false">IFERROR(INDEX(Correspondance!$D$2:$D$3000,MATCH(A8,Correspondance!$A$2:$A$3000,0)),0)</f>
        <v>10</v>
      </c>
      <c r="F8" s="60" t="n">
        <f aca="false">C8*E8</f>
        <v>0.722719482003428</v>
      </c>
      <c r="G8" s="61"/>
      <c r="I8" s="63"/>
    </row>
    <row r="9" customFormat="false" ht="15.75" hidden="false" customHeight="false" outlineLevel="0" collapsed="false">
      <c r="A9" s="57" t="s">
        <v>1007</v>
      </c>
      <c r="B9" s="57" t="n">
        <v>0.093</v>
      </c>
      <c r="C9" s="58" t="n">
        <f aca="false">B9/B$22*B$24</f>
        <v>0.146115025709389</v>
      </c>
      <c r="D9" s="57" t="s">
        <v>434</v>
      </c>
      <c r="E9" s="59" t="n">
        <f aca="false">IFERROR(INDEX(Correspondance!$D$2:$D$3000,MATCH(A9,Correspondance!$A$2:$A$3000,0)),0)</f>
        <v>8</v>
      </c>
      <c r="F9" s="60" t="n">
        <f aca="false">C9*E9</f>
        <v>1.16892020567511</v>
      </c>
      <c r="G9" s="61"/>
      <c r="I9" s="63"/>
    </row>
    <row r="10" customFormat="false" ht="15.75" hidden="false" customHeight="false" outlineLevel="0" collapsed="false">
      <c r="A10" s="57" t="s">
        <v>1919</v>
      </c>
      <c r="B10" s="57" t="n">
        <v>0.074</v>
      </c>
      <c r="C10" s="58" t="n">
        <f aca="false">B10/B$22*B$24</f>
        <v>0.11626356884403</v>
      </c>
      <c r="D10" s="57" t="s">
        <v>434</v>
      </c>
      <c r="E10" s="59" t="n">
        <f aca="false">IFERROR(INDEX(Correspondance!$D$2:$D$3000,MATCH(A10,Correspondance!$A$2:$A$3000,0)),0)</f>
        <v>2</v>
      </c>
      <c r="F10" s="60" t="n">
        <f aca="false">C10*E10</f>
        <v>0.232527137688059</v>
      </c>
      <c r="G10" s="61"/>
      <c r="I10" s="63"/>
    </row>
    <row r="11" customFormat="false" ht="15.75" hidden="false" customHeight="false" outlineLevel="0" collapsed="false">
      <c r="A11" s="57" t="s">
        <v>1814</v>
      </c>
      <c r="B11" s="57"/>
      <c r="C11" s="58" t="n">
        <f aca="false">B11/B$22*B$24</f>
        <v>0</v>
      </c>
      <c r="D11" s="57" t="s">
        <v>434</v>
      </c>
      <c r="E11" s="59" t="n">
        <f aca="false">IFERROR(INDEX(Correspondance!$D$2:$D$3000,MATCH(A11,Correspondance!$A$2:$A$3000,0)),0)</f>
        <v>18</v>
      </c>
      <c r="F11" s="60" t="n">
        <f aca="false">C11*E11</f>
        <v>0</v>
      </c>
      <c r="G11" s="61"/>
      <c r="I11" s="63"/>
    </row>
    <row r="12" customFormat="false" ht="18.75" hidden="false" customHeight="true" outlineLevel="0" collapsed="false">
      <c r="A12" s="57"/>
      <c r="B12" s="64"/>
      <c r="C12" s="58" t="n">
        <f aca="false">B12/B$22*B$24</f>
        <v>0</v>
      </c>
      <c r="D12" s="57"/>
      <c r="E12" s="65" t="n">
        <f aca="false">IFERROR(INDEX(Correspondance!$D$2:$D$3000,MATCH(A12,Correspondance!$A$2:$A$3000,0)),0)</f>
        <v>0</v>
      </c>
      <c r="F12" s="60" t="n">
        <f aca="false">C12*E12</f>
        <v>0</v>
      </c>
      <c r="G12" s="61"/>
      <c r="I12" s="63"/>
    </row>
    <row r="13" customFormat="false" ht="18.75" hidden="false" customHeight="true" outlineLevel="0" collapsed="false">
      <c r="A13" s="57"/>
      <c r="B13" s="64"/>
      <c r="C13" s="58" t="n">
        <f aca="false">B13/B$22*B$24</f>
        <v>0</v>
      </c>
      <c r="D13" s="57"/>
      <c r="E13" s="65" t="n">
        <f aca="false">IFERROR(INDEX(Correspondance!$D$2:$D$3000,MATCH(A13,Correspondance!$A$2:$A$3000,0)),0)</f>
        <v>0</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35.0768758331746</v>
      </c>
      <c r="G19" s="61"/>
      <c r="I19" s="63"/>
    </row>
    <row r="20" customFormat="false" ht="18.75" hidden="false" customHeight="true" outlineLevel="0" collapsed="false">
      <c r="A20" s="68" t="s">
        <v>2628</v>
      </c>
      <c r="B20" s="69" t="n">
        <f aca="false">F19/B24</f>
        <v>0.318880689392497</v>
      </c>
      <c r="C20" s="70"/>
      <c r="G20" s="61"/>
      <c r="I20" s="63"/>
    </row>
    <row r="21" customFormat="false" ht="15.75" hidden="false" customHeight="false" outlineLevel="0" collapsed="false">
      <c r="A21" s="71" t="s">
        <v>2629</v>
      </c>
      <c r="B21" s="71" t="n">
        <f aca="false">SUM(B3:B18)</f>
        <v>10.502</v>
      </c>
      <c r="C21" s="66"/>
      <c r="G21" s="61"/>
      <c r="I21" s="63"/>
    </row>
    <row r="22" customFormat="false" ht="15.75" hidden="false" customHeight="false" outlineLevel="0" collapsed="false">
      <c r="A22" s="0" t="s">
        <v>2630</v>
      </c>
      <c r="B22" s="72" t="n">
        <f aca="false">B21/B23</f>
        <v>70.0133333333333</v>
      </c>
      <c r="C22" s="66"/>
      <c r="G22" s="61"/>
      <c r="I22" s="63"/>
    </row>
    <row r="23" customFormat="false" ht="15.75" hidden="false" customHeight="false" outlineLevel="0" collapsed="false">
      <c r="A23" s="0" t="s">
        <v>2631</v>
      </c>
      <c r="B23" s="0" t="n">
        <v>0.15</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317</v>
      </c>
      <c r="B1" s="50"/>
      <c r="C1" s="50"/>
      <c r="D1" s="50"/>
      <c r="E1" s="51" t="s">
        <v>2619</v>
      </c>
      <c r="F1" s="51"/>
      <c r="G1" s="52" t="s">
        <v>2998</v>
      </c>
    </row>
    <row r="2" customFormat="false" ht="24.75" hidden="false" customHeight="true" outlineLevel="0" collapsed="false">
      <c r="A2" s="50"/>
      <c r="B2" s="50"/>
      <c r="C2" s="50"/>
      <c r="D2" s="50"/>
      <c r="E2" s="53" t="s">
        <v>2636</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917</v>
      </c>
      <c r="B4" s="57" t="n">
        <v>8.77</v>
      </c>
      <c r="C4" s="58" t="n">
        <f aca="false">B4/B$22*B$24</f>
        <v>13.7860625420309</v>
      </c>
      <c r="D4" s="57" t="s">
        <v>434</v>
      </c>
      <c r="E4" s="59" t="n">
        <f aca="false">IFERROR(INDEX(Correspondance!$D$2:$D$3000,MATCH(A4,Correspondance!$A$2:$A$3000,0)),0)</f>
        <v>1.8</v>
      </c>
      <c r="F4" s="60" t="n">
        <f aca="false">C4*E4</f>
        <v>24.8149125756557</v>
      </c>
      <c r="G4" s="61" t="s">
        <v>2999</v>
      </c>
    </row>
    <row r="5" customFormat="false" ht="15.75" hidden="false" customHeight="false" outlineLevel="0" collapsed="false">
      <c r="A5" s="57" t="s">
        <v>1576</v>
      </c>
      <c r="B5" s="57" t="n">
        <v>1.75</v>
      </c>
      <c r="C5" s="58" t="n">
        <f aca="false">B5/B$22*B$24</f>
        <v>2.7509246805649</v>
      </c>
      <c r="D5" s="57" t="s">
        <v>434</v>
      </c>
      <c r="E5" s="59" t="n">
        <f aca="false">IFERROR(INDEX(Correspondance!$D$2:$D$3000,MATCH(A5,Correspondance!$A$2:$A$3000,0)),0)</f>
        <v>5.5</v>
      </c>
      <c r="F5" s="60" t="n">
        <f aca="false">C5*E5</f>
        <v>15.1300857431069</v>
      </c>
      <c r="G5" s="61"/>
      <c r="I5" s="62"/>
    </row>
    <row r="6" customFormat="false" ht="15.75" hidden="false" customHeight="false" outlineLevel="0" collapsed="false">
      <c r="A6" s="57" t="s">
        <v>1491</v>
      </c>
      <c r="B6" s="57" t="n">
        <v>0.263</v>
      </c>
      <c r="C6" s="58" t="n">
        <f aca="false">B6/B$22*B$24</f>
        <v>0.413424680564896</v>
      </c>
      <c r="D6" s="57" t="s">
        <v>434</v>
      </c>
      <c r="E6" s="59" t="n">
        <f aca="false">IFERROR(INDEX(Correspondance!$D$2:$D$3000,MATCH(A6,Correspondance!$A$2:$A$3000,0)),0)</f>
        <v>9</v>
      </c>
      <c r="F6" s="60" t="n">
        <f aca="false">C6*E6</f>
        <v>3.72082212508406</v>
      </c>
      <c r="G6" s="61"/>
      <c r="I6" s="63"/>
    </row>
    <row r="7" customFormat="false" ht="15.75" hidden="false" customHeight="false" outlineLevel="0" collapsed="false">
      <c r="A7" s="57" t="s">
        <v>1001</v>
      </c>
      <c r="B7" s="57" t="n">
        <v>0.438</v>
      </c>
      <c r="C7" s="58" t="n">
        <f aca="false">B7/B$22*B$24</f>
        <v>0.688517148621386</v>
      </c>
      <c r="D7" s="57" t="s">
        <v>434</v>
      </c>
      <c r="E7" s="59" t="n">
        <f aca="false">IFERROR(INDEX(Correspondance!$D$2:$D$3000,MATCH(A7,Correspondance!$A$2:$A$3000,0)),0)</f>
        <v>1.8</v>
      </c>
      <c r="F7" s="60" t="n">
        <f aca="false">C7*E7</f>
        <v>1.23933086751849</v>
      </c>
      <c r="G7" s="61"/>
      <c r="I7" s="63"/>
    </row>
    <row r="8" customFormat="false" ht="15.75" hidden="false" customHeight="false" outlineLevel="0" collapsed="false">
      <c r="A8" s="57" t="s">
        <v>1459</v>
      </c>
      <c r="B8" s="57" t="n">
        <v>0.438</v>
      </c>
      <c r="C8" s="58" t="n">
        <f aca="false">B8/B$22*B$24</f>
        <v>0.688517148621386</v>
      </c>
      <c r="D8" s="57" t="s">
        <v>682</v>
      </c>
      <c r="E8" s="59" t="n">
        <f aca="false">IFERROR(INDEX(Correspondance!$D$2:$D$3000,MATCH(A8,Correspondance!$A$2:$A$3000,0)),0)</f>
        <v>0</v>
      </c>
      <c r="F8" s="60" t="n">
        <f aca="false">C8*E8</f>
        <v>0</v>
      </c>
      <c r="G8" s="61"/>
      <c r="I8" s="63"/>
    </row>
    <row r="9" customFormat="false" ht="15.75" hidden="false" customHeight="false" outlineLevel="0" collapsed="false">
      <c r="A9" s="57" t="s">
        <v>1084</v>
      </c>
      <c r="B9" s="57" t="n">
        <v>0.07</v>
      </c>
      <c r="C9" s="58" t="n">
        <f aca="false">B9/B$22*B$24</f>
        <v>0.110036987222596</v>
      </c>
      <c r="D9" s="57" t="s">
        <v>434</v>
      </c>
      <c r="E9" s="59" t="n">
        <f aca="false">IFERROR(INDEX(Correspondance!$D$2:$D$3000,MATCH(A9,Correspondance!$A$2:$A$3000,0)),0)</f>
        <v>2.2</v>
      </c>
      <c r="F9" s="60" t="n">
        <f aca="false">C9*E9</f>
        <v>0.242081371889711</v>
      </c>
      <c r="G9" s="61"/>
      <c r="I9" s="63"/>
    </row>
    <row r="10" customFormat="false" ht="15.75" hidden="false" customHeight="false" outlineLevel="0" collapsed="false">
      <c r="A10" s="57" t="s">
        <v>1919</v>
      </c>
      <c r="B10" s="57" t="n">
        <v>0.079</v>
      </c>
      <c r="C10" s="58" t="n">
        <f aca="false">B10/B$22*B$24</f>
        <v>0.124184599865501</v>
      </c>
      <c r="D10" s="57" t="s">
        <v>434</v>
      </c>
      <c r="E10" s="59" t="n">
        <f aca="false">IFERROR(INDEX(Correspondance!$D$2:$D$3000,MATCH(A10,Correspondance!$A$2:$A$3000,0)),0)</f>
        <v>2</v>
      </c>
      <c r="F10" s="60" t="n">
        <f aca="false">C10*E10</f>
        <v>0.248369199731002</v>
      </c>
      <c r="G10" s="61"/>
      <c r="I10" s="63"/>
    </row>
    <row r="11" customFormat="false" ht="15.75" hidden="false" customHeight="false" outlineLevel="0" collapsed="false">
      <c r="A11" s="57" t="s">
        <v>1007</v>
      </c>
      <c r="B11" s="57" t="n">
        <v>0.088</v>
      </c>
      <c r="C11" s="58" t="n">
        <f aca="false">B11/B$22*B$24</f>
        <v>0.138332212508406</v>
      </c>
      <c r="D11" s="57" t="s">
        <v>434</v>
      </c>
      <c r="E11" s="59" t="n">
        <f aca="false">IFERROR(INDEX(Correspondance!$D$2:$D$3000,MATCH(A11,Correspondance!$A$2:$A$3000,0)),0)</f>
        <v>8</v>
      </c>
      <c r="F11" s="60" t="n">
        <f aca="false">C11*E11</f>
        <v>1.10665770006725</v>
      </c>
      <c r="G11" s="61"/>
      <c r="I11" s="63"/>
    </row>
    <row r="12" customFormat="false" ht="18.75" hidden="false" customHeight="true" outlineLevel="0" collapsed="false">
      <c r="A12" s="57" t="s">
        <v>1732</v>
      </c>
      <c r="B12" s="64"/>
      <c r="C12" s="58" t="n">
        <f aca="false">B12/B$22*B$24</f>
        <v>0</v>
      </c>
      <c r="D12" s="57" t="s">
        <v>434</v>
      </c>
      <c r="E12" s="59" t="n">
        <f aca="false">IFERROR(INDEX(Correspondance!$D$2:$D$3000,MATCH(A12,Correspondance!$A$2:$A$3000,0)),0)</f>
        <v>30</v>
      </c>
      <c r="F12" s="60" t="n">
        <f aca="false">C12*E12</f>
        <v>0</v>
      </c>
      <c r="G12" s="61"/>
      <c r="I12" s="63"/>
    </row>
    <row r="13" customFormat="false" ht="18.75" hidden="false" customHeight="true" outlineLevel="0" collapsed="false">
      <c r="A13" s="57" t="s">
        <v>1814</v>
      </c>
      <c r="B13" s="64"/>
      <c r="C13" s="58" t="n">
        <f aca="false">B13/B$22*B$24</f>
        <v>0</v>
      </c>
      <c r="D13" s="57" t="s">
        <v>434</v>
      </c>
      <c r="E13" s="59" t="n">
        <f aca="false">IFERROR(INDEX(Correspondance!$D$2:$D$3000,MATCH(A13,Correspondance!$A$2:$A$3000,0)),0)</f>
        <v>18</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46.5022595830531</v>
      </c>
      <c r="G19" s="61"/>
      <c r="I19" s="63"/>
    </row>
    <row r="20" customFormat="false" ht="18.75" hidden="false" customHeight="true" outlineLevel="0" collapsed="false">
      <c r="A20" s="68" t="s">
        <v>2628</v>
      </c>
      <c r="B20" s="69" t="n">
        <f aca="false">F19/B24</f>
        <v>0.422747814391392</v>
      </c>
      <c r="C20" s="70"/>
      <c r="G20" s="61"/>
      <c r="I20" s="63"/>
    </row>
    <row r="21" customFormat="false" ht="15.75" hidden="false" customHeight="false" outlineLevel="0" collapsed="false">
      <c r="A21" s="71" t="s">
        <v>2629</v>
      </c>
      <c r="B21" s="71" t="n">
        <f aca="false">SUM(B3:B18)</f>
        <v>11.896</v>
      </c>
      <c r="C21" s="66"/>
      <c r="G21" s="61"/>
      <c r="I21" s="63"/>
    </row>
    <row r="22" customFormat="false" ht="15.75" hidden="false" customHeight="false" outlineLevel="0" collapsed="false">
      <c r="A22" s="0" t="s">
        <v>2630</v>
      </c>
      <c r="B22" s="72" t="n">
        <f aca="false">B21/B23</f>
        <v>69.9764705882353</v>
      </c>
      <c r="C22" s="66"/>
      <c r="G22" s="61"/>
      <c r="I22" s="63"/>
    </row>
    <row r="23" customFormat="false" ht="15.75" hidden="false" customHeight="false" outlineLevel="0" collapsed="false">
      <c r="A23" s="0" t="s">
        <v>2631</v>
      </c>
      <c r="B23" s="0" t="n">
        <v>0.17</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318</v>
      </c>
      <c r="B1" s="50"/>
      <c r="C1" s="50"/>
      <c r="D1" s="50"/>
      <c r="E1" s="51" t="s">
        <v>2619</v>
      </c>
      <c r="F1" s="51"/>
      <c r="G1" s="52" t="s">
        <v>2990</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971</v>
      </c>
      <c r="B4" s="57" t="n">
        <v>9.52</v>
      </c>
      <c r="C4" s="58" t="n">
        <f aca="false">B4/B$22*B$24</f>
        <v>14.9585753737739</v>
      </c>
      <c r="D4" s="57" t="s">
        <v>434</v>
      </c>
      <c r="E4" s="59" t="n">
        <f aca="false">IFERROR(INDEX(Correspondance!$D$2:$D$3000,MATCH(A4,Correspondance!$A$2:$A$3000,0)),0)</f>
        <v>2.6</v>
      </c>
      <c r="F4" s="60" t="n">
        <f aca="false">C4*E4</f>
        <v>38.8922959718122</v>
      </c>
      <c r="G4" s="61" t="s">
        <v>3000</v>
      </c>
    </row>
    <row r="5" customFormat="false" ht="15.75" hidden="false" customHeight="false" outlineLevel="0" collapsed="false">
      <c r="A5" s="57" t="s">
        <v>1491</v>
      </c>
      <c r="B5" s="57" t="n">
        <v>0.381</v>
      </c>
      <c r="C5" s="58" t="n">
        <f aca="false">B5/B$22*B$24</f>
        <v>0.59865727073612</v>
      </c>
      <c r="D5" s="57" t="s">
        <v>434</v>
      </c>
      <c r="E5" s="59" t="n">
        <f aca="false">IFERROR(INDEX(Correspondance!$D$2:$D$3000,MATCH(A5,Correspondance!$A$2:$A$3000,0)),0)</f>
        <v>9</v>
      </c>
      <c r="F5" s="60" t="n">
        <f aca="false">C5*E5</f>
        <v>5.38791543662508</v>
      </c>
      <c r="G5" s="61"/>
      <c r="I5" s="62"/>
    </row>
    <row r="6" customFormat="false" ht="15.75" hidden="false" customHeight="false" outlineLevel="0" collapsed="false">
      <c r="A6" s="57" t="s">
        <v>1675</v>
      </c>
      <c r="B6" s="57" t="n">
        <v>0.095</v>
      </c>
      <c r="C6" s="58" t="n">
        <f aca="false">B6/B$22*B$24</f>
        <v>0.149271497952576</v>
      </c>
      <c r="D6" s="57" t="s">
        <v>682</v>
      </c>
      <c r="E6" s="59" t="n">
        <f aca="false">IFERROR(INDEX(Correspondance!$D$2:$D$3000,MATCH(A6,Correspondance!$A$2:$A$3000,0)),0)</f>
        <v>2.2</v>
      </c>
      <c r="F6" s="60" t="n">
        <f aca="false">C6*E6</f>
        <v>0.328397295495667</v>
      </c>
      <c r="G6" s="61"/>
      <c r="I6" s="63"/>
    </row>
    <row r="7" customFormat="false" ht="15.75" hidden="false" customHeight="false" outlineLevel="0" collapsed="false">
      <c r="A7" s="57" t="s">
        <v>947</v>
      </c>
      <c r="B7" s="57" t="n">
        <v>0.286</v>
      </c>
      <c r="C7" s="58" t="n">
        <f aca="false">B7/B$22*B$24</f>
        <v>0.449385772783544</v>
      </c>
      <c r="D7" s="57" t="s">
        <v>434</v>
      </c>
      <c r="E7" s="59" t="n">
        <f aca="false">IFERROR(INDEX(Correspondance!$D$2:$D$3000,MATCH(A7,Correspondance!$A$2:$A$3000,0)),0)</f>
        <v>4.5</v>
      </c>
      <c r="F7" s="60" t="n">
        <f aca="false">C7*E7</f>
        <v>2.02223597752595</v>
      </c>
      <c r="G7" s="61"/>
      <c r="I7" s="63"/>
    </row>
    <row r="8" customFormat="false" ht="15.75" hidden="false" customHeight="false" outlineLevel="0" collapsed="false">
      <c r="A8" s="57" t="s">
        <v>894</v>
      </c>
      <c r="B8" s="57" t="n">
        <v>0.048</v>
      </c>
      <c r="C8" s="58" t="n">
        <f aca="false">B8/B$22*B$24</f>
        <v>0.0754213884391963</v>
      </c>
      <c r="D8" s="57" t="s">
        <v>434</v>
      </c>
      <c r="E8" s="59" t="n">
        <f aca="false">IFERROR(INDEX(Correspondance!$D$2:$D$3000,MATCH(A8,Correspondance!$A$2:$A$3000,0)),0)</f>
        <v>5.5</v>
      </c>
      <c r="F8" s="60" t="n">
        <f aca="false">C8*E8</f>
        <v>0.41481763641558</v>
      </c>
      <c r="G8" s="61"/>
      <c r="I8" s="63"/>
    </row>
    <row r="9" customFormat="false" ht="15.75" hidden="false" customHeight="false" outlineLevel="0" collapsed="false">
      <c r="A9" s="57" t="s">
        <v>1007</v>
      </c>
      <c r="B9" s="57" t="n">
        <v>0.095</v>
      </c>
      <c r="C9" s="58" t="n">
        <f aca="false">B9/B$22*B$24</f>
        <v>0.149271497952576</v>
      </c>
      <c r="D9" s="57" t="s">
        <v>434</v>
      </c>
      <c r="E9" s="59" t="n">
        <f aca="false">IFERROR(INDEX(Correspondance!$D$2:$D$3000,MATCH(A9,Correspondance!$A$2:$A$3000,0)),0)</f>
        <v>8</v>
      </c>
      <c r="F9" s="60" t="n">
        <f aca="false">C9*E9</f>
        <v>1.19417198362061</v>
      </c>
      <c r="G9" s="61"/>
      <c r="I9" s="63"/>
    </row>
    <row r="10" customFormat="false" ht="15.75" hidden="false" customHeight="false" outlineLevel="0" collapsed="false">
      <c r="A10" s="57" t="s">
        <v>1919</v>
      </c>
      <c r="B10" s="57" t="n">
        <v>0.076</v>
      </c>
      <c r="C10" s="58" t="n">
        <f aca="false">B10/B$22*B$24</f>
        <v>0.119417198362061</v>
      </c>
      <c r="D10" s="57" t="s">
        <v>434</v>
      </c>
      <c r="E10" s="59" t="n">
        <f aca="false">IFERROR(INDEX(Correspondance!$D$2:$D$3000,MATCH(A10,Correspondance!$A$2:$A$3000,0)),0)</f>
        <v>2</v>
      </c>
      <c r="F10" s="60" t="n">
        <f aca="false">C10*E10</f>
        <v>0.238834396724122</v>
      </c>
      <c r="G10" s="61"/>
      <c r="I10" s="63"/>
    </row>
    <row r="11" customFormat="false" ht="15.75" hidden="false" customHeight="false" outlineLevel="0" collapsed="false">
      <c r="A11" s="57" t="s">
        <v>1814</v>
      </c>
      <c r="B11" s="57"/>
      <c r="C11" s="58" t="n">
        <f aca="false">B11/B$22*B$24</f>
        <v>0</v>
      </c>
      <c r="D11" s="57" t="s">
        <v>434</v>
      </c>
      <c r="E11" s="59" t="n">
        <f aca="false">IFERROR(INDEX(Correspondance!$D$2:$D$3000,MATCH(A11,Correspondance!$A$2:$A$3000,0)),0)</f>
        <v>18</v>
      </c>
      <c r="F11" s="60" t="n">
        <f aca="false">C11*E11</f>
        <v>0</v>
      </c>
      <c r="G11" s="61"/>
      <c r="I11" s="63"/>
    </row>
    <row r="12" customFormat="false" ht="18.75" hidden="false" customHeight="true" outlineLevel="0" collapsed="false">
      <c r="A12" s="57"/>
      <c r="B12" s="64"/>
      <c r="C12" s="58" t="n">
        <f aca="false">B12/B$22*B$24</f>
        <v>0</v>
      </c>
      <c r="D12" s="57"/>
      <c r="E12" s="65" t="n">
        <f aca="false">IFERROR(INDEX(Correspondance!$D$2:$D$3000,MATCH(A12,Correspondance!$A$2:$A$3000,0)),0)</f>
        <v>0</v>
      </c>
      <c r="F12" s="60" t="n">
        <f aca="false">C12*E12</f>
        <v>0</v>
      </c>
      <c r="G12" s="61"/>
      <c r="I12" s="63"/>
    </row>
    <row r="13" customFormat="false" ht="18.75" hidden="false" customHeight="true" outlineLevel="0" collapsed="false">
      <c r="A13" s="57"/>
      <c r="B13" s="64"/>
      <c r="C13" s="58" t="n">
        <f aca="false">B13/B$22*B$24</f>
        <v>0</v>
      </c>
      <c r="D13" s="57"/>
      <c r="E13" s="65" t="n">
        <f aca="false">IFERROR(INDEX(Correspondance!$D$2:$D$3000,MATCH(A13,Correspondance!$A$2:$A$3000,0)),0)</f>
        <v>0</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48.4786686982192</v>
      </c>
      <c r="G19" s="61"/>
      <c r="I19" s="63"/>
    </row>
    <row r="20" customFormat="false" ht="18.75" hidden="false" customHeight="true" outlineLevel="0" collapsed="false">
      <c r="A20" s="68" t="s">
        <v>2628</v>
      </c>
      <c r="B20" s="69" t="n">
        <f aca="false">F19/B24</f>
        <v>0.440715169983811</v>
      </c>
      <c r="C20" s="70"/>
      <c r="G20" s="61"/>
      <c r="I20" s="63"/>
    </row>
    <row r="21" customFormat="false" ht="15.75" hidden="false" customHeight="false" outlineLevel="0" collapsed="false">
      <c r="A21" s="71" t="s">
        <v>2629</v>
      </c>
      <c r="B21" s="71" t="n">
        <f aca="false">SUM(B3:B18)</f>
        <v>10.501</v>
      </c>
      <c r="C21" s="66"/>
      <c r="G21" s="61"/>
      <c r="I21" s="63"/>
    </row>
    <row r="22" customFormat="false" ht="15.75" hidden="false" customHeight="false" outlineLevel="0" collapsed="false">
      <c r="A22" s="0" t="s">
        <v>2630</v>
      </c>
      <c r="B22" s="72" t="n">
        <f aca="false">B21/B23</f>
        <v>70.0066666666667</v>
      </c>
      <c r="C22" s="66"/>
      <c r="G22" s="61"/>
      <c r="I22" s="63"/>
    </row>
    <row r="23" customFormat="false" ht="15.75" hidden="false" customHeight="false" outlineLevel="0" collapsed="false">
      <c r="A23" s="0" t="s">
        <v>2631</v>
      </c>
      <c r="B23" s="0" t="n">
        <v>0.15</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319</v>
      </c>
      <c r="B1" s="50"/>
      <c r="C1" s="50"/>
      <c r="D1" s="50"/>
      <c r="E1" s="51" t="s">
        <v>2619</v>
      </c>
      <c r="F1" s="51"/>
      <c r="G1" s="52" t="s">
        <v>2995</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973</v>
      </c>
      <c r="B4" s="57" t="n">
        <v>8.71</v>
      </c>
      <c r="C4" s="58" t="n">
        <f aca="false">B4/B$22*B$24</f>
        <v>13.6819306930693</v>
      </c>
      <c r="D4" s="57" t="s">
        <v>434</v>
      </c>
      <c r="E4" s="59" t="n">
        <f aca="false">IFERROR(INDEX(Correspondance!$D$2:$D$3000,MATCH(A4,Correspondance!$A$2:$A$3000,0)),0)</f>
        <v>2.6</v>
      </c>
      <c r="F4" s="60" t="n">
        <f aca="false">C4*E4</f>
        <v>35.5730198019802</v>
      </c>
      <c r="G4" s="61" t="s">
        <v>3001</v>
      </c>
    </row>
    <row r="5" customFormat="false" ht="15.75" hidden="false" customHeight="false" outlineLevel="0" collapsed="false">
      <c r="A5" s="57" t="s">
        <v>1120</v>
      </c>
      <c r="B5" s="57" t="n">
        <v>0.174</v>
      </c>
      <c r="C5" s="58" t="n">
        <f aca="false">B5/B$22*B$24</f>
        <v>0.273324447829398</v>
      </c>
      <c r="D5" s="57" t="s">
        <v>682</v>
      </c>
      <c r="E5" s="59" t="n">
        <f aca="false">IFERROR(INDEX(Correspondance!$D$2:$D$3000,MATCH(A5,Correspondance!$A$2:$A$3000,0)),0)</f>
        <v>7.5</v>
      </c>
      <c r="F5" s="60" t="n">
        <f aca="false">C5*E5</f>
        <v>2.04993335872049</v>
      </c>
      <c r="G5" s="61"/>
      <c r="I5" s="62"/>
    </row>
    <row r="6" customFormat="false" ht="15.75" hidden="false" customHeight="false" outlineLevel="0" collapsed="false">
      <c r="A6" s="57" t="s">
        <v>1001</v>
      </c>
      <c r="B6" s="57" t="n">
        <v>0.522</v>
      </c>
      <c r="C6" s="58" t="n">
        <f aca="false">B6/B$22*B$24</f>
        <v>0.819973343488195</v>
      </c>
      <c r="D6" s="57" t="s">
        <v>434</v>
      </c>
      <c r="E6" s="59" t="n">
        <f aca="false">IFERROR(INDEX(Correspondance!$D$2:$D$3000,MATCH(A6,Correspondance!$A$2:$A$3000,0)),0)</f>
        <v>1.8</v>
      </c>
      <c r="F6" s="60" t="n">
        <f aca="false">C6*E6</f>
        <v>1.47595201827875</v>
      </c>
      <c r="G6" s="61"/>
      <c r="I6" s="63"/>
    </row>
    <row r="7" customFormat="false" ht="15.75" hidden="false" customHeight="false" outlineLevel="0" collapsed="false">
      <c r="A7" s="57" t="s">
        <v>894</v>
      </c>
      <c r="B7" s="57" t="n">
        <v>0.07</v>
      </c>
      <c r="C7" s="58" t="n">
        <f aca="false">B7/B$22*B$24</f>
        <v>0.109958111195735</v>
      </c>
      <c r="D7" s="57" t="s">
        <v>434</v>
      </c>
      <c r="E7" s="59" t="n">
        <f aca="false">IFERROR(INDEX(Correspondance!$D$2:$D$3000,MATCH(A7,Correspondance!$A$2:$A$3000,0)),0)</f>
        <v>5.5</v>
      </c>
      <c r="F7" s="60" t="n">
        <f aca="false">C7*E7</f>
        <v>0.604769611576542</v>
      </c>
      <c r="G7" s="61"/>
      <c r="I7" s="63"/>
    </row>
    <row r="8" customFormat="false" ht="15.75" hidden="false" customHeight="false" outlineLevel="0" collapsed="false">
      <c r="A8" s="57" t="s">
        <v>1856</v>
      </c>
      <c r="B8" s="57" t="n">
        <v>0.871</v>
      </c>
      <c r="C8" s="58" t="n">
        <f aca="false">B8/B$22*B$24</f>
        <v>1.36819306930693</v>
      </c>
      <c r="D8" s="57" t="s">
        <v>434</v>
      </c>
      <c r="E8" s="59" t="n">
        <f aca="false">IFERROR(INDEX(Correspondance!$D$2:$D$3000,MATCH(A8,Correspondance!$A$2:$A$3000,0)),0)</f>
        <v>1.5</v>
      </c>
      <c r="F8" s="60" t="n">
        <f aca="false">C8*E8</f>
        <v>2.0522896039604</v>
      </c>
      <c r="G8" s="61"/>
      <c r="I8" s="63"/>
    </row>
    <row r="9" customFormat="false" ht="15.75" hidden="false" customHeight="false" outlineLevel="0" collapsed="false">
      <c r="A9" s="57" t="s">
        <v>1007</v>
      </c>
      <c r="B9" s="57" t="n">
        <v>0.087</v>
      </c>
      <c r="C9" s="58" t="n">
        <f aca="false">B9/B$22*B$24</f>
        <v>0.136662223914699</v>
      </c>
      <c r="D9" s="57" t="s">
        <v>434</v>
      </c>
      <c r="E9" s="59" t="n">
        <f aca="false">IFERROR(INDEX(Correspondance!$D$2:$D$3000,MATCH(A9,Correspondance!$A$2:$A$3000,0)),0)</f>
        <v>8</v>
      </c>
      <c r="F9" s="60" t="n">
        <f aca="false">C9*E9</f>
        <v>1.09329779131759</v>
      </c>
      <c r="G9" s="61"/>
      <c r="I9" s="63"/>
    </row>
    <row r="10" customFormat="false" ht="15.75" hidden="false" customHeight="false" outlineLevel="0" collapsed="false">
      <c r="A10" s="57" t="s">
        <v>1919</v>
      </c>
      <c r="B10" s="57" t="n">
        <v>0.07</v>
      </c>
      <c r="C10" s="58" t="n">
        <f aca="false">B10/B$22*B$24</f>
        <v>0.109958111195735</v>
      </c>
      <c r="D10" s="57" t="s">
        <v>434</v>
      </c>
      <c r="E10" s="59" t="n">
        <f aca="false">IFERROR(INDEX(Correspondance!$D$2:$D$3000,MATCH(A10,Correspondance!$A$2:$A$3000,0)),0)</f>
        <v>2</v>
      </c>
      <c r="F10" s="60" t="n">
        <f aca="false">C10*E10</f>
        <v>0.21991622239147</v>
      </c>
      <c r="G10" s="61"/>
      <c r="I10" s="63"/>
    </row>
    <row r="11" customFormat="false" ht="15.75" hidden="false" customHeight="false" outlineLevel="0" collapsed="false">
      <c r="A11" s="57" t="s">
        <v>1814</v>
      </c>
      <c r="B11" s="57"/>
      <c r="C11" s="58" t="n">
        <f aca="false">B11/B$22*B$24</f>
        <v>0</v>
      </c>
      <c r="D11" s="57" t="s">
        <v>434</v>
      </c>
      <c r="E11" s="59" t="n">
        <f aca="false">IFERROR(INDEX(Correspondance!$D$2:$D$3000,MATCH(A11,Correspondance!$A$2:$A$3000,0)),0)</f>
        <v>18</v>
      </c>
      <c r="F11" s="60" t="n">
        <f aca="false">C11*E11</f>
        <v>0</v>
      </c>
      <c r="G11" s="61"/>
      <c r="I11" s="63"/>
    </row>
    <row r="12" customFormat="false" ht="18.75" hidden="false" customHeight="true" outlineLevel="0" collapsed="false">
      <c r="A12" s="57"/>
      <c r="B12" s="64"/>
      <c r="C12" s="58" t="n">
        <f aca="false">B12/B$22*B$24</f>
        <v>0</v>
      </c>
      <c r="D12" s="57"/>
      <c r="E12" s="65" t="n">
        <f aca="false">IFERROR(INDEX(Correspondance!$D$2:$D$3000,MATCH(A12,Correspondance!$A$2:$A$3000,0)),0)</f>
        <v>0</v>
      </c>
      <c r="F12" s="60" t="n">
        <f aca="false">C12*E12</f>
        <v>0</v>
      </c>
      <c r="G12" s="61"/>
      <c r="I12" s="63"/>
    </row>
    <row r="13" customFormat="false" ht="18.75" hidden="false" customHeight="true" outlineLevel="0" collapsed="false">
      <c r="A13" s="57"/>
      <c r="B13" s="64"/>
      <c r="C13" s="58" t="n">
        <f aca="false">B13/B$22*B$24</f>
        <v>0</v>
      </c>
      <c r="D13" s="57"/>
      <c r="E13" s="65" t="n">
        <f aca="false">IFERROR(INDEX(Correspondance!$D$2:$D$3000,MATCH(A13,Correspondance!$A$2:$A$3000,0)),0)</f>
        <v>0</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43.0691784082254</v>
      </c>
      <c r="G19" s="61"/>
      <c r="I19" s="63"/>
    </row>
    <row r="20" customFormat="false" ht="18.75" hidden="false" customHeight="true" outlineLevel="0" collapsed="false">
      <c r="A20" s="68" t="s">
        <v>2628</v>
      </c>
      <c r="B20" s="69" t="n">
        <f aca="false">F19/B24</f>
        <v>0.391537985529322</v>
      </c>
      <c r="C20" s="70"/>
      <c r="G20" s="61"/>
      <c r="I20" s="63"/>
    </row>
    <row r="21" customFormat="false" ht="15.75" hidden="false" customHeight="false" outlineLevel="0" collapsed="false">
      <c r="A21" s="71" t="s">
        <v>2629</v>
      </c>
      <c r="B21" s="71" t="n">
        <f aca="false">SUM(B3:B18)</f>
        <v>10.504</v>
      </c>
      <c r="C21" s="66"/>
      <c r="G21" s="61"/>
      <c r="I21" s="63"/>
    </row>
    <row r="22" customFormat="false" ht="15.75" hidden="false" customHeight="false" outlineLevel="0" collapsed="false">
      <c r="A22" s="0" t="s">
        <v>2630</v>
      </c>
      <c r="B22" s="72" t="n">
        <f aca="false">B21/B23</f>
        <v>70.0266666666667</v>
      </c>
      <c r="C22" s="66"/>
      <c r="G22" s="61"/>
      <c r="I22" s="63"/>
    </row>
    <row r="23" customFormat="false" ht="15.75" hidden="false" customHeight="false" outlineLevel="0" collapsed="false">
      <c r="A23" s="0" t="s">
        <v>2631</v>
      </c>
      <c r="B23" s="0" t="n">
        <v>0.15</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321</v>
      </c>
      <c r="B1" s="50"/>
      <c r="C1" s="50"/>
      <c r="D1" s="50"/>
      <c r="E1" s="51" t="s">
        <v>2619</v>
      </c>
      <c r="F1" s="51"/>
      <c r="G1" s="52" t="s">
        <v>3002</v>
      </c>
    </row>
    <row r="2" customFormat="false" ht="24.75" hidden="false" customHeight="true" outlineLevel="0" collapsed="false">
      <c r="A2" s="50"/>
      <c r="B2" s="50"/>
      <c r="C2" s="50"/>
      <c r="D2" s="50"/>
      <c r="E2" s="53" t="s">
        <v>2636</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1837</v>
      </c>
      <c r="B4" s="57" t="n">
        <v>8.41</v>
      </c>
      <c r="C4" s="58" t="n">
        <f aca="false">B4/B$22*B$24</f>
        <v>13.2174308351734</v>
      </c>
      <c r="D4" s="57" t="s">
        <v>434</v>
      </c>
      <c r="E4" s="59" t="n">
        <f aca="false">IFERROR(INDEX(Correspondance!$D$2:$D$3000,MATCH(A4,Correspondance!$A$2:$A$3000,0)),0)</f>
        <v>2.2</v>
      </c>
      <c r="F4" s="60" t="n">
        <f aca="false">C4*E4</f>
        <v>29.0783478373815</v>
      </c>
      <c r="G4" s="61" t="s">
        <v>3003</v>
      </c>
    </row>
    <row r="5" customFormat="false" ht="15.75" hidden="false" customHeight="false" outlineLevel="0" collapsed="false">
      <c r="A5" s="57" t="s">
        <v>1692</v>
      </c>
      <c r="B5" s="57" t="n">
        <v>3.36</v>
      </c>
      <c r="C5" s="58" t="n">
        <f aca="false">B5/B$22*B$24</f>
        <v>5.28068580335109</v>
      </c>
      <c r="D5" s="57" t="s">
        <v>682</v>
      </c>
      <c r="E5" s="59" t="n">
        <f aca="false">IFERROR(INDEX(Correspondance!$D$2:$D$3000,MATCH(A5,Correspondance!$A$2:$A$3000,0)),0)</f>
        <v>2.4</v>
      </c>
      <c r="F5" s="60" t="n">
        <f aca="false">C5*E5</f>
        <v>12.6736459280426</v>
      </c>
      <c r="G5" s="61"/>
      <c r="I5" s="62"/>
    </row>
    <row r="6" customFormat="false" ht="15.75" hidden="false" customHeight="false" outlineLevel="0" collapsed="false">
      <c r="A6" s="57" t="s">
        <v>1576</v>
      </c>
      <c r="B6" s="57" t="n">
        <v>2.52</v>
      </c>
      <c r="C6" s="58" t="n">
        <f aca="false">B6/B$22*B$24</f>
        <v>3.96051435251331</v>
      </c>
      <c r="D6" s="57" t="s">
        <v>434</v>
      </c>
      <c r="E6" s="59" t="n">
        <f aca="false">IFERROR(INDEX(Correspondance!$D$2:$D$3000,MATCH(A6,Correspondance!$A$2:$A$3000,0)),0)</f>
        <v>5.5</v>
      </c>
      <c r="F6" s="60" t="n">
        <f aca="false">C6*E6</f>
        <v>21.7828289388232</v>
      </c>
      <c r="G6" s="61"/>
      <c r="I6" s="63"/>
    </row>
    <row r="7" customFormat="false" ht="15.75" hidden="false" customHeight="false" outlineLevel="0" collapsed="false">
      <c r="A7" s="57" t="s">
        <v>894</v>
      </c>
      <c r="B7" s="57" t="n">
        <v>0.067</v>
      </c>
      <c r="C7" s="58" t="n">
        <f aca="false">B7/B$22*B$24</f>
        <v>0.105299389531108</v>
      </c>
      <c r="D7" s="57" t="s">
        <v>434</v>
      </c>
      <c r="E7" s="59" t="n">
        <f aca="false">IFERROR(INDEX(Correspondance!$D$2:$D$3000,MATCH(A7,Correspondance!$A$2:$A$3000,0)),0)</f>
        <v>5.5</v>
      </c>
      <c r="F7" s="60" t="n">
        <f aca="false">C7*E7</f>
        <v>0.579146642421094</v>
      </c>
      <c r="G7" s="61"/>
      <c r="I7" s="63"/>
    </row>
    <row r="8" customFormat="false" ht="15.75" hidden="false" customHeight="false" outlineLevel="0" collapsed="false">
      <c r="A8" s="57" t="s">
        <v>706</v>
      </c>
      <c r="B8" s="57" t="n">
        <v>0.841</v>
      </c>
      <c r="C8" s="58" t="n">
        <f aca="false">B8/B$22*B$24</f>
        <v>1.32174308351734</v>
      </c>
      <c r="D8" s="57" t="s">
        <v>434</v>
      </c>
      <c r="E8" s="59" t="n">
        <f aca="false">IFERROR(INDEX(Correspondance!$D$2:$D$3000,MATCH(A8,Correspondance!$A$2:$A$3000,0)),0)</f>
        <v>7.5</v>
      </c>
      <c r="F8" s="60" t="n">
        <f aca="false">C8*E8</f>
        <v>9.91307312638005</v>
      </c>
      <c r="G8" s="61"/>
      <c r="I8" s="63"/>
    </row>
    <row r="9" customFormat="false" ht="15.75" hidden="false" customHeight="false" outlineLevel="0" collapsed="false">
      <c r="A9" s="57" t="s">
        <v>1491</v>
      </c>
      <c r="B9" s="57" t="n">
        <v>0.084</v>
      </c>
      <c r="C9" s="58" t="n">
        <f aca="false">B9/B$22*B$24</f>
        <v>0.132017145083777</v>
      </c>
      <c r="D9" s="57" t="s">
        <v>434</v>
      </c>
      <c r="E9" s="59" t="n">
        <f aca="false">IFERROR(INDEX(Correspondance!$D$2:$D$3000,MATCH(A9,Correspondance!$A$2:$A$3000,0)),0)</f>
        <v>9</v>
      </c>
      <c r="F9" s="60" t="n">
        <f aca="false">C9*E9</f>
        <v>1.18815430575399</v>
      </c>
      <c r="G9" s="61"/>
      <c r="I9" s="63"/>
    </row>
    <row r="10" customFormat="false" ht="15.75" hidden="false" customHeight="false" outlineLevel="0" collapsed="false">
      <c r="A10" s="57" t="s">
        <v>1919</v>
      </c>
      <c r="B10" s="57" t="n">
        <v>0.101</v>
      </c>
      <c r="C10" s="58" t="n">
        <f aca="false">B10/B$22*B$24</f>
        <v>0.158734900636446</v>
      </c>
      <c r="D10" s="57" t="s">
        <v>434</v>
      </c>
      <c r="E10" s="59" t="n">
        <f aca="false">IFERROR(INDEX(Correspondance!$D$2:$D$3000,MATCH(A10,Correspondance!$A$2:$A$3000,0)),0)</f>
        <v>2</v>
      </c>
      <c r="F10" s="60" t="n">
        <f aca="false">C10*E10</f>
        <v>0.317469801272893</v>
      </c>
      <c r="G10" s="61"/>
      <c r="I10" s="63"/>
    </row>
    <row r="11" customFormat="false" ht="15.75" hidden="false" customHeight="false" outlineLevel="0" collapsed="false">
      <c r="A11" s="57" t="s">
        <v>1730</v>
      </c>
      <c r="B11" s="57" t="n">
        <v>0.008</v>
      </c>
      <c r="C11" s="58" t="n">
        <f aca="false">B11/B$22*B$24</f>
        <v>0.0125730614365502</v>
      </c>
      <c r="D11" s="57" t="s">
        <v>434</v>
      </c>
      <c r="E11" s="59" t="n">
        <f aca="false">IFERROR(INDEX(Correspondance!$D$2:$D$3000,MATCH(A11,Correspondance!$A$2:$A$3000,0)),0)</f>
        <v>30</v>
      </c>
      <c r="F11" s="60" t="n">
        <f aca="false">C11*E11</f>
        <v>0.377191843096506</v>
      </c>
      <c r="G11" s="61"/>
      <c r="I11" s="63"/>
    </row>
    <row r="12" customFormat="false" ht="18.75" hidden="false" customHeight="true" outlineLevel="0" collapsed="false">
      <c r="A12" s="57" t="s">
        <v>1796</v>
      </c>
      <c r="B12" s="64" t="n">
        <v>0.007</v>
      </c>
      <c r="C12" s="58" t="n">
        <f aca="false">B12/B$22*B$24</f>
        <v>0.0110014287569814</v>
      </c>
      <c r="D12" s="57" t="s">
        <v>434</v>
      </c>
      <c r="E12" s="59" t="n">
        <f aca="false">IFERROR(INDEX(Correspondance!$D$2:$D$3000,MATCH(A12,Correspondance!$A$2:$A$3000,0)),0)</f>
        <v>18</v>
      </c>
      <c r="F12" s="60" t="n">
        <f aca="false">C12*E12</f>
        <v>0.198025717625666</v>
      </c>
      <c r="G12" s="61"/>
      <c r="I12" s="63"/>
    </row>
    <row r="13" customFormat="false" ht="18.75" hidden="false" customHeight="true" outlineLevel="0" collapsed="false">
      <c r="A13" s="57"/>
      <c r="B13" s="64"/>
      <c r="C13" s="58" t="n">
        <f aca="false">B13/B$22*B$24</f>
        <v>0</v>
      </c>
      <c r="D13" s="57"/>
      <c r="E13" s="65" t="n">
        <f aca="false">IFERROR(INDEX(Correspondance!$D$2:$D$3000,MATCH(A13,Correspondance!$A$2:$A$3000,0)),0)</f>
        <v>0</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76.1078841407975</v>
      </c>
      <c r="G19" s="61"/>
      <c r="I19" s="63"/>
    </row>
    <row r="20" customFormat="false" ht="18.75" hidden="false" customHeight="true" outlineLevel="0" collapsed="false">
      <c r="A20" s="68" t="s">
        <v>2628</v>
      </c>
      <c r="B20" s="69" t="n">
        <f aca="false">F19/B24</f>
        <v>0.691889855825432</v>
      </c>
      <c r="C20" s="70"/>
      <c r="G20" s="61"/>
      <c r="I20" s="63"/>
    </row>
    <row r="21" customFormat="false" ht="15.75" hidden="false" customHeight="false" outlineLevel="0" collapsed="false">
      <c r="A21" s="71" t="s">
        <v>2629</v>
      </c>
      <c r="B21" s="71" t="n">
        <f aca="false">SUM(B3:B18)</f>
        <v>15.398</v>
      </c>
      <c r="C21" s="66"/>
      <c r="G21" s="61"/>
      <c r="I21" s="63"/>
    </row>
    <row r="22" customFormat="false" ht="15.75" hidden="false" customHeight="false" outlineLevel="0" collapsed="false">
      <c r="A22" s="0" t="s">
        <v>2630</v>
      </c>
      <c r="B22" s="72" t="n">
        <f aca="false">B21/B23</f>
        <v>69.9909090909091</v>
      </c>
      <c r="C22" s="66"/>
      <c r="G22" s="61"/>
      <c r="I22" s="63"/>
    </row>
    <row r="23" customFormat="false" ht="15.75" hidden="false" customHeight="false" outlineLevel="0" collapsed="false">
      <c r="A23" s="0" t="s">
        <v>2631</v>
      </c>
      <c r="B23" s="0" t="n">
        <v>0.22</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322</v>
      </c>
      <c r="B1" s="50"/>
      <c r="C1" s="50"/>
      <c r="D1" s="50"/>
      <c r="E1" s="51" t="s">
        <v>2619</v>
      </c>
      <c r="F1" s="51"/>
      <c r="G1" s="52" t="s">
        <v>3004</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1867</v>
      </c>
      <c r="B4" s="57" t="n">
        <v>4.43</v>
      </c>
      <c r="C4" s="58" t="n">
        <f aca="false">B4/B$22*B$24</f>
        <v>6.9634181194627</v>
      </c>
      <c r="D4" s="57" t="s">
        <v>434</v>
      </c>
      <c r="E4" s="59" t="n">
        <f aca="false">IFERROR(INDEX(Correspondance!$D$2:$D$3000,MATCH(A4,Correspondance!$A$2:$A$3000,0)),0)</f>
        <v>1.6</v>
      </c>
      <c r="F4" s="60" t="n">
        <f aca="false">C4*E4</f>
        <v>11.1414689911403</v>
      </c>
      <c r="G4" s="61" t="s">
        <v>3005</v>
      </c>
    </row>
    <row r="5" customFormat="false" ht="15.75" hidden="false" customHeight="false" outlineLevel="0" collapsed="false">
      <c r="A5" s="57" t="s">
        <v>1459</v>
      </c>
      <c r="B5" s="57" t="n">
        <v>7.97</v>
      </c>
      <c r="C5" s="58" t="n">
        <f aca="false">B5/B$22*B$24</f>
        <v>12.5278651043155</v>
      </c>
      <c r="D5" s="57" t="s">
        <v>682</v>
      </c>
      <c r="E5" s="59" t="n">
        <f aca="false">IFERROR(INDEX(Correspondance!$D$2:$D$3000,MATCH(A5,Correspondance!$A$2:$A$3000,0)),0)</f>
        <v>0</v>
      </c>
      <c r="F5" s="60" t="n">
        <f aca="false">C5*E5</f>
        <v>0</v>
      </c>
      <c r="G5" s="61"/>
      <c r="I5" s="62"/>
    </row>
    <row r="6" customFormat="false" ht="15.75" hidden="false" customHeight="false" outlineLevel="0" collapsed="false">
      <c r="A6" s="57" t="s">
        <v>1919</v>
      </c>
      <c r="B6" s="57" t="n">
        <v>0.089</v>
      </c>
      <c r="C6" s="58" t="n">
        <f aca="false">B6/B$22*B$24</f>
        <v>0.139897113460989</v>
      </c>
      <c r="D6" s="57" t="s">
        <v>434</v>
      </c>
      <c r="E6" s="59" t="n">
        <f aca="false">IFERROR(INDEX(Correspondance!$D$2:$D$3000,MATCH(A6,Correspondance!$A$2:$A$3000,0)),0)</f>
        <v>2</v>
      </c>
      <c r="F6" s="60" t="n">
        <f aca="false">C6*E6</f>
        <v>0.279794226921978</v>
      </c>
      <c r="G6" s="61"/>
      <c r="I6" s="63"/>
    </row>
    <row r="7" customFormat="false" ht="15.75" hidden="false" customHeight="false" outlineLevel="0" collapsed="false">
      <c r="A7" s="57" t="s">
        <v>1491</v>
      </c>
      <c r="B7" s="57" t="n">
        <v>0.532</v>
      </c>
      <c r="C7" s="58" t="n">
        <f aca="false">B7/B$22*B$24</f>
        <v>0.836238925407259</v>
      </c>
      <c r="D7" s="57" t="s">
        <v>434</v>
      </c>
      <c r="E7" s="59" t="n">
        <f aca="false">IFERROR(INDEX(Correspondance!$D$2:$D$3000,MATCH(A7,Correspondance!$A$2:$A$3000,0)),0)</f>
        <v>9</v>
      </c>
      <c r="F7" s="60" t="n">
        <f aca="false">C7*E7</f>
        <v>7.52615032866533</v>
      </c>
      <c r="G7" s="61"/>
      <c r="I7" s="63"/>
    </row>
    <row r="8" customFormat="false" ht="15.75" hidden="false" customHeight="false" outlineLevel="0" collapsed="false">
      <c r="A8" s="57" t="s">
        <v>1675</v>
      </c>
      <c r="B8" s="57" t="n">
        <v>0.089</v>
      </c>
      <c r="C8" s="58" t="n">
        <f aca="false">B8/B$22*B$24</f>
        <v>0.139897113460989</v>
      </c>
      <c r="D8" s="57" t="s">
        <v>682</v>
      </c>
      <c r="E8" s="59" t="n">
        <f aca="false">IFERROR(INDEX(Correspondance!$D$2:$D$3000,MATCH(A8,Correspondance!$A$2:$A$3000,0)),0)</f>
        <v>2.2</v>
      </c>
      <c r="F8" s="60" t="n">
        <f aca="false">C8*E8</f>
        <v>0.307773649614176</v>
      </c>
      <c r="G8" s="61"/>
      <c r="I8" s="63"/>
    </row>
    <row r="9" customFormat="false" ht="15.75" hidden="false" customHeight="false" outlineLevel="0" collapsed="false">
      <c r="A9" s="57" t="s">
        <v>706</v>
      </c>
      <c r="B9" s="57" t="n">
        <v>0.886</v>
      </c>
      <c r="C9" s="58" t="n">
        <f aca="false">B9/B$22*B$24</f>
        <v>1.39268362389254</v>
      </c>
      <c r="D9" s="57" t="s">
        <v>434</v>
      </c>
      <c r="E9" s="59" t="n">
        <f aca="false">IFERROR(INDEX(Correspondance!$D$2:$D$3000,MATCH(A9,Correspondance!$A$2:$A$3000,0)),0)</f>
        <v>7.5</v>
      </c>
      <c r="F9" s="60" t="n">
        <f aca="false">C9*E9</f>
        <v>10.4451271791941</v>
      </c>
      <c r="G9" s="61"/>
      <c r="I9" s="63"/>
    </row>
    <row r="10" customFormat="false" ht="15.75" hidden="false" customHeight="false" outlineLevel="0" collapsed="false">
      <c r="A10" s="57" t="s">
        <v>1814</v>
      </c>
      <c r="B10" s="57"/>
      <c r="C10" s="58" t="n">
        <f aca="false">B10/B$22*B$24</f>
        <v>0</v>
      </c>
      <c r="D10" s="57" t="s">
        <v>434</v>
      </c>
      <c r="E10" s="59" t="n">
        <f aca="false">IFERROR(INDEX(Correspondance!$D$2:$D$3000,MATCH(A10,Correspondance!$A$2:$A$3000,0)),0)</f>
        <v>18</v>
      </c>
      <c r="F10" s="60" t="n">
        <f aca="false">C10*E10</f>
        <v>0</v>
      </c>
      <c r="G10" s="61"/>
      <c r="I10" s="63"/>
    </row>
    <row r="11" customFormat="false" ht="15.75" hidden="false" customHeight="false" outlineLevel="0" collapsed="false">
      <c r="A11" s="57" t="s">
        <v>1777</v>
      </c>
      <c r="B11" s="57"/>
      <c r="C11" s="58" t="n">
        <f aca="false">B11/B$22*B$24</f>
        <v>0</v>
      </c>
      <c r="D11" s="57" t="s">
        <v>434</v>
      </c>
      <c r="E11" s="59" t="n">
        <f aca="false">IFERROR(INDEX(Correspondance!$D$2:$D$3000,MATCH(A11,Correspondance!$A$2:$A$3000,0)),0)</f>
        <v>8</v>
      </c>
      <c r="F11" s="60" t="n">
        <f aca="false">C11*E11</f>
        <v>0</v>
      </c>
      <c r="G11" s="61"/>
      <c r="I11" s="63"/>
    </row>
    <row r="12" customFormat="false" ht="18.75" hidden="false" customHeight="true" outlineLevel="0" collapsed="false">
      <c r="A12" s="57"/>
      <c r="B12" s="64"/>
      <c r="C12" s="58" t="n">
        <f aca="false">B12/B$22*B$24</f>
        <v>0</v>
      </c>
      <c r="D12" s="57"/>
      <c r="E12" s="65" t="n">
        <f aca="false">IFERROR(INDEX(Correspondance!$D$2:$D$3000,MATCH(A12,Correspondance!$A$2:$A$3000,0)),0)</f>
        <v>0</v>
      </c>
      <c r="F12" s="60" t="n">
        <f aca="false">C12*E12</f>
        <v>0</v>
      </c>
      <c r="G12" s="61"/>
      <c r="I12" s="63"/>
    </row>
    <row r="13" customFormat="false" ht="18.75" hidden="false" customHeight="true" outlineLevel="0" collapsed="false">
      <c r="A13" s="57"/>
      <c r="B13" s="64"/>
      <c r="C13" s="58" t="n">
        <f aca="false">B13/B$22*B$24</f>
        <v>0</v>
      </c>
      <c r="D13" s="57"/>
      <c r="E13" s="65" t="n">
        <f aca="false">IFERROR(INDEX(Correspondance!$D$2:$D$3000,MATCH(A13,Correspondance!$A$2:$A$3000,0)),0)</f>
        <v>0</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29.7003143755359</v>
      </c>
      <c r="G19" s="61"/>
      <c r="I19" s="63"/>
    </row>
    <row r="20" customFormat="false" ht="18.75" hidden="false" customHeight="true" outlineLevel="0" collapsed="false">
      <c r="A20" s="68" t="s">
        <v>2628</v>
      </c>
      <c r="B20" s="69" t="n">
        <f aca="false">F19/B24</f>
        <v>0.270002857959417</v>
      </c>
      <c r="C20" s="70"/>
      <c r="G20" s="61"/>
      <c r="I20" s="63"/>
    </row>
    <row r="21" customFormat="false" ht="15.75" hidden="false" customHeight="false" outlineLevel="0" collapsed="false">
      <c r="A21" s="71" t="s">
        <v>2629</v>
      </c>
      <c r="B21" s="71" t="n">
        <f aca="false">SUM(B3:B18)</f>
        <v>13.996</v>
      </c>
      <c r="C21" s="66"/>
      <c r="G21" s="61"/>
      <c r="I21" s="63"/>
    </row>
    <row r="22" customFormat="false" ht="15.75" hidden="false" customHeight="false" outlineLevel="0" collapsed="false">
      <c r="A22" s="0" t="s">
        <v>2630</v>
      </c>
      <c r="B22" s="72" t="n">
        <f aca="false">B21/B23</f>
        <v>69.98</v>
      </c>
      <c r="C22" s="66"/>
      <c r="G22" s="61"/>
      <c r="I22" s="63"/>
    </row>
    <row r="23" customFormat="false" ht="15.75" hidden="false" customHeight="false" outlineLevel="0" collapsed="false">
      <c r="A23" s="0" t="s">
        <v>2631</v>
      </c>
      <c r="B23" s="0" t="n">
        <v>0.2</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323</v>
      </c>
      <c r="B1" s="50"/>
      <c r="C1" s="50"/>
      <c r="D1" s="50"/>
      <c r="E1" s="51" t="s">
        <v>2619</v>
      </c>
      <c r="F1" s="51"/>
      <c r="G1" s="52" t="s">
        <v>3004</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1865</v>
      </c>
      <c r="B4" s="57" t="n">
        <v>4.43</v>
      </c>
      <c r="C4" s="58" t="n">
        <f aca="false">B4/B$22*B$24</f>
        <v>6.96391568417292</v>
      </c>
      <c r="D4" s="57" t="s">
        <v>434</v>
      </c>
      <c r="E4" s="59" t="n">
        <f aca="false">IFERROR(INDEX(Correspondance!$D$2:$D$3000,MATCH(A4,Correspondance!$A$2:$A$3000,0)),0)</f>
        <v>1.6</v>
      </c>
      <c r="F4" s="60" t="n">
        <f aca="false">C4*E4</f>
        <v>11.1422650946767</v>
      </c>
      <c r="G4" s="61" t="s">
        <v>3006</v>
      </c>
    </row>
    <row r="5" customFormat="false" ht="15.75" hidden="false" customHeight="false" outlineLevel="0" collapsed="false">
      <c r="A5" s="57" t="s">
        <v>1459</v>
      </c>
      <c r="B5" s="57" t="n">
        <v>7.97</v>
      </c>
      <c r="C5" s="58" t="n">
        <f aca="false">B5/B$22*B$24</f>
        <v>12.5287602715255</v>
      </c>
      <c r="D5" s="57" t="s">
        <v>682</v>
      </c>
      <c r="E5" s="59" t="n">
        <f aca="false">IFERROR(INDEX(Correspondance!$D$2:$D$3000,MATCH(A5,Correspondance!$A$2:$A$3000,0)),0)</f>
        <v>0</v>
      </c>
      <c r="F5" s="60" t="n">
        <f aca="false">C5*E5</f>
        <v>0</v>
      </c>
      <c r="G5" s="61"/>
      <c r="I5" s="62"/>
    </row>
    <row r="6" customFormat="false" ht="15.75" hidden="false" customHeight="false" outlineLevel="0" collapsed="false">
      <c r="A6" s="57" t="s">
        <v>1919</v>
      </c>
      <c r="B6" s="57" t="n">
        <v>0.089</v>
      </c>
      <c r="C6" s="58" t="n">
        <f aca="false">B6/B$22*B$24</f>
        <v>0.139907109682029</v>
      </c>
      <c r="D6" s="57" t="s">
        <v>434</v>
      </c>
      <c r="E6" s="59" t="n">
        <f aca="false">IFERROR(INDEX(Correspondance!$D$2:$D$3000,MATCH(A6,Correspondance!$A$2:$A$3000,0)),0)</f>
        <v>2</v>
      </c>
      <c r="F6" s="60" t="n">
        <f aca="false">C6*E6</f>
        <v>0.279814219364059</v>
      </c>
      <c r="G6" s="61"/>
      <c r="I6" s="63"/>
    </row>
    <row r="7" customFormat="false" ht="15.75" hidden="false" customHeight="false" outlineLevel="0" collapsed="false">
      <c r="A7" s="57" t="s">
        <v>1783</v>
      </c>
      <c r="B7" s="57" t="n">
        <v>0.886</v>
      </c>
      <c r="C7" s="58" t="n">
        <f aca="false">B7/B$22*B$24</f>
        <v>1.39278313683458</v>
      </c>
      <c r="D7" s="57" t="s">
        <v>434</v>
      </c>
      <c r="E7" s="59" t="n">
        <f aca="false">IFERROR(INDEX(Correspondance!$D$2:$D$3000,MATCH(A7,Correspondance!$A$2:$A$3000,0)),0)</f>
        <v>9</v>
      </c>
      <c r="F7" s="60" t="n">
        <f aca="false">C7*E7</f>
        <v>12.5350482315113</v>
      </c>
      <c r="G7" s="61"/>
      <c r="I7" s="63"/>
    </row>
    <row r="8" customFormat="false" ht="15.75" hidden="false" customHeight="false" outlineLevel="0" collapsed="false">
      <c r="A8" s="57" t="s">
        <v>1120</v>
      </c>
      <c r="B8" s="57" t="n">
        <v>0.177</v>
      </c>
      <c r="C8" s="58" t="n">
        <f aca="false">B8/B$22*B$24</f>
        <v>0.278242229367631</v>
      </c>
      <c r="D8" s="57" t="s">
        <v>682</v>
      </c>
      <c r="E8" s="59" t="n">
        <f aca="false">IFERROR(INDEX(Correspondance!$D$2:$D$3000,MATCH(A8,Correspondance!$A$2:$A$3000,0)),0)</f>
        <v>7.5</v>
      </c>
      <c r="F8" s="60" t="n">
        <f aca="false">C8*E8</f>
        <v>2.08681672025724</v>
      </c>
      <c r="G8" s="61"/>
      <c r="I8" s="63"/>
    </row>
    <row r="9" customFormat="false" ht="15.75" hidden="false" customHeight="false" outlineLevel="0" collapsed="false">
      <c r="A9" s="57" t="s">
        <v>728</v>
      </c>
      <c r="B9" s="57" t="n">
        <v>0.443</v>
      </c>
      <c r="C9" s="58" t="n">
        <f aca="false">B9/B$22*B$24</f>
        <v>0.696391568417292</v>
      </c>
      <c r="D9" s="57" t="s">
        <v>434</v>
      </c>
      <c r="E9" s="59" t="n">
        <f aca="false">IFERROR(INDEX(Correspondance!$D$2:$D$3000,MATCH(A9,Correspondance!$A$2:$A$3000,0)),0)</f>
        <v>16</v>
      </c>
      <c r="F9" s="60" t="n">
        <f aca="false">C9*E9</f>
        <v>11.1422650946767</v>
      </c>
      <c r="G9" s="61"/>
      <c r="I9" s="63"/>
    </row>
    <row r="10" customFormat="false" ht="15.75" hidden="false" customHeight="false" outlineLevel="0" collapsed="false">
      <c r="A10" s="57" t="s">
        <v>1488</v>
      </c>
      <c r="B10" s="57"/>
      <c r="C10" s="58" t="n">
        <f aca="false">B10/B$22*B$24</f>
        <v>0</v>
      </c>
      <c r="D10" s="57" t="s">
        <v>434</v>
      </c>
      <c r="E10" s="59" t="n">
        <f aca="false">IFERROR(INDEX(Correspondance!$D$2:$D$3000,MATCH(A10,Correspondance!$A$2:$A$3000,0)),0)</f>
        <v>12</v>
      </c>
      <c r="F10" s="60" t="n">
        <f aca="false">C10*E10</f>
        <v>0</v>
      </c>
      <c r="G10" s="61"/>
      <c r="I10" s="63"/>
    </row>
    <row r="11" customFormat="false" ht="15.75" hidden="false" customHeight="false" outlineLevel="0" collapsed="false">
      <c r="A11" s="57" t="s">
        <v>1814</v>
      </c>
      <c r="B11" s="57"/>
      <c r="C11" s="58" t="n">
        <f aca="false">B11/B$22*B$24</f>
        <v>0</v>
      </c>
      <c r="D11" s="57" t="s">
        <v>434</v>
      </c>
      <c r="E11" s="59" t="n">
        <f aca="false">IFERROR(INDEX(Correspondance!$D$2:$D$3000,MATCH(A11,Correspondance!$A$2:$A$3000,0)),0)</f>
        <v>18</v>
      </c>
      <c r="F11" s="60" t="n">
        <f aca="false">C11*E11</f>
        <v>0</v>
      </c>
      <c r="G11" s="61"/>
      <c r="I11" s="63"/>
    </row>
    <row r="12" customFormat="false" ht="18.75" hidden="false" customHeight="true" outlineLevel="0" collapsed="false">
      <c r="A12" s="57"/>
      <c r="B12" s="64"/>
      <c r="C12" s="58" t="n">
        <f aca="false">B12/B$22*B$24</f>
        <v>0</v>
      </c>
      <c r="D12" s="57"/>
      <c r="E12" s="65" t="n">
        <f aca="false">IFERROR(INDEX(Correspondance!$D$2:$D$3000,MATCH(A12,Correspondance!$A$2:$A$3000,0)),0)</f>
        <v>0</v>
      </c>
      <c r="F12" s="60" t="n">
        <f aca="false">C12*E12</f>
        <v>0</v>
      </c>
      <c r="G12" s="61"/>
      <c r="I12" s="63"/>
    </row>
    <row r="13" customFormat="false" ht="18.75" hidden="false" customHeight="true" outlineLevel="0" collapsed="false">
      <c r="A13" s="57"/>
      <c r="B13" s="64"/>
      <c r="C13" s="58" t="n">
        <f aca="false">B13/B$22*B$24</f>
        <v>0</v>
      </c>
      <c r="D13" s="57"/>
      <c r="E13" s="65" t="n">
        <f aca="false">IFERROR(INDEX(Correspondance!$D$2:$D$3000,MATCH(A13,Correspondance!$A$2:$A$3000,0)),0)</f>
        <v>0</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37.1862093604859</v>
      </c>
      <c r="G19" s="61"/>
      <c r="I19" s="63"/>
    </row>
    <row r="20" customFormat="false" ht="18.75" hidden="false" customHeight="true" outlineLevel="0" collapsed="false">
      <c r="A20" s="68" t="s">
        <v>2628</v>
      </c>
      <c r="B20" s="69" t="n">
        <f aca="false">F19/B24</f>
        <v>0.33805644873169</v>
      </c>
      <c r="C20" s="70"/>
      <c r="G20" s="61"/>
      <c r="I20" s="63"/>
    </row>
    <row r="21" customFormat="false" ht="15.75" hidden="false" customHeight="false" outlineLevel="0" collapsed="false">
      <c r="A21" s="71" t="s">
        <v>2629</v>
      </c>
      <c r="B21" s="71" t="n">
        <f aca="false">SUM(B3:B18)</f>
        <v>13.995</v>
      </c>
      <c r="C21" s="66"/>
      <c r="G21" s="61"/>
      <c r="I21" s="63"/>
    </row>
    <row r="22" customFormat="false" ht="15.75" hidden="false" customHeight="false" outlineLevel="0" collapsed="false">
      <c r="A22" s="0" t="s">
        <v>2630</v>
      </c>
      <c r="B22" s="72" t="n">
        <f aca="false">B21/B23</f>
        <v>69.975</v>
      </c>
      <c r="C22" s="66"/>
      <c r="G22" s="61"/>
      <c r="I22" s="63"/>
    </row>
    <row r="23" customFormat="false" ht="15.75" hidden="false" customHeight="false" outlineLevel="0" collapsed="false">
      <c r="A23" s="0" t="s">
        <v>2631</v>
      </c>
      <c r="B23" s="0" t="n">
        <v>0.2</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324</v>
      </c>
      <c r="B1" s="50"/>
      <c r="C1" s="50"/>
      <c r="D1" s="50"/>
      <c r="E1" s="51" t="s">
        <v>2619</v>
      </c>
      <c r="F1" s="51"/>
      <c r="G1" s="52" t="s">
        <v>3007</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1141</v>
      </c>
      <c r="B4" s="57" t="n">
        <v>4.05</v>
      </c>
      <c r="C4" s="58" t="n">
        <f aca="false">B4/B$22*B$24</f>
        <v>6.36337666047707</v>
      </c>
      <c r="D4" s="57" t="s">
        <v>434</v>
      </c>
      <c r="E4" s="59" t="n">
        <f aca="false">IFERROR(INDEX(Correspondance!$D$2:$D$3000,MATCH(A4,Correspondance!$A$2:$A$3000,0)),0)</f>
        <v>3.5</v>
      </c>
      <c r="F4" s="60" t="n">
        <f aca="false">C4*E4</f>
        <v>22.2718183116698</v>
      </c>
      <c r="G4" s="61" t="s">
        <v>3008</v>
      </c>
    </row>
    <row r="5" customFormat="false" ht="15.75" hidden="false" customHeight="false" outlineLevel="0" collapsed="false">
      <c r="A5" s="57" t="s">
        <v>1459</v>
      </c>
      <c r="B5" s="57" t="n">
        <v>7.28</v>
      </c>
      <c r="C5" s="58" t="n">
        <f aca="false">B5/B$22*B$24</f>
        <v>11.4383659477218</v>
      </c>
      <c r="D5" s="57" t="s">
        <v>682</v>
      </c>
      <c r="E5" s="59" t="n">
        <f aca="false">IFERROR(INDEX(Correspondance!$D$2:$D$3000,MATCH(A5,Correspondance!$A$2:$A$3000,0)),0)</f>
        <v>0</v>
      </c>
      <c r="F5" s="60" t="n">
        <f aca="false">C5*E5</f>
        <v>0</v>
      </c>
      <c r="G5" s="61"/>
      <c r="I5" s="62"/>
    </row>
    <row r="6" customFormat="false" ht="15.75" hidden="false" customHeight="false" outlineLevel="0" collapsed="false">
      <c r="A6" s="57" t="s">
        <v>981</v>
      </c>
      <c r="B6" s="57" t="n">
        <v>1.62</v>
      </c>
      <c r="C6" s="58" t="n">
        <f aca="false">B6/B$22*B$24</f>
        <v>2.54535066419083</v>
      </c>
      <c r="D6" s="57" t="s">
        <v>434</v>
      </c>
      <c r="E6" s="59" t="n">
        <f aca="false">IFERROR(INDEX(Correspondance!$D$2:$D$3000,MATCH(A6,Correspondance!$A$2:$A$3000,0)),0)</f>
        <v>3.2</v>
      </c>
      <c r="F6" s="60" t="n">
        <f aca="false">C6*E6</f>
        <v>8.14512212541066</v>
      </c>
      <c r="G6" s="61"/>
      <c r="I6" s="63"/>
    </row>
    <row r="7" customFormat="false" ht="15.75" hidden="false" customHeight="false" outlineLevel="0" collapsed="false">
      <c r="A7" s="57" t="s">
        <v>1001</v>
      </c>
      <c r="B7" s="57" t="n">
        <v>0.405</v>
      </c>
      <c r="C7" s="58" t="n">
        <f aca="false">B7/B$22*B$24</f>
        <v>0.636337666047708</v>
      </c>
      <c r="D7" s="57" t="s">
        <v>434</v>
      </c>
      <c r="E7" s="59" t="n">
        <f aca="false">IFERROR(INDEX(Correspondance!$D$2:$D$3000,MATCH(A7,Correspondance!$A$2:$A$3000,0)),0)</f>
        <v>1.8</v>
      </c>
      <c r="F7" s="60" t="n">
        <f aca="false">C7*E7</f>
        <v>1.14540779888587</v>
      </c>
      <c r="G7" s="61"/>
      <c r="I7" s="63"/>
    </row>
    <row r="8" customFormat="false" ht="15.75" hidden="false" customHeight="false" outlineLevel="0" collapsed="false">
      <c r="A8" s="57" t="s">
        <v>894</v>
      </c>
      <c r="B8" s="57" t="n">
        <v>0.04</v>
      </c>
      <c r="C8" s="58" t="n">
        <f aca="false">B8/B$22*B$24</f>
        <v>0.0628481645479217</v>
      </c>
      <c r="D8" s="57" t="s">
        <v>434</v>
      </c>
      <c r="E8" s="59" t="n">
        <f aca="false">IFERROR(INDEX(Correspondance!$D$2:$D$3000,MATCH(A8,Correspondance!$A$2:$A$3000,0)),0)</f>
        <v>5.5</v>
      </c>
      <c r="F8" s="60" t="n">
        <f aca="false">C8*E8</f>
        <v>0.345664905013569</v>
      </c>
      <c r="G8" s="61"/>
      <c r="I8" s="63"/>
    </row>
    <row r="9" customFormat="false" ht="15.75" hidden="false" customHeight="false" outlineLevel="0" collapsed="false">
      <c r="A9" s="57" t="s">
        <v>1246</v>
      </c>
      <c r="B9" s="57" t="n">
        <v>0.324</v>
      </c>
      <c r="C9" s="58" t="n">
        <f aca="false">B9/B$22*B$24</f>
        <v>0.509070132838166</v>
      </c>
      <c r="D9" s="57" t="s">
        <v>682</v>
      </c>
      <c r="E9" s="59" t="n">
        <f aca="false">IFERROR(INDEX(Correspondance!$D$2:$D$3000,MATCH(A9,Correspondance!$A$2:$A$3000,0)),0)</f>
        <v>4</v>
      </c>
      <c r="F9" s="60" t="n">
        <f aca="false">C9*E9</f>
        <v>2.03628053135266</v>
      </c>
      <c r="G9" s="61"/>
      <c r="I9" s="63"/>
    </row>
    <row r="10" customFormat="false" ht="15.75" hidden="false" customHeight="false" outlineLevel="0" collapsed="false">
      <c r="A10" s="57" t="s">
        <v>1131</v>
      </c>
      <c r="B10" s="57" t="n">
        <v>0.162</v>
      </c>
      <c r="C10" s="58" t="n">
        <f aca="false">B10/B$22*B$24</f>
        <v>0.254535066419083</v>
      </c>
      <c r="D10" s="57" t="s">
        <v>682</v>
      </c>
      <c r="E10" s="59" t="n">
        <f aca="false">IFERROR(INDEX(Correspondance!$D$2:$D$3000,MATCH(A10,Correspondance!$A$2:$A$3000,0)),0)</f>
        <v>2.2</v>
      </c>
      <c r="F10" s="60" t="n">
        <f aca="false">C10*E10</f>
        <v>0.559977146121983</v>
      </c>
      <c r="G10" s="61"/>
      <c r="I10" s="63"/>
    </row>
    <row r="11" customFormat="false" ht="15.75" hidden="false" customHeight="false" outlineLevel="0" collapsed="false">
      <c r="A11" s="57" t="s">
        <v>1128</v>
      </c>
      <c r="B11" s="57" t="n">
        <v>0.081</v>
      </c>
      <c r="C11" s="58" t="n">
        <f aca="false">B11/B$22*B$24</f>
        <v>0.127267533209541</v>
      </c>
      <c r="D11" s="57" t="s">
        <v>682</v>
      </c>
      <c r="E11" s="59" t="n">
        <f aca="false">IFERROR(INDEX(Correspondance!$D$2:$D$3000,MATCH(A11,Correspondance!$A$2:$A$3000,0)),0)</f>
        <v>11</v>
      </c>
      <c r="F11" s="60" t="n">
        <f aca="false">C11*E11</f>
        <v>1.39994286530496</v>
      </c>
      <c r="G11" s="61"/>
      <c r="I11" s="63"/>
    </row>
    <row r="12" customFormat="false" ht="18.75" hidden="false" customHeight="true" outlineLevel="0" collapsed="false">
      <c r="A12" s="57" t="s">
        <v>1919</v>
      </c>
      <c r="B12" s="64" t="n">
        <v>0.04</v>
      </c>
      <c r="C12" s="58" t="n">
        <f aca="false">B12/B$22*B$24</f>
        <v>0.0628481645479217</v>
      </c>
      <c r="D12" s="57" t="s">
        <v>434</v>
      </c>
      <c r="E12" s="59" t="n">
        <f aca="false">IFERROR(INDEX(Correspondance!$D$2:$D$3000,MATCH(A12,Correspondance!$A$2:$A$3000,0)),0)</f>
        <v>2</v>
      </c>
      <c r="F12" s="60" t="n">
        <f aca="false">C12*E12</f>
        <v>0.125696329095843</v>
      </c>
      <c r="G12" s="61"/>
      <c r="I12" s="63"/>
    </row>
    <row r="13" customFormat="false" ht="18.75" hidden="false" customHeight="true" outlineLevel="0" collapsed="false">
      <c r="A13" s="57" t="s">
        <v>1650</v>
      </c>
      <c r="B13" s="64"/>
      <c r="C13" s="58" t="n">
        <f aca="false">B13/B$22*B$24</f>
        <v>0</v>
      </c>
      <c r="D13" s="57" t="s">
        <v>434</v>
      </c>
      <c r="E13" s="59" t="n">
        <f aca="false">IFERROR(INDEX(Correspondance!$D$2:$D$3000,MATCH(A13,Correspondance!$A$2:$A$3000,0)),0)</f>
        <v>14</v>
      </c>
      <c r="F13" s="60" t="n">
        <f aca="false">C13*E13</f>
        <v>0</v>
      </c>
      <c r="G13" s="61"/>
      <c r="I13" s="63"/>
    </row>
    <row r="14" customFormat="false" ht="15.75" hidden="false" customHeight="false" outlineLevel="0" collapsed="false">
      <c r="A14" s="57" t="s">
        <v>1566</v>
      </c>
      <c r="B14" s="57"/>
      <c r="C14" s="58" t="n">
        <f aca="false">B14/B$22*B$24</f>
        <v>0</v>
      </c>
      <c r="D14" s="57" t="s">
        <v>434</v>
      </c>
      <c r="E14" s="59" t="n">
        <f aca="false">IFERROR(INDEX(Correspondance!$D$2:$D$3000,MATCH(A14,Correspondance!$A$2:$A$3000,0)),0)</f>
        <v>13</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36.0299100128553</v>
      </c>
      <c r="G19" s="61"/>
      <c r="I19" s="63"/>
    </row>
    <row r="20" customFormat="false" ht="18.75" hidden="false" customHeight="true" outlineLevel="0" collapsed="false">
      <c r="A20" s="68" t="s">
        <v>2628</v>
      </c>
      <c r="B20" s="69" t="n">
        <f aca="false">F19/B24</f>
        <v>0.327544636480503</v>
      </c>
      <c r="C20" s="70"/>
      <c r="G20" s="61"/>
      <c r="I20" s="63"/>
    </row>
    <row r="21" customFormat="false" ht="15.75" hidden="false" customHeight="false" outlineLevel="0" collapsed="false">
      <c r="A21" s="71" t="s">
        <v>2629</v>
      </c>
      <c r="B21" s="71" t="n">
        <f aca="false">SUM(B3:B18)</f>
        <v>14.002</v>
      </c>
      <c r="C21" s="66"/>
      <c r="G21" s="61"/>
      <c r="I21" s="63"/>
    </row>
    <row r="22" customFormat="false" ht="15.75" hidden="false" customHeight="false" outlineLevel="0" collapsed="false">
      <c r="A22" s="0" t="s">
        <v>2630</v>
      </c>
      <c r="B22" s="72" t="n">
        <f aca="false">B21/B23</f>
        <v>70.01</v>
      </c>
      <c r="C22" s="66"/>
      <c r="G22" s="61"/>
      <c r="I22" s="63"/>
    </row>
    <row r="23" customFormat="false" ht="15.75" hidden="false" customHeight="false" outlineLevel="0" collapsed="false">
      <c r="A23" s="0" t="s">
        <v>2631</v>
      </c>
      <c r="B23" s="0" t="n">
        <v>0.2</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325</v>
      </c>
      <c r="B1" s="50"/>
      <c r="C1" s="50"/>
      <c r="D1" s="50"/>
      <c r="E1" s="51" t="s">
        <v>2619</v>
      </c>
      <c r="F1" s="51"/>
      <c r="G1" s="52" t="s">
        <v>3009</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1382</v>
      </c>
      <c r="B4" s="57" t="n">
        <v>9.16</v>
      </c>
      <c r="C4" s="58" t="n">
        <f aca="false">B4/B$22*B$24</f>
        <v>14.4022869848328</v>
      </c>
      <c r="D4" s="57" t="s">
        <v>434</v>
      </c>
      <c r="E4" s="59" t="n">
        <f aca="false">IFERROR(INDEX(Correspondance!$D$2:$D$3000,MATCH(A4,Correspondance!$A$2:$A$3000,0)),0)</f>
        <v>3.5</v>
      </c>
      <c r="F4" s="60" t="n">
        <f aca="false">C4*E4</f>
        <v>50.408004446915</v>
      </c>
      <c r="G4" s="61" t="s">
        <v>3010</v>
      </c>
    </row>
    <row r="5" customFormat="false" ht="15.75" hidden="false" customHeight="false" outlineLevel="0" collapsed="false">
      <c r="A5" s="57" t="s">
        <v>1491</v>
      </c>
      <c r="B5" s="57" t="n">
        <v>0.458</v>
      </c>
      <c r="C5" s="58" t="n">
        <f aca="false">B5/B$22*B$24</f>
        <v>0.720114349241642</v>
      </c>
      <c r="D5" s="57" t="s">
        <v>434</v>
      </c>
      <c r="E5" s="59" t="n">
        <f aca="false">IFERROR(INDEX(Correspondance!$D$2:$D$3000,MATCH(A5,Correspondance!$A$2:$A$3000,0)),0)</f>
        <v>9</v>
      </c>
      <c r="F5" s="60" t="n">
        <f aca="false">C5*E5</f>
        <v>6.48102914317478</v>
      </c>
      <c r="G5" s="61"/>
      <c r="I5" s="62"/>
    </row>
    <row r="6" customFormat="false" ht="15.75" hidden="false" customHeight="false" outlineLevel="0" collapsed="false">
      <c r="A6" s="57" t="s">
        <v>1120</v>
      </c>
      <c r="B6" s="57" t="n">
        <v>0.183</v>
      </c>
      <c r="C6" s="58" t="n">
        <f aca="false">B6/B$22*B$24</f>
        <v>0.287731279282141</v>
      </c>
      <c r="D6" s="57" t="s">
        <v>682</v>
      </c>
      <c r="E6" s="59" t="n">
        <f aca="false">IFERROR(INDEX(Correspondance!$D$2:$D$3000,MATCH(A6,Correspondance!$A$2:$A$3000,0)),0)</f>
        <v>7.5</v>
      </c>
      <c r="F6" s="60" t="n">
        <f aca="false">C6*E6</f>
        <v>2.15798459461606</v>
      </c>
      <c r="G6" s="61"/>
      <c r="I6" s="63"/>
    </row>
    <row r="7" customFormat="false" ht="15.75" hidden="false" customHeight="false" outlineLevel="0" collapsed="false">
      <c r="A7" s="57" t="s">
        <v>1856</v>
      </c>
      <c r="B7" s="57" t="n">
        <v>1.83</v>
      </c>
      <c r="C7" s="58" t="n">
        <f aca="false">B7/B$22*B$24</f>
        <v>2.87731279282141</v>
      </c>
      <c r="D7" s="57" t="s">
        <v>434</v>
      </c>
      <c r="E7" s="59" t="n">
        <f aca="false">IFERROR(INDEX(Correspondance!$D$2:$D$3000,MATCH(A7,Correspondance!$A$2:$A$3000,0)),0)</f>
        <v>1.5</v>
      </c>
      <c r="F7" s="60" t="n">
        <f aca="false">C7*E7</f>
        <v>4.31596918923211</v>
      </c>
      <c r="G7" s="61"/>
      <c r="I7" s="63"/>
    </row>
    <row r="8" customFormat="false" ht="15.75" hidden="false" customHeight="false" outlineLevel="0" collapsed="false">
      <c r="A8" s="57" t="s">
        <v>706</v>
      </c>
      <c r="B8" s="57" t="n">
        <v>0.916</v>
      </c>
      <c r="C8" s="58" t="n">
        <f aca="false">B8/B$22*B$24</f>
        <v>1.44022869848328</v>
      </c>
      <c r="D8" s="57" t="s">
        <v>434</v>
      </c>
      <c r="E8" s="59" t="n">
        <f aca="false">IFERROR(INDEX(Correspondance!$D$2:$D$3000,MATCH(A8,Correspondance!$A$2:$A$3000,0)),0)</f>
        <v>7.5</v>
      </c>
      <c r="F8" s="60" t="n">
        <f aca="false">C8*E8</f>
        <v>10.8017152386246</v>
      </c>
      <c r="G8" s="61"/>
      <c r="I8" s="63"/>
    </row>
    <row r="9" customFormat="false" ht="15.75" hidden="false" customHeight="false" outlineLevel="0" collapsed="false">
      <c r="A9" s="57" t="s">
        <v>1919</v>
      </c>
      <c r="B9" s="57" t="n">
        <v>0.046</v>
      </c>
      <c r="C9" s="58" t="n">
        <f aca="false">B9/B$22*B$24</f>
        <v>0.0723258953386802</v>
      </c>
      <c r="D9" s="57" t="s">
        <v>434</v>
      </c>
      <c r="E9" s="59" t="n">
        <f aca="false">IFERROR(INDEX(Correspondance!$D$2:$D$3000,MATCH(A9,Correspondance!$A$2:$A$3000,0)),0)</f>
        <v>2</v>
      </c>
      <c r="F9" s="60" t="n">
        <f aca="false">C9*E9</f>
        <v>0.14465179067736</v>
      </c>
      <c r="G9" s="61"/>
      <c r="I9" s="63"/>
    </row>
    <row r="10" customFormat="false" ht="15.75" hidden="false" customHeight="false" outlineLevel="0" collapsed="false">
      <c r="A10" s="57" t="s">
        <v>1488</v>
      </c>
      <c r="B10" s="57"/>
      <c r="C10" s="58" t="n">
        <f aca="false">B10/B$22*B$24</f>
        <v>0</v>
      </c>
      <c r="D10" s="57" t="s">
        <v>434</v>
      </c>
      <c r="E10" s="59" t="n">
        <f aca="false">IFERROR(INDEX(Correspondance!$D$2:$D$3000,MATCH(A10,Correspondance!$A$2:$A$3000,0)),0)</f>
        <v>12</v>
      </c>
      <c r="F10" s="60" t="n">
        <f aca="false">C10*E10</f>
        <v>0</v>
      </c>
      <c r="G10" s="61"/>
      <c r="I10" s="63"/>
    </row>
    <row r="11" customFormat="false" ht="15.75" hidden="false" customHeight="false" outlineLevel="0" collapsed="false">
      <c r="A11" s="57" t="s">
        <v>1814</v>
      </c>
      <c r="B11" s="57"/>
      <c r="C11" s="58" t="n">
        <f aca="false">B11/B$22*B$24</f>
        <v>0</v>
      </c>
      <c r="D11" s="57" t="s">
        <v>434</v>
      </c>
      <c r="E11" s="59" t="n">
        <f aca="false">IFERROR(INDEX(Correspondance!$D$2:$D$3000,MATCH(A11,Correspondance!$A$2:$A$3000,0)),0)</f>
        <v>18</v>
      </c>
      <c r="F11" s="60" t="n">
        <f aca="false">C11*E11</f>
        <v>0</v>
      </c>
      <c r="G11" s="61"/>
      <c r="I11" s="63"/>
    </row>
    <row r="12" customFormat="false" ht="18.75" hidden="false" customHeight="true" outlineLevel="0" collapsed="false">
      <c r="A12" s="57"/>
      <c r="B12" s="64"/>
      <c r="C12" s="58" t="n">
        <f aca="false">B12/B$22*B$24</f>
        <v>0</v>
      </c>
      <c r="D12" s="57"/>
      <c r="E12" s="65" t="n">
        <f aca="false">IFERROR(INDEX(Correspondance!$D$2:$D$3000,MATCH(A12,Correspondance!$A$2:$A$3000,0)),0)</f>
        <v>0</v>
      </c>
      <c r="F12" s="60" t="n">
        <f aca="false">C12*E12</f>
        <v>0</v>
      </c>
      <c r="G12" s="61"/>
      <c r="I12" s="63"/>
    </row>
    <row r="13" customFormat="false" ht="18.75" hidden="false" customHeight="true" outlineLevel="0" collapsed="false">
      <c r="A13" s="57"/>
      <c r="B13" s="64"/>
      <c r="C13" s="58" t="n">
        <f aca="false">B13/B$22*B$24</f>
        <v>0</v>
      </c>
      <c r="D13" s="57"/>
      <c r="E13" s="65" t="n">
        <f aca="false">IFERROR(INDEX(Correspondance!$D$2:$D$3000,MATCH(A13,Correspondance!$A$2:$A$3000,0)),0)</f>
        <v>0</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74.3093544032399</v>
      </c>
      <c r="G19" s="61"/>
      <c r="I19" s="63"/>
    </row>
    <row r="20" customFormat="false" ht="18.75" hidden="false" customHeight="true" outlineLevel="0" collapsed="false">
      <c r="A20" s="68" t="s">
        <v>2628</v>
      </c>
      <c r="B20" s="69" t="n">
        <f aca="false">F19/B24</f>
        <v>0.675539585483999</v>
      </c>
      <c r="C20" s="70"/>
      <c r="G20" s="61"/>
      <c r="I20" s="63"/>
    </row>
    <row r="21" customFormat="false" ht="15.75" hidden="false" customHeight="false" outlineLevel="0" collapsed="false">
      <c r="A21" s="71" t="s">
        <v>2629</v>
      </c>
      <c r="B21" s="71" t="n">
        <f aca="false">SUM(B3:B18)</f>
        <v>12.593</v>
      </c>
      <c r="C21" s="66"/>
      <c r="G21" s="61"/>
      <c r="I21" s="63"/>
    </row>
    <row r="22" customFormat="false" ht="15.75" hidden="false" customHeight="false" outlineLevel="0" collapsed="false">
      <c r="A22" s="0" t="s">
        <v>2630</v>
      </c>
      <c r="B22" s="72" t="n">
        <f aca="false">B21/B23</f>
        <v>69.9611111111111</v>
      </c>
      <c r="C22" s="66"/>
      <c r="G22" s="61"/>
      <c r="I22" s="63"/>
    </row>
    <row r="23" customFormat="false" ht="15.75" hidden="false" customHeight="false" outlineLevel="0" collapsed="false">
      <c r="A23" s="0" t="s">
        <v>2631</v>
      </c>
      <c r="B23" s="0" t="n">
        <v>0.18</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326</v>
      </c>
      <c r="B1" s="50"/>
      <c r="C1" s="50"/>
      <c r="D1" s="50"/>
      <c r="E1" s="51" t="s">
        <v>2619</v>
      </c>
      <c r="F1" s="51"/>
      <c r="G1" s="52" t="s">
        <v>3011</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1871</v>
      </c>
      <c r="B4" s="57" t="n">
        <v>4.62</v>
      </c>
      <c r="C4" s="58" t="n">
        <f aca="false">B4/B$22*B$24</f>
        <v>7.2594814656096</v>
      </c>
      <c r="D4" s="57" t="s">
        <v>434</v>
      </c>
      <c r="E4" s="59" t="n">
        <f aca="false">IFERROR(INDEX(Correspondance!$D$2:$D$3000,MATCH(A4,Correspondance!$A$2:$A$3000,0)),0)</f>
        <v>2.5</v>
      </c>
      <c r="F4" s="60" t="n">
        <f aca="false">C4*E4</f>
        <v>18.148703664024</v>
      </c>
      <c r="G4" s="61" t="s">
        <v>3012</v>
      </c>
    </row>
    <row r="5" customFormat="false" ht="15.75" hidden="false" customHeight="false" outlineLevel="0" collapsed="false">
      <c r="A5" s="57" t="s">
        <v>1459</v>
      </c>
      <c r="B5" s="57" t="n">
        <v>8.31</v>
      </c>
      <c r="C5" s="58" t="n">
        <f aca="false">B5/B$22*B$24</f>
        <v>13.05763874009</v>
      </c>
      <c r="D5" s="57" t="s">
        <v>682</v>
      </c>
      <c r="E5" s="59" t="n">
        <f aca="false">IFERROR(INDEX(Correspondance!$D$2:$D$3000,MATCH(A5,Correspondance!$A$2:$A$3000,0)),0)</f>
        <v>0</v>
      </c>
      <c r="F5" s="60" t="n">
        <f aca="false">C5*E5</f>
        <v>0</v>
      </c>
      <c r="G5" s="61"/>
      <c r="I5" s="62"/>
    </row>
    <row r="6" customFormat="false" ht="15.75" hidden="false" customHeight="false" outlineLevel="0" collapsed="false">
      <c r="A6" s="57" t="s">
        <v>1100</v>
      </c>
      <c r="B6" s="57" t="n">
        <v>0.092</v>
      </c>
      <c r="C6" s="58" t="n">
        <f aca="false">B6/B$22*B$24</f>
        <v>0.144561102778373</v>
      </c>
      <c r="D6" s="57" t="s">
        <v>434</v>
      </c>
      <c r="E6" s="59" t="n">
        <f aca="false">IFERROR(INDEX(Correspondance!$D$2:$D$3000,MATCH(A6,Correspondance!$A$2:$A$3000,0)),0)</f>
        <v>10</v>
      </c>
      <c r="F6" s="60" t="n">
        <f aca="false">C6*E6</f>
        <v>1.44561102778373</v>
      </c>
      <c r="G6" s="61"/>
      <c r="I6" s="63"/>
    </row>
    <row r="7" customFormat="false" ht="15.75" hidden="false" customHeight="false" outlineLevel="0" collapsed="false">
      <c r="A7" s="57" t="s">
        <v>1001</v>
      </c>
      <c r="B7" s="57" t="n">
        <v>0.462</v>
      </c>
      <c r="C7" s="58" t="n">
        <f aca="false">B7/B$22*B$24</f>
        <v>0.72594814656096</v>
      </c>
      <c r="D7" s="57" t="s">
        <v>434</v>
      </c>
      <c r="E7" s="59" t="n">
        <f aca="false">IFERROR(INDEX(Correspondance!$D$2:$D$3000,MATCH(A7,Correspondance!$A$2:$A$3000,0)),0)</f>
        <v>1.8</v>
      </c>
      <c r="F7" s="60" t="n">
        <f aca="false">C7*E7</f>
        <v>1.30670666380973</v>
      </c>
      <c r="G7" s="61"/>
      <c r="I7" s="63"/>
    </row>
    <row r="8" customFormat="false" ht="15.75" hidden="false" customHeight="false" outlineLevel="0" collapsed="false">
      <c r="A8" s="57" t="s">
        <v>1120</v>
      </c>
      <c r="B8" s="57" t="n">
        <v>0.185</v>
      </c>
      <c r="C8" s="58" t="n">
        <f aca="false">B8/B$22*B$24</f>
        <v>0.290693521891294</v>
      </c>
      <c r="D8" s="57" t="s">
        <v>682</v>
      </c>
      <c r="E8" s="59" t="n">
        <f aca="false">IFERROR(INDEX(Correspondance!$D$2:$D$3000,MATCH(A8,Correspondance!$A$2:$A$3000,0)),0)</f>
        <v>7.5</v>
      </c>
      <c r="F8" s="60" t="n">
        <f aca="false">C8*E8</f>
        <v>2.1802014141847</v>
      </c>
      <c r="G8" s="61"/>
      <c r="I8" s="63"/>
    </row>
    <row r="9" customFormat="false" ht="15.75" hidden="false" customHeight="false" outlineLevel="0" collapsed="false">
      <c r="A9" s="57" t="s">
        <v>1491</v>
      </c>
      <c r="B9" s="57" t="n">
        <v>0.277</v>
      </c>
      <c r="C9" s="58" t="n">
        <f aca="false">B9/B$22*B$24</f>
        <v>0.435254624669666</v>
      </c>
      <c r="D9" s="57" t="s">
        <v>434</v>
      </c>
      <c r="E9" s="59" t="n">
        <f aca="false">IFERROR(INDEX(Correspondance!$D$2:$D$3000,MATCH(A9,Correspondance!$A$2:$A$3000,0)),0)</f>
        <v>9</v>
      </c>
      <c r="F9" s="60" t="n">
        <f aca="false">C9*E9</f>
        <v>3.917291622027</v>
      </c>
      <c r="G9" s="61"/>
      <c r="I9" s="63"/>
    </row>
    <row r="10" customFormat="false" ht="15.75" hidden="false" customHeight="false" outlineLevel="0" collapsed="false">
      <c r="A10" s="57" t="s">
        <v>1919</v>
      </c>
      <c r="B10" s="57" t="n">
        <v>0.055</v>
      </c>
      <c r="C10" s="58" t="n">
        <f aca="false">B10/B$22*B$24</f>
        <v>0.0864223984001143</v>
      </c>
      <c r="D10" s="57" t="s">
        <v>434</v>
      </c>
      <c r="E10" s="59" t="n">
        <f aca="false">IFERROR(INDEX(Correspondance!$D$2:$D$3000,MATCH(A10,Correspondance!$A$2:$A$3000,0)),0)</f>
        <v>2</v>
      </c>
      <c r="F10" s="60" t="n">
        <f aca="false">C10*E10</f>
        <v>0.172844796800229</v>
      </c>
      <c r="G10" s="61"/>
      <c r="I10" s="63"/>
    </row>
    <row r="11" customFormat="false" ht="15.75" hidden="false" customHeight="false" outlineLevel="0" collapsed="false">
      <c r="A11" s="57" t="s">
        <v>1777</v>
      </c>
      <c r="B11" s="57"/>
      <c r="C11" s="58" t="n">
        <f aca="false">B11/B$22*B$24</f>
        <v>0</v>
      </c>
      <c r="D11" s="57" t="s">
        <v>434</v>
      </c>
      <c r="E11" s="59" t="n">
        <f aca="false">IFERROR(INDEX(Correspondance!$D$2:$D$3000,MATCH(A11,Correspondance!$A$2:$A$3000,0)),0)</f>
        <v>8</v>
      </c>
      <c r="F11" s="60" t="n">
        <f aca="false">C11*E11</f>
        <v>0</v>
      </c>
      <c r="G11" s="61"/>
      <c r="I11" s="63"/>
    </row>
    <row r="12" customFormat="false" ht="18.75" hidden="false" customHeight="true" outlineLevel="0" collapsed="false">
      <c r="A12" s="57" t="s">
        <v>1814</v>
      </c>
      <c r="B12" s="64"/>
      <c r="C12" s="58" t="n">
        <f aca="false">B12/B$22*B$24</f>
        <v>0</v>
      </c>
      <c r="D12" s="57" t="s">
        <v>434</v>
      </c>
      <c r="E12" s="59" t="n">
        <f aca="false">IFERROR(INDEX(Correspondance!$D$2:$D$3000,MATCH(A12,Correspondance!$A$2:$A$3000,0)),0)</f>
        <v>18</v>
      </c>
      <c r="F12" s="60" t="n">
        <f aca="false">C12*E12</f>
        <v>0</v>
      </c>
      <c r="G12" s="61"/>
      <c r="I12" s="63"/>
    </row>
    <row r="13" customFormat="false" ht="18.75" hidden="false" customHeight="true" outlineLevel="0" collapsed="false">
      <c r="A13" s="57"/>
      <c r="B13" s="64"/>
      <c r="C13" s="58" t="n">
        <f aca="false">B13/B$22*B$24</f>
        <v>0</v>
      </c>
      <c r="D13" s="57"/>
      <c r="E13" s="65" t="n">
        <f aca="false">IFERROR(INDEX(Correspondance!$D$2:$D$3000,MATCH(A13,Correspondance!$A$2:$A$3000,0)),0)</f>
        <v>0</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27.1713591886294</v>
      </c>
      <c r="G19" s="61"/>
      <c r="I19" s="63"/>
    </row>
    <row r="20" customFormat="false" ht="18.75" hidden="false" customHeight="true" outlineLevel="0" collapsed="false">
      <c r="A20" s="68" t="s">
        <v>2628</v>
      </c>
      <c r="B20" s="69" t="n">
        <f aca="false">F19/B24</f>
        <v>0.247012356260267</v>
      </c>
      <c r="C20" s="70"/>
      <c r="G20" s="61"/>
      <c r="I20" s="63"/>
    </row>
    <row r="21" customFormat="false" ht="15.75" hidden="false" customHeight="false" outlineLevel="0" collapsed="false">
      <c r="A21" s="71" t="s">
        <v>2629</v>
      </c>
      <c r="B21" s="71" t="n">
        <f aca="false">SUM(B3:B18)</f>
        <v>14.001</v>
      </c>
      <c r="C21" s="66"/>
      <c r="G21" s="61"/>
      <c r="I21" s="63"/>
    </row>
    <row r="22" customFormat="false" ht="15.75" hidden="false" customHeight="false" outlineLevel="0" collapsed="false">
      <c r="A22" s="0" t="s">
        <v>2630</v>
      </c>
      <c r="B22" s="72" t="n">
        <f aca="false">B21/B23</f>
        <v>70.005</v>
      </c>
      <c r="C22" s="66"/>
      <c r="G22" s="61"/>
      <c r="I22" s="63"/>
    </row>
    <row r="23" customFormat="false" ht="15.75" hidden="false" customHeight="false" outlineLevel="0" collapsed="false">
      <c r="A23" s="0" t="s">
        <v>2631</v>
      </c>
      <c r="B23" s="0" t="n">
        <v>0.2</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327</v>
      </c>
      <c r="B1" s="50"/>
      <c r="C1" s="50"/>
      <c r="D1" s="50"/>
      <c r="E1" s="51" t="s">
        <v>2619</v>
      </c>
      <c r="F1" s="51"/>
      <c r="G1" s="52" t="s">
        <v>2990</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1629</v>
      </c>
      <c r="B4" s="57" t="n">
        <v>9.83</v>
      </c>
      <c r="C4" s="58" t="n">
        <f aca="false">B4/B$22*B$24</f>
        <v>15.4500857306154</v>
      </c>
      <c r="D4" s="57" t="s">
        <v>434</v>
      </c>
      <c r="E4" s="59" t="n">
        <f aca="false">IFERROR(INDEX(Correspondance!$D$2:$D$3000,MATCH(A4,Correspondance!$A$2:$A$3000,0)),0)</f>
        <v>2.3</v>
      </c>
      <c r="F4" s="60" t="n">
        <f aca="false">C4*E4</f>
        <v>35.5351971804153</v>
      </c>
      <c r="G4" s="61" t="s">
        <v>3013</v>
      </c>
    </row>
    <row r="5" customFormat="false" ht="15.75" hidden="false" customHeight="false" outlineLevel="0" collapsed="false">
      <c r="A5" s="57" t="s">
        <v>1491</v>
      </c>
      <c r="B5" s="57" t="n">
        <v>0.393</v>
      </c>
      <c r="C5" s="58" t="n">
        <f aca="false">B5/B$22*B$24</f>
        <v>0.617689083634978</v>
      </c>
      <c r="D5" s="57" t="s">
        <v>434</v>
      </c>
      <c r="E5" s="59" t="n">
        <f aca="false">IFERROR(INDEX(Correspondance!$D$2:$D$3000,MATCH(A5,Correspondance!$A$2:$A$3000,0)),0)</f>
        <v>9</v>
      </c>
      <c r="F5" s="60" t="n">
        <f aca="false">C5*E5</f>
        <v>5.5592017527148</v>
      </c>
      <c r="G5" s="61"/>
      <c r="I5" s="62"/>
    </row>
    <row r="6" customFormat="false" ht="15.75" hidden="false" customHeight="false" outlineLevel="0" collapsed="false">
      <c r="A6" s="57" t="s">
        <v>1120</v>
      </c>
      <c r="B6" s="57" t="n">
        <v>0.098</v>
      </c>
      <c r="C6" s="58" t="n">
        <f aca="false">B6/B$22*B$24</f>
        <v>0.154029338921699</v>
      </c>
      <c r="D6" s="57" t="s">
        <v>682</v>
      </c>
      <c r="E6" s="59" t="n">
        <f aca="false">IFERROR(INDEX(Correspondance!$D$2:$D$3000,MATCH(A6,Correspondance!$A$2:$A$3000,0)),0)</f>
        <v>7.5</v>
      </c>
      <c r="F6" s="60" t="n">
        <f aca="false">C6*E6</f>
        <v>1.15522004191275</v>
      </c>
      <c r="G6" s="61"/>
      <c r="I6" s="63"/>
    </row>
    <row r="7" customFormat="false" ht="15.75" hidden="false" customHeight="false" outlineLevel="0" collapsed="false">
      <c r="A7" s="57" t="s">
        <v>894</v>
      </c>
      <c r="B7" s="57" t="n">
        <v>0.049</v>
      </c>
      <c r="C7" s="58" t="n">
        <f aca="false">B7/B$22*B$24</f>
        <v>0.0770146694608497</v>
      </c>
      <c r="D7" s="57" t="s">
        <v>434</v>
      </c>
      <c r="E7" s="59" t="n">
        <f aca="false">IFERROR(INDEX(Correspondance!$D$2:$D$3000,MATCH(A7,Correspondance!$A$2:$A$3000,0)),0)</f>
        <v>5.5</v>
      </c>
      <c r="F7" s="60" t="n">
        <f aca="false">C7*E7</f>
        <v>0.423580682034673</v>
      </c>
      <c r="G7" s="61"/>
      <c r="I7" s="63"/>
    </row>
    <row r="8" customFormat="false" ht="15.75" hidden="false" customHeight="false" outlineLevel="0" collapsed="false">
      <c r="A8" s="57" t="s">
        <v>1291</v>
      </c>
      <c r="B8" s="57" t="n">
        <v>0.049</v>
      </c>
      <c r="C8" s="58" t="n">
        <f aca="false">B8/B$22*B$24</f>
        <v>0.0770146694608497</v>
      </c>
      <c r="D8" s="57" t="s">
        <v>682</v>
      </c>
      <c r="E8" s="59" t="n">
        <f aca="false">IFERROR(INDEX(Correspondance!$D$2:$D$3000,MATCH(A8,Correspondance!$A$2:$A$3000,0)),0)</f>
        <v>2.5</v>
      </c>
      <c r="F8" s="60" t="n">
        <f aca="false">C8*E8</f>
        <v>0.192536673652124</v>
      </c>
      <c r="G8" s="61"/>
      <c r="I8" s="63"/>
    </row>
    <row r="9" customFormat="false" ht="15.75" hidden="false" customHeight="false" outlineLevel="0" collapsed="false">
      <c r="A9" s="57" t="s">
        <v>1919</v>
      </c>
      <c r="B9" s="57" t="n">
        <v>0.079</v>
      </c>
      <c r="C9" s="58" t="n">
        <f aca="false">B9/B$22*B$24</f>
        <v>0.124166507906268</v>
      </c>
      <c r="D9" s="57" t="s">
        <v>434</v>
      </c>
      <c r="E9" s="59" t="n">
        <f aca="false">IFERROR(INDEX(Correspondance!$D$2:$D$3000,MATCH(A9,Correspondance!$A$2:$A$3000,0)),0)</f>
        <v>2</v>
      </c>
      <c r="F9" s="60" t="n">
        <f aca="false">C9*E9</f>
        <v>0.248333015812536</v>
      </c>
      <c r="G9" s="61"/>
      <c r="I9" s="63"/>
    </row>
    <row r="10" customFormat="false" ht="15.75" hidden="false" customHeight="false" outlineLevel="0" collapsed="false">
      <c r="A10" s="57" t="s">
        <v>1777</v>
      </c>
      <c r="B10" s="57"/>
      <c r="C10" s="58" t="n">
        <f aca="false">B10/B$22*B$24</f>
        <v>0</v>
      </c>
      <c r="D10" s="57" t="s">
        <v>434</v>
      </c>
      <c r="E10" s="59" t="n">
        <f aca="false">IFERROR(INDEX(Correspondance!$D$2:$D$3000,MATCH(A10,Correspondance!$A$2:$A$3000,0)),0)</f>
        <v>8</v>
      </c>
      <c r="F10" s="60" t="n">
        <f aca="false">C10*E10</f>
        <v>0</v>
      </c>
      <c r="G10" s="61"/>
      <c r="I10" s="63"/>
    </row>
    <row r="11" customFormat="false" ht="15.75" hidden="false" customHeight="false" outlineLevel="0" collapsed="false">
      <c r="A11" s="57" t="s">
        <v>1814</v>
      </c>
      <c r="B11" s="57"/>
      <c r="C11" s="58" t="n">
        <f aca="false">B11/B$22*B$24</f>
        <v>0</v>
      </c>
      <c r="D11" s="57" t="s">
        <v>434</v>
      </c>
      <c r="E11" s="59" t="n">
        <f aca="false">IFERROR(INDEX(Correspondance!$D$2:$D$3000,MATCH(A11,Correspondance!$A$2:$A$3000,0)),0)</f>
        <v>18</v>
      </c>
      <c r="F11" s="60" t="n">
        <f aca="false">C11*E11</f>
        <v>0</v>
      </c>
      <c r="G11" s="61"/>
      <c r="I11" s="63"/>
    </row>
    <row r="12" customFormat="false" ht="18.75" hidden="false" customHeight="true" outlineLevel="0" collapsed="false">
      <c r="A12" s="57"/>
      <c r="B12" s="64"/>
      <c r="C12" s="58" t="n">
        <f aca="false">B12/B$22*B$24</f>
        <v>0</v>
      </c>
      <c r="D12" s="57"/>
      <c r="E12" s="65" t="n">
        <f aca="false">IFERROR(INDEX(Correspondance!$D$2:$D$3000,MATCH(A12,Correspondance!$A$2:$A$3000,0)),0)</f>
        <v>0</v>
      </c>
      <c r="F12" s="60" t="n">
        <f aca="false">C12*E12</f>
        <v>0</v>
      </c>
      <c r="G12" s="61"/>
      <c r="I12" s="63"/>
    </row>
    <row r="13" customFormat="false" ht="18.75" hidden="false" customHeight="true" outlineLevel="0" collapsed="false">
      <c r="A13" s="57"/>
      <c r="B13" s="64"/>
      <c r="C13" s="58" t="n">
        <f aca="false">B13/B$22*B$24</f>
        <v>0</v>
      </c>
      <c r="D13" s="57"/>
      <c r="E13" s="65" t="n">
        <f aca="false">IFERROR(INDEX(Correspondance!$D$2:$D$3000,MATCH(A13,Correspondance!$A$2:$A$3000,0)),0)</f>
        <v>0</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43.1140693465422</v>
      </c>
      <c r="G19" s="61"/>
      <c r="I19" s="63"/>
    </row>
    <row r="20" customFormat="false" ht="18.75" hidden="false" customHeight="true" outlineLevel="0" collapsed="false">
      <c r="A20" s="68" t="s">
        <v>2628</v>
      </c>
      <c r="B20" s="69" t="n">
        <f aca="false">F19/B24</f>
        <v>0.391946084968565</v>
      </c>
      <c r="C20" s="70"/>
      <c r="G20" s="61"/>
      <c r="I20" s="63"/>
    </row>
    <row r="21" customFormat="false" ht="15.75" hidden="false" customHeight="false" outlineLevel="0" collapsed="false">
      <c r="A21" s="71" t="s">
        <v>2629</v>
      </c>
      <c r="B21" s="71" t="n">
        <f aca="false">SUM(B3:B18)</f>
        <v>10.498</v>
      </c>
      <c r="C21" s="66"/>
      <c r="G21" s="61"/>
      <c r="I21" s="63"/>
    </row>
    <row r="22" customFormat="false" ht="15.75" hidden="false" customHeight="false" outlineLevel="0" collapsed="false">
      <c r="A22" s="0" t="s">
        <v>2630</v>
      </c>
      <c r="B22" s="72" t="n">
        <f aca="false">B21/B23</f>
        <v>69.9866666666667</v>
      </c>
      <c r="C22" s="66"/>
      <c r="G22" s="61"/>
      <c r="I22" s="63"/>
    </row>
    <row r="23" customFormat="false" ht="15.75" hidden="false" customHeight="false" outlineLevel="0" collapsed="false">
      <c r="A23" s="0" t="s">
        <v>2631</v>
      </c>
      <c r="B23" s="0" t="n">
        <v>0.15</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328</v>
      </c>
      <c r="B1" s="50"/>
      <c r="C1" s="50"/>
      <c r="D1" s="50"/>
      <c r="E1" s="51" t="s">
        <v>2619</v>
      </c>
      <c r="F1" s="51"/>
      <c r="G1" s="52" t="s">
        <v>3014</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1629</v>
      </c>
      <c r="B4" s="57" t="n">
        <v>6.53</v>
      </c>
      <c r="C4" s="58" t="n">
        <f aca="false">B4/B$22*B$24</f>
        <v>10.2622430351615</v>
      </c>
      <c r="D4" s="57" t="s">
        <v>434</v>
      </c>
      <c r="E4" s="59" t="n">
        <f aca="false">IFERROR(INDEX(Correspondance!$D$2:$D$3000,MATCH(A4,Correspondance!$A$2:$A$3000,0)),0)</f>
        <v>2.3</v>
      </c>
      <c r="F4" s="60" t="n">
        <f aca="false">C4*E4</f>
        <v>23.6031589808715</v>
      </c>
      <c r="G4" s="61" t="s">
        <v>3015</v>
      </c>
    </row>
    <row r="5" customFormat="false" ht="15.75" hidden="false" customHeight="false" outlineLevel="0" collapsed="false">
      <c r="A5" s="57" t="s">
        <v>1833</v>
      </c>
      <c r="B5" s="57" t="n">
        <v>2.8</v>
      </c>
      <c r="C5" s="58" t="n">
        <f aca="false">B5/B$22*B$24</f>
        <v>4.4003492340662</v>
      </c>
      <c r="D5" s="57" t="s">
        <v>434</v>
      </c>
      <c r="E5" s="59" t="n">
        <f aca="false">IFERROR(INDEX(Correspondance!$D$2:$D$3000,MATCH(A5,Correspondance!$A$2:$A$3000,0)),0)</f>
        <v>2.2</v>
      </c>
      <c r="F5" s="60" t="n">
        <f aca="false">C5*E5</f>
        <v>9.68076831494563</v>
      </c>
      <c r="G5" s="61"/>
      <c r="I5" s="62"/>
    </row>
    <row r="6" customFormat="false" ht="15.75" hidden="false" customHeight="false" outlineLevel="0" collapsed="false">
      <c r="A6" s="57" t="s">
        <v>1692</v>
      </c>
      <c r="B6" s="57" t="n">
        <v>1.87</v>
      </c>
      <c r="C6" s="58" t="n">
        <f aca="false">B6/B$22*B$24</f>
        <v>2.93880466703707</v>
      </c>
      <c r="D6" s="57" t="s">
        <v>682</v>
      </c>
      <c r="E6" s="59" t="n">
        <f aca="false">IFERROR(INDEX(Correspondance!$D$2:$D$3000,MATCH(A6,Correspondance!$A$2:$A$3000,0)),0)</f>
        <v>2.4</v>
      </c>
      <c r="F6" s="60" t="n">
        <f aca="false">C6*E6</f>
        <v>7.05313120088896</v>
      </c>
      <c r="G6" s="61"/>
      <c r="I6" s="63"/>
    </row>
    <row r="7" customFormat="false" ht="15.75" hidden="false" customHeight="false" outlineLevel="0" collapsed="false">
      <c r="A7" s="57" t="s">
        <v>1576</v>
      </c>
      <c r="B7" s="57" t="n">
        <v>0.933</v>
      </c>
      <c r="C7" s="58" t="n">
        <f aca="false">B7/B$22*B$24</f>
        <v>1.46625922692277</v>
      </c>
      <c r="D7" s="57" t="s">
        <v>434</v>
      </c>
      <c r="E7" s="59" t="n">
        <f aca="false">IFERROR(INDEX(Correspondance!$D$2:$D$3000,MATCH(A7,Correspondance!$A$2:$A$3000,0)),0)</f>
        <v>5.5</v>
      </c>
      <c r="F7" s="60" t="n">
        <f aca="false">C7*E7</f>
        <v>8.06442574807524</v>
      </c>
      <c r="G7" s="61"/>
      <c r="I7" s="63"/>
    </row>
    <row r="8" customFormat="false" ht="15.75" hidden="false" customHeight="false" outlineLevel="0" collapsed="false">
      <c r="A8" s="57" t="s">
        <v>1491</v>
      </c>
      <c r="B8" s="57" t="n">
        <v>0.373</v>
      </c>
      <c r="C8" s="58" t="n">
        <f aca="false">B8/B$22*B$24</f>
        <v>0.586189380109532</v>
      </c>
      <c r="D8" s="57" t="s">
        <v>434</v>
      </c>
      <c r="E8" s="59" t="n">
        <f aca="false">IFERROR(INDEX(Correspondance!$D$2:$D$3000,MATCH(A8,Correspondance!$A$2:$A$3000,0)),0)</f>
        <v>9</v>
      </c>
      <c r="F8" s="60" t="n">
        <f aca="false">C8*E8</f>
        <v>5.27570442098579</v>
      </c>
      <c r="G8" s="61"/>
      <c r="I8" s="63"/>
    </row>
    <row r="9" customFormat="false" ht="15.75" hidden="false" customHeight="false" outlineLevel="0" collapsed="false">
      <c r="A9" s="57" t="s">
        <v>1919</v>
      </c>
      <c r="B9" s="57" t="n">
        <v>0.093</v>
      </c>
      <c r="C9" s="58" t="n">
        <f aca="false">B9/B$22*B$24</f>
        <v>0.146154456702913</v>
      </c>
      <c r="D9" s="57" t="s">
        <v>434</v>
      </c>
      <c r="E9" s="59" t="n">
        <f aca="false">IFERROR(INDEX(Correspondance!$D$2:$D$3000,MATCH(A9,Correspondance!$A$2:$A$3000,0)),0)</f>
        <v>2</v>
      </c>
      <c r="F9" s="60" t="n">
        <f aca="false">C9*E9</f>
        <v>0.292308913405826</v>
      </c>
      <c r="G9" s="61"/>
      <c r="I9" s="63"/>
    </row>
    <row r="10" customFormat="false" ht="15.75" hidden="false" customHeight="false" outlineLevel="0" collapsed="false">
      <c r="A10" s="57" t="s">
        <v>1732</v>
      </c>
      <c r="B10" s="57"/>
      <c r="C10" s="58" t="n">
        <f aca="false">B10/B$22*B$24</f>
        <v>0</v>
      </c>
      <c r="D10" s="57" t="s">
        <v>434</v>
      </c>
      <c r="E10" s="59" t="n">
        <f aca="false">IFERROR(INDEX(Correspondance!$D$2:$D$3000,MATCH(A10,Correspondance!$A$2:$A$3000,0)),0)</f>
        <v>30</v>
      </c>
      <c r="F10" s="60" t="n">
        <f aca="false">C10*E10</f>
        <v>0</v>
      </c>
      <c r="G10" s="61"/>
      <c r="I10" s="63"/>
    </row>
    <row r="11" customFormat="false" ht="15.75" hidden="false" customHeight="false" outlineLevel="0" collapsed="false">
      <c r="A11" s="57" t="s">
        <v>1814</v>
      </c>
      <c r="B11" s="57"/>
      <c r="C11" s="58" t="n">
        <f aca="false">B11/B$22*B$24</f>
        <v>0</v>
      </c>
      <c r="D11" s="57" t="s">
        <v>434</v>
      </c>
      <c r="E11" s="59" t="n">
        <f aca="false">IFERROR(INDEX(Correspondance!$D$2:$D$3000,MATCH(A11,Correspondance!$A$2:$A$3000,0)),0)</f>
        <v>18</v>
      </c>
      <c r="F11" s="60" t="n">
        <f aca="false">C11*E11</f>
        <v>0</v>
      </c>
      <c r="G11" s="61"/>
      <c r="I11" s="63"/>
    </row>
    <row r="12" customFormat="false" ht="18.75" hidden="false" customHeight="true" outlineLevel="0" collapsed="false">
      <c r="A12" s="57"/>
      <c r="B12" s="64"/>
      <c r="C12" s="58" t="n">
        <f aca="false">B12/B$22*B$24</f>
        <v>0</v>
      </c>
      <c r="D12" s="57"/>
      <c r="E12" s="65" t="n">
        <f aca="false">IFERROR(INDEX(Correspondance!$D$2:$D$3000,MATCH(A12,Correspondance!$A$2:$A$3000,0)),0)</f>
        <v>0</v>
      </c>
      <c r="F12" s="60" t="n">
        <f aca="false">C12*E12</f>
        <v>0</v>
      </c>
      <c r="G12" s="61"/>
      <c r="I12" s="63"/>
    </row>
    <row r="13" customFormat="false" ht="18.75" hidden="false" customHeight="true" outlineLevel="0" collapsed="false">
      <c r="A13" s="57"/>
      <c r="B13" s="64"/>
      <c r="C13" s="58" t="n">
        <f aca="false">B13/B$22*B$24</f>
        <v>0</v>
      </c>
      <c r="D13" s="57"/>
      <c r="E13" s="65" t="n">
        <f aca="false">IFERROR(INDEX(Correspondance!$D$2:$D$3000,MATCH(A13,Correspondance!$A$2:$A$3000,0)),0)</f>
        <v>0</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53.9694975791729</v>
      </c>
      <c r="G19" s="61"/>
      <c r="I19" s="63"/>
    </row>
    <row r="20" customFormat="false" ht="18.75" hidden="false" customHeight="true" outlineLevel="0" collapsed="false">
      <c r="A20" s="68" t="s">
        <v>2628</v>
      </c>
      <c r="B20" s="69" t="n">
        <f aca="false">F19/B24</f>
        <v>0.4906317961743</v>
      </c>
      <c r="C20" s="70"/>
      <c r="G20" s="61"/>
      <c r="I20" s="63"/>
    </row>
    <row r="21" customFormat="false" ht="15.75" hidden="false" customHeight="false" outlineLevel="0" collapsed="false">
      <c r="A21" s="71" t="s">
        <v>2629</v>
      </c>
      <c r="B21" s="71" t="n">
        <f aca="false">SUM(B3:B18)</f>
        <v>12.599</v>
      </c>
      <c r="C21" s="66"/>
      <c r="G21" s="61"/>
      <c r="I21" s="63"/>
    </row>
    <row r="22" customFormat="false" ht="15.75" hidden="false" customHeight="false" outlineLevel="0" collapsed="false">
      <c r="A22" s="0" t="s">
        <v>2630</v>
      </c>
      <c r="B22" s="72" t="n">
        <f aca="false">B21/B23</f>
        <v>69.9944444444445</v>
      </c>
      <c r="C22" s="66"/>
      <c r="G22" s="61"/>
      <c r="I22" s="63"/>
    </row>
    <row r="23" customFormat="false" ht="15.75" hidden="false" customHeight="false" outlineLevel="0" collapsed="false">
      <c r="A23" s="0" t="s">
        <v>2631</v>
      </c>
      <c r="B23" s="0" t="n">
        <v>0.18</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329</v>
      </c>
      <c r="B1" s="50"/>
      <c r="C1" s="50"/>
      <c r="D1" s="50"/>
      <c r="E1" s="51" t="s">
        <v>2619</v>
      </c>
      <c r="F1" s="51"/>
      <c r="G1" s="52" t="s">
        <v>2990</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1630</v>
      </c>
      <c r="B4" s="57" t="n">
        <v>9.74</v>
      </c>
      <c r="C4" s="58" t="n">
        <f aca="false">B4/B$22*B$24</f>
        <v>15.3057142857143</v>
      </c>
      <c r="D4" s="57" t="s">
        <v>434</v>
      </c>
      <c r="E4" s="59" t="n">
        <f aca="false">IFERROR(INDEX(Correspondance!$D$2:$D$3000,MATCH(A4,Correspondance!$A$2:$A$3000,0)),0)</f>
        <v>3</v>
      </c>
      <c r="F4" s="60" t="n">
        <f aca="false">C4*E4</f>
        <v>45.9171428571429</v>
      </c>
      <c r="G4" s="61" t="s">
        <v>3016</v>
      </c>
    </row>
    <row r="5" customFormat="false" ht="15.75" hidden="false" customHeight="false" outlineLevel="0" collapsed="false">
      <c r="A5" s="57" t="s">
        <v>1491</v>
      </c>
      <c r="B5" s="57" t="n">
        <v>0.39</v>
      </c>
      <c r="C5" s="58" t="n">
        <f aca="false">B5/B$22*B$24</f>
        <v>0.612857142857143</v>
      </c>
      <c r="D5" s="57" t="s">
        <v>434</v>
      </c>
      <c r="E5" s="59" t="n">
        <f aca="false">IFERROR(INDEX(Correspondance!$D$2:$D$3000,MATCH(A5,Correspondance!$A$2:$A$3000,0)),0)</f>
        <v>9</v>
      </c>
      <c r="F5" s="60" t="n">
        <f aca="false">C5*E5</f>
        <v>5.51571428571429</v>
      </c>
      <c r="G5" s="61"/>
      <c r="I5" s="62"/>
    </row>
    <row r="6" customFormat="false" ht="15.75" hidden="false" customHeight="false" outlineLevel="0" collapsed="false">
      <c r="A6" s="57" t="s">
        <v>1120</v>
      </c>
      <c r="B6" s="57" t="n">
        <v>0.097</v>
      </c>
      <c r="C6" s="58" t="n">
        <f aca="false">B6/B$22*B$24</f>
        <v>0.152428571428571</v>
      </c>
      <c r="D6" s="57" t="s">
        <v>682</v>
      </c>
      <c r="E6" s="59" t="n">
        <f aca="false">IFERROR(INDEX(Correspondance!$D$2:$D$3000,MATCH(A6,Correspondance!$A$2:$A$3000,0)),0)</f>
        <v>7.5</v>
      </c>
      <c r="F6" s="60" t="n">
        <f aca="false">C6*E6</f>
        <v>1.14321428571429</v>
      </c>
      <c r="G6" s="61"/>
      <c r="I6" s="63"/>
    </row>
    <row r="7" customFormat="false" ht="15.75" hidden="false" customHeight="false" outlineLevel="0" collapsed="false">
      <c r="A7" s="57" t="s">
        <v>894</v>
      </c>
      <c r="B7" s="57" t="n">
        <v>0.049</v>
      </c>
      <c r="C7" s="58" t="n">
        <f aca="false">B7/B$22*B$24</f>
        <v>0.077</v>
      </c>
      <c r="D7" s="57" t="s">
        <v>434</v>
      </c>
      <c r="E7" s="59" t="n">
        <f aca="false">IFERROR(INDEX(Correspondance!$D$2:$D$3000,MATCH(A7,Correspondance!$A$2:$A$3000,0)),0)</f>
        <v>5.5</v>
      </c>
      <c r="F7" s="60" t="n">
        <f aca="false">C7*E7</f>
        <v>0.4235</v>
      </c>
      <c r="G7" s="61"/>
      <c r="I7" s="63"/>
    </row>
    <row r="8" customFormat="false" ht="15.75" hidden="false" customHeight="false" outlineLevel="0" collapsed="false">
      <c r="A8" s="57" t="s">
        <v>1291</v>
      </c>
      <c r="B8" s="57" t="n">
        <v>0.049</v>
      </c>
      <c r="C8" s="58" t="n">
        <f aca="false">B8/B$22*B$24</f>
        <v>0.077</v>
      </c>
      <c r="D8" s="57" t="s">
        <v>682</v>
      </c>
      <c r="E8" s="59" t="n">
        <f aca="false">IFERROR(INDEX(Correspondance!$D$2:$D$3000,MATCH(A8,Correspondance!$A$2:$A$3000,0)),0)</f>
        <v>2.5</v>
      </c>
      <c r="F8" s="60" t="n">
        <f aca="false">C8*E8</f>
        <v>0.1925</v>
      </c>
      <c r="G8" s="61"/>
      <c r="I8" s="63"/>
    </row>
    <row r="9" customFormat="false" ht="15.75" hidden="false" customHeight="false" outlineLevel="0" collapsed="false">
      <c r="A9" s="57" t="s">
        <v>1007</v>
      </c>
      <c r="B9" s="57" t="n">
        <v>0.097</v>
      </c>
      <c r="C9" s="58" t="n">
        <f aca="false">B9/B$22*B$24</f>
        <v>0.152428571428571</v>
      </c>
      <c r="D9" s="57" t="s">
        <v>434</v>
      </c>
      <c r="E9" s="59" t="n">
        <f aca="false">IFERROR(INDEX(Correspondance!$D$2:$D$3000,MATCH(A9,Correspondance!$A$2:$A$3000,0)),0)</f>
        <v>8</v>
      </c>
      <c r="F9" s="60" t="n">
        <f aca="false">C9*E9</f>
        <v>1.21942857142857</v>
      </c>
      <c r="G9" s="61"/>
      <c r="I9" s="63"/>
    </row>
    <row r="10" customFormat="false" ht="15.75" hidden="false" customHeight="false" outlineLevel="0" collapsed="false">
      <c r="A10" s="57" t="s">
        <v>1919</v>
      </c>
      <c r="B10" s="57" t="n">
        <v>0.078</v>
      </c>
      <c r="C10" s="58" t="n">
        <f aca="false">B10/B$22*B$24</f>
        <v>0.122571428571429</v>
      </c>
      <c r="D10" s="57" t="s">
        <v>434</v>
      </c>
      <c r="E10" s="59" t="n">
        <f aca="false">IFERROR(INDEX(Correspondance!$D$2:$D$3000,MATCH(A10,Correspondance!$A$2:$A$3000,0)),0)</f>
        <v>2</v>
      </c>
      <c r="F10" s="60" t="n">
        <f aca="false">C10*E10</f>
        <v>0.245142857142857</v>
      </c>
      <c r="G10" s="61"/>
      <c r="I10" s="63"/>
    </row>
    <row r="11" customFormat="false" ht="15.75" hidden="false" customHeight="false" outlineLevel="0" collapsed="false">
      <c r="A11" s="57" t="s">
        <v>1814</v>
      </c>
      <c r="B11" s="57"/>
      <c r="C11" s="58" t="n">
        <f aca="false">B11/B$22*B$24</f>
        <v>0</v>
      </c>
      <c r="D11" s="57" t="s">
        <v>434</v>
      </c>
      <c r="E11" s="59" t="n">
        <f aca="false">IFERROR(INDEX(Correspondance!$D$2:$D$3000,MATCH(A11,Correspondance!$A$2:$A$3000,0)),0)</f>
        <v>18</v>
      </c>
      <c r="F11" s="60" t="n">
        <f aca="false">C11*E11</f>
        <v>0</v>
      </c>
      <c r="G11" s="61"/>
      <c r="I11" s="63"/>
    </row>
    <row r="12" customFormat="false" ht="18.75" hidden="false" customHeight="true" outlineLevel="0" collapsed="false">
      <c r="A12" s="57"/>
      <c r="B12" s="64"/>
      <c r="C12" s="58" t="n">
        <f aca="false">B12/B$22*B$24</f>
        <v>0</v>
      </c>
      <c r="D12" s="57"/>
      <c r="E12" s="65" t="n">
        <f aca="false">IFERROR(INDEX(Correspondance!$D$2:$D$3000,MATCH(A12,Correspondance!$A$2:$A$3000,0)),0)</f>
        <v>0</v>
      </c>
      <c r="F12" s="60" t="n">
        <f aca="false">C12*E12</f>
        <v>0</v>
      </c>
      <c r="G12" s="61"/>
      <c r="I12" s="63"/>
    </row>
    <row r="13" customFormat="false" ht="18.75" hidden="false" customHeight="true" outlineLevel="0" collapsed="false">
      <c r="A13" s="57"/>
      <c r="B13" s="64"/>
      <c r="C13" s="58" t="n">
        <f aca="false">B13/B$22*B$24</f>
        <v>0</v>
      </c>
      <c r="D13" s="57"/>
      <c r="E13" s="65" t="n">
        <f aca="false">IFERROR(INDEX(Correspondance!$D$2:$D$3000,MATCH(A13,Correspondance!$A$2:$A$3000,0)),0)</f>
        <v>0</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54.6566428571429</v>
      </c>
      <c r="G19" s="61"/>
      <c r="I19" s="63"/>
    </row>
    <row r="20" customFormat="false" ht="18.75" hidden="false" customHeight="true" outlineLevel="0" collapsed="false">
      <c r="A20" s="68" t="s">
        <v>2628</v>
      </c>
      <c r="B20" s="69" t="n">
        <f aca="false">F19/B24</f>
        <v>0.496878571428571</v>
      </c>
      <c r="C20" s="70"/>
      <c r="G20" s="61"/>
      <c r="I20" s="63"/>
    </row>
    <row r="21" customFormat="false" ht="15.75" hidden="false" customHeight="false" outlineLevel="0" collapsed="false">
      <c r="A21" s="71" t="s">
        <v>2629</v>
      </c>
      <c r="B21" s="71" t="n">
        <f aca="false">SUM(B3:B18)</f>
        <v>10.5</v>
      </c>
      <c r="C21" s="66"/>
      <c r="G21" s="61"/>
      <c r="I21" s="63"/>
    </row>
    <row r="22" customFormat="false" ht="15.75" hidden="false" customHeight="false" outlineLevel="0" collapsed="false">
      <c r="A22" s="0" t="s">
        <v>2630</v>
      </c>
      <c r="B22" s="72" t="n">
        <f aca="false">B21/B23</f>
        <v>70</v>
      </c>
      <c r="C22" s="66"/>
      <c r="G22" s="61"/>
      <c r="I22" s="63"/>
    </row>
    <row r="23" customFormat="false" ht="15.75" hidden="false" customHeight="false" outlineLevel="0" collapsed="false">
      <c r="A23" s="0" t="s">
        <v>2631</v>
      </c>
      <c r="B23" s="0" t="n">
        <v>0.15</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3017</v>
      </c>
      <c r="B1" s="50"/>
      <c r="C1" s="50"/>
      <c r="D1" s="50"/>
      <c r="E1" s="51" t="s">
        <v>2619</v>
      </c>
      <c r="F1" s="51"/>
      <c r="G1" s="75" t="s">
        <v>3018</v>
      </c>
    </row>
    <row r="2" customFormat="false" ht="24.75" hidden="false" customHeight="true" outlineLevel="0" collapsed="false">
      <c r="A2" s="50"/>
      <c r="B2" s="50"/>
      <c r="C2" s="50"/>
      <c r="D2" s="50"/>
      <c r="E2" s="53" t="s">
        <v>2636</v>
      </c>
      <c r="F2" s="53"/>
      <c r="G2" s="75"/>
    </row>
    <row r="3" customFormat="false" ht="51.75" hidden="false" customHeight="true" outlineLevel="0" collapsed="false">
      <c r="A3" s="54" t="s">
        <v>2588</v>
      </c>
      <c r="B3" s="55" t="s">
        <v>2622</v>
      </c>
      <c r="C3" s="55" t="s">
        <v>2623</v>
      </c>
      <c r="D3" s="56" t="s">
        <v>2624</v>
      </c>
      <c r="E3" s="56" t="s">
        <v>2625</v>
      </c>
      <c r="F3" s="56" t="s">
        <v>2626</v>
      </c>
      <c r="G3" s="75"/>
    </row>
    <row r="4" customFormat="false" ht="34.5" hidden="false" customHeight="true" outlineLevel="0" collapsed="false">
      <c r="A4" s="76" t="s">
        <v>330</v>
      </c>
      <c r="B4" s="57" t="n">
        <v>3.08</v>
      </c>
      <c r="C4" s="58" t="n">
        <f aca="false">B4/B$23*B$25</f>
        <v>4.83944692035196</v>
      </c>
      <c r="D4" s="57" t="s">
        <v>434</v>
      </c>
      <c r="E4" s="59" t="n">
        <f aca="false">IFERROR(INDEX(Correspondance!$D$2:$D$3000,MATCH(A4,Correspondance!$A$2:$A$3000,0)),0)</f>
        <v>3.2</v>
      </c>
      <c r="F4" s="77" t="n">
        <f aca="false">C4*E4</f>
        <v>15.4862301451263</v>
      </c>
      <c r="G4" s="78" t="s">
        <v>3019</v>
      </c>
    </row>
    <row r="5" customFormat="false" ht="15.75" hidden="false" customHeight="false" outlineLevel="0" collapsed="false">
      <c r="A5" s="57" t="s">
        <v>1919</v>
      </c>
      <c r="B5" s="57" t="n">
        <v>0.103</v>
      </c>
      <c r="C5" s="58" t="n">
        <f aca="false">B5/B$23*B$25</f>
        <v>0.16183864701177</v>
      </c>
      <c r="D5" s="57" t="s">
        <v>434</v>
      </c>
      <c r="E5" s="59" t="n">
        <f aca="false">IFERROR(INDEX(Correspondance!$D$2:$D$3000,MATCH(A5,Correspondance!$A$2:$A$3000,0)),0)</f>
        <v>2</v>
      </c>
      <c r="F5" s="77" t="n">
        <f aca="false">C5*E5</f>
        <v>0.32367729402354</v>
      </c>
      <c r="G5" s="78"/>
      <c r="I5" s="62"/>
    </row>
    <row r="6" customFormat="false" ht="15.75" hidden="false" customHeight="false" outlineLevel="0" collapsed="false">
      <c r="A6" s="57" t="s">
        <v>1725</v>
      </c>
      <c r="B6" s="57" t="n">
        <v>1.03</v>
      </c>
      <c r="C6" s="58" t="n">
        <f aca="false">B6/B$23*B$25</f>
        <v>1.6183864701177</v>
      </c>
      <c r="D6" s="57" t="s">
        <v>434</v>
      </c>
      <c r="E6" s="59" t="n">
        <f aca="false">IFERROR(INDEX(Correspondance!$D$2:$D$3000,MATCH(A6,Correspondance!$A$2:$A$3000,0)),0)</f>
        <v>9</v>
      </c>
      <c r="F6" s="77" t="n">
        <f aca="false">C6*E6</f>
        <v>14.5654782310593</v>
      </c>
      <c r="G6" s="78"/>
      <c r="I6" s="63"/>
    </row>
    <row r="7" customFormat="false" ht="15.75" hidden="false" customHeight="false" outlineLevel="0" collapsed="false">
      <c r="A7" s="57" t="s">
        <v>1459</v>
      </c>
      <c r="B7" s="57" t="n">
        <v>9.23</v>
      </c>
      <c r="C7" s="58" t="n">
        <f aca="false">B7/B$23*B$25</f>
        <v>14.5026282710547</v>
      </c>
      <c r="D7" s="57" t="s">
        <v>434</v>
      </c>
      <c r="E7" s="59" t="n">
        <f aca="false">IFERROR(INDEX(Correspondance!$D$2:$D$3000,MATCH(A7,Correspondance!$A$2:$A$3000,0)),0)</f>
        <v>0</v>
      </c>
      <c r="F7" s="77" t="n">
        <f aca="false">C7*E7</f>
        <v>0</v>
      </c>
      <c r="G7" s="78"/>
      <c r="I7" s="63"/>
    </row>
    <row r="8" customFormat="false" ht="15.75" hidden="false" customHeight="false" outlineLevel="0" collapsed="false">
      <c r="A8" s="57" t="s">
        <v>1700</v>
      </c>
      <c r="B8" s="57" t="n">
        <v>1.64</v>
      </c>
      <c r="C8" s="58" t="n">
        <f aca="false">B8/B$23*B$25</f>
        <v>2.57684836018741</v>
      </c>
      <c r="D8" s="57" t="s">
        <v>434</v>
      </c>
      <c r="E8" s="59" t="n">
        <f aca="false">IFERROR(INDEX(Correspondance!$D$2:$D$3000,MATCH(A8,Correspondance!$A$2:$A$3000,0)),0)</f>
        <v>8</v>
      </c>
      <c r="F8" s="77" t="n">
        <f aca="false">C8*E8</f>
        <v>20.6147868814993</v>
      </c>
      <c r="G8" s="78"/>
      <c r="I8" s="63"/>
    </row>
    <row r="9" customFormat="false" ht="15.75" hidden="false" customHeight="false" outlineLevel="0" collapsed="false">
      <c r="A9" s="57" t="s">
        <v>1702</v>
      </c>
      <c r="B9" s="57"/>
      <c r="C9" s="58" t="n">
        <f aca="false">B9/B$23*B$25</f>
        <v>0</v>
      </c>
      <c r="D9" s="57" t="s">
        <v>434</v>
      </c>
      <c r="E9" s="59" t="n">
        <f aca="false">IFERROR(INDEX(Correspondance!$D$2:$D$3000,MATCH(A9,Correspondance!$A$2:$A$3000,0)),0)</f>
        <v>16</v>
      </c>
      <c r="F9" s="77" t="n">
        <f aca="false">C9*E9</f>
        <v>0</v>
      </c>
      <c r="G9" s="78"/>
      <c r="I9" s="63"/>
    </row>
    <row r="10" customFormat="false" ht="15.75" hidden="false" customHeight="false" outlineLevel="0" collapsed="false">
      <c r="A10" s="57"/>
      <c r="B10" s="57"/>
      <c r="C10" s="58" t="n">
        <f aca="false">B10/B$23*B$25</f>
        <v>0</v>
      </c>
      <c r="D10" s="57" t="s">
        <v>434</v>
      </c>
      <c r="E10" s="65"/>
      <c r="F10" s="77" t="n">
        <f aca="false">C10*E10</f>
        <v>0</v>
      </c>
      <c r="G10" s="78"/>
      <c r="I10" s="63"/>
    </row>
    <row r="11" customFormat="false" ht="15.75" hidden="false" customHeight="false" outlineLevel="0" collapsed="false">
      <c r="A11" s="57" t="s">
        <v>1515</v>
      </c>
      <c r="B11" s="57" t="n">
        <v>2.05</v>
      </c>
      <c r="C11" s="58" t="n">
        <f aca="false">B11/B$23*B$25</f>
        <v>3.22106045023426</v>
      </c>
      <c r="D11" s="57" t="s">
        <v>434</v>
      </c>
      <c r="E11" s="59" t="n">
        <f aca="false">IFERROR(INDEX(Correspondance!$D$2:$D$3000,MATCH(A11,Correspondance!$A$2:$A$3000,0)),0)</f>
        <v>4</v>
      </c>
      <c r="F11" s="77" t="n">
        <f aca="false">C11*E11</f>
        <v>12.884241800937</v>
      </c>
      <c r="G11" s="78"/>
      <c r="I11" s="63"/>
    </row>
    <row r="12" customFormat="false" ht="15.75" hidden="false" customHeight="false" outlineLevel="0" collapsed="false">
      <c r="A12" s="57" t="s">
        <v>1491</v>
      </c>
      <c r="B12" s="57" t="n">
        <v>0.369</v>
      </c>
      <c r="C12" s="58" t="n">
        <f aca="false">B12/B$23*B$25</f>
        <v>0.579790881042167</v>
      </c>
      <c r="D12" s="57" t="s">
        <v>434</v>
      </c>
      <c r="E12" s="59" t="n">
        <f aca="false">IFERROR(INDEX(Correspondance!$D$2:$D$3000,MATCH(A12,Correspondance!$A$2:$A$3000,0)),0)</f>
        <v>9</v>
      </c>
      <c r="F12" s="77" t="n">
        <f aca="false">C12*E12</f>
        <v>5.2181179293795</v>
      </c>
      <c r="G12" s="78"/>
      <c r="I12" s="63"/>
    </row>
    <row r="13" customFormat="false" ht="18.75" hidden="false" customHeight="true" outlineLevel="0" collapsed="false">
      <c r="A13" s="57"/>
      <c r="B13" s="64"/>
      <c r="C13" s="58" t="n">
        <f aca="false">B13/B$23*B$25</f>
        <v>0</v>
      </c>
      <c r="D13" s="57"/>
      <c r="E13" s="65"/>
      <c r="F13" s="77" t="n">
        <f aca="false">C13*E13</f>
        <v>0</v>
      </c>
      <c r="G13" s="78"/>
      <c r="I13" s="63"/>
    </row>
    <row r="14" customFormat="false" ht="18.75" hidden="false" customHeight="true" outlineLevel="0" collapsed="false">
      <c r="A14" s="57"/>
      <c r="B14" s="64"/>
      <c r="C14" s="58" t="n">
        <f aca="false">B14/B$23*B$25</f>
        <v>0</v>
      </c>
      <c r="D14" s="57"/>
      <c r="E14" s="65"/>
      <c r="F14" s="77" t="n">
        <f aca="false">C14*E14</f>
        <v>0</v>
      </c>
      <c r="G14" s="78"/>
      <c r="I14" s="63"/>
    </row>
    <row r="15" customFormat="false" ht="15.75" hidden="false" customHeight="false" outlineLevel="0" collapsed="false">
      <c r="A15" s="57"/>
      <c r="B15" s="57"/>
      <c r="C15" s="58" t="n">
        <f aca="false">B15/B$23*B$25</f>
        <v>0</v>
      </c>
      <c r="D15" s="57"/>
      <c r="E15" s="65"/>
      <c r="F15" s="77" t="n">
        <f aca="false">C15*E15</f>
        <v>0</v>
      </c>
      <c r="G15" s="78"/>
      <c r="I15" s="63"/>
    </row>
    <row r="16" customFormat="false" ht="15.75" hidden="false" customHeight="false" outlineLevel="0" collapsed="false">
      <c r="A16" s="57"/>
      <c r="B16" s="57"/>
      <c r="C16" s="58" t="n">
        <f aca="false">B16/B$23*B$25</f>
        <v>0</v>
      </c>
      <c r="D16" s="57"/>
      <c r="E16" s="65"/>
      <c r="F16" s="77" t="n">
        <f aca="false">C16*E16</f>
        <v>0</v>
      </c>
      <c r="G16" s="78"/>
      <c r="I16" s="63"/>
    </row>
    <row r="17" customFormat="false" ht="15.75" hidden="false" customHeight="false" outlineLevel="0" collapsed="false">
      <c r="A17" s="57"/>
      <c r="B17" s="57"/>
      <c r="C17" s="58" t="n">
        <f aca="false">B17/B$23*B$25</f>
        <v>0</v>
      </c>
      <c r="D17" s="57"/>
      <c r="E17" s="65"/>
      <c r="F17" s="77" t="n">
        <f aca="false">C17*E17</f>
        <v>0</v>
      </c>
      <c r="G17" s="78"/>
      <c r="I17" s="63"/>
    </row>
    <row r="18" customFormat="false" ht="15.75" hidden="false" customHeight="false" outlineLevel="0" collapsed="false">
      <c r="A18" s="57"/>
      <c r="B18" s="57"/>
      <c r="C18" s="58" t="n">
        <f aca="false">B18/B$23*B$25</f>
        <v>0</v>
      </c>
      <c r="D18" s="57"/>
      <c r="E18" s="65"/>
      <c r="F18" s="77" t="n">
        <f aca="false">C18*E18</f>
        <v>0</v>
      </c>
      <c r="G18" s="78"/>
      <c r="I18" s="63"/>
    </row>
    <row r="19" customFormat="false" ht="15.75" hidden="false" customHeight="false" outlineLevel="0" collapsed="false">
      <c r="A19" s="57"/>
      <c r="B19" s="57"/>
      <c r="C19" s="58" t="n">
        <f aca="false">B19/B$23*B$25</f>
        <v>0</v>
      </c>
      <c r="D19" s="57"/>
      <c r="E19" s="65"/>
      <c r="F19" s="77" t="n">
        <f aca="false">C19*E19</f>
        <v>0</v>
      </c>
      <c r="G19" s="78"/>
      <c r="I19" s="63"/>
    </row>
    <row r="20" customFormat="false" ht="15.75" hidden="false" customHeight="false" outlineLevel="0" collapsed="false">
      <c r="C20" s="66"/>
      <c r="F20" s="67" t="n">
        <f aca="false">SUM(F4:F19)</f>
        <v>69.0925322820249</v>
      </c>
      <c r="G20" s="78"/>
      <c r="I20" s="63"/>
    </row>
    <row r="21" customFormat="false" ht="18.75" hidden="false" customHeight="true" outlineLevel="0" collapsed="false">
      <c r="A21" s="68" t="s">
        <v>2628</v>
      </c>
      <c r="B21" s="69" t="n">
        <f aca="false">F20/B25</f>
        <v>0.62811392983659</v>
      </c>
      <c r="C21" s="70"/>
      <c r="G21" s="78"/>
      <c r="I21" s="63"/>
    </row>
    <row r="22" customFormat="false" ht="15.75" hidden="false" customHeight="false" outlineLevel="0" collapsed="false">
      <c r="A22" s="71" t="s">
        <v>2629</v>
      </c>
      <c r="B22" s="71" t="n">
        <f aca="false">SUM(B4:B19)</f>
        <v>17.502</v>
      </c>
      <c r="C22" s="66"/>
      <c r="G22" s="78"/>
      <c r="I22" s="63"/>
    </row>
    <row r="23" customFormat="false" ht="15.75" hidden="false" customHeight="false" outlineLevel="0" collapsed="false">
      <c r="A23" s="0" t="s">
        <v>2630</v>
      </c>
      <c r="B23" s="72" t="n">
        <f aca="false">B22/B24</f>
        <v>70.008</v>
      </c>
      <c r="C23" s="66"/>
      <c r="G23" s="78"/>
      <c r="I23" s="63"/>
    </row>
    <row r="24" customFormat="false" ht="15.75" hidden="false" customHeight="false" outlineLevel="0" collapsed="false">
      <c r="A24" s="0" t="s">
        <v>2631</v>
      </c>
      <c r="B24" s="0" t="n">
        <v>0.25</v>
      </c>
      <c r="C24" s="79" t="s">
        <v>2632</v>
      </c>
      <c r="G24" s="78"/>
      <c r="I24" s="63"/>
    </row>
    <row r="25" customFormat="false" ht="18.75" hidden="false" customHeight="true" outlineLevel="0" collapsed="false">
      <c r="A25" s="74" t="s">
        <v>2633</v>
      </c>
      <c r="B25" s="74" t="n">
        <f aca="false">Paramètres!$B$5</f>
        <v>110</v>
      </c>
      <c r="C25" s="79" t="s">
        <v>2634</v>
      </c>
      <c r="G25" s="78"/>
      <c r="I25" s="63"/>
    </row>
    <row r="26" customFormat="false" ht="15.75" hidden="false" customHeight="false" outlineLevel="0" collapsed="false">
      <c r="I26" s="63"/>
    </row>
  </sheetData>
  <mergeCells count="5">
    <mergeCell ref="A1:D2"/>
    <mergeCell ref="E1:F1"/>
    <mergeCell ref="G1:G3"/>
    <mergeCell ref="E2:F2"/>
    <mergeCell ref="G4:G2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3020</v>
      </c>
      <c r="B1" s="50"/>
      <c r="C1" s="50"/>
      <c r="D1" s="50"/>
      <c r="E1" s="51" t="s">
        <v>2619</v>
      </c>
      <c r="F1" s="51"/>
      <c r="G1" s="52" t="s">
        <v>3021</v>
      </c>
    </row>
    <row r="2" customFormat="false" ht="24.75" hidden="false" customHeight="true" outlineLevel="0" collapsed="false">
      <c r="A2" s="50"/>
      <c r="B2" s="50"/>
      <c r="C2" s="50"/>
      <c r="D2" s="50"/>
      <c r="E2" s="53" t="s">
        <v>2636</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1657</v>
      </c>
      <c r="B4" s="57" t="n">
        <v>3.08</v>
      </c>
      <c r="C4" s="58" t="n">
        <f aca="false">B4/B$22*B$24</f>
        <v>4.83944692035196</v>
      </c>
      <c r="D4" s="57" t="s">
        <v>434</v>
      </c>
      <c r="E4" s="59" t="n">
        <f aca="false">IFERROR(INDEX(Correspondance!$D$2:$D$3000,MATCH(A4,Correspondance!$A$2:$A$3000,0)),0)</f>
        <v>6</v>
      </c>
      <c r="F4" s="60" t="n">
        <f aca="false">C4*E4</f>
        <v>29.0366815221118</v>
      </c>
      <c r="G4" s="61" t="s">
        <v>3022</v>
      </c>
    </row>
    <row r="5" customFormat="false" ht="15.75" hidden="false" customHeight="false" outlineLevel="0" collapsed="false">
      <c r="A5" s="57" t="s">
        <v>1919</v>
      </c>
      <c r="B5" s="57" t="n">
        <v>0.103</v>
      </c>
      <c r="C5" s="58" t="n">
        <f aca="false">B5/B$22*B$24</f>
        <v>0.16183864701177</v>
      </c>
      <c r="D5" s="57" t="s">
        <v>434</v>
      </c>
      <c r="E5" s="59" t="n">
        <f aca="false">IFERROR(INDEX(Correspondance!$D$2:$D$3000,MATCH(A5,Correspondance!$A$2:$A$3000,0)),0)</f>
        <v>2</v>
      </c>
      <c r="F5" s="60" t="n">
        <f aca="false">C5*E5</f>
        <v>0.32367729402354</v>
      </c>
      <c r="G5" s="61"/>
      <c r="I5" s="62"/>
    </row>
    <row r="6" customFormat="false" ht="15.75" hidden="false" customHeight="false" outlineLevel="0" collapsed="false">
      <c r="A6" s="57" t="s">
        <v>1725</v>
      </c>
      <c r="B6" s="57" t="n">
        <v>1.03</v>
      </c>
      <c r="C6" s="58" t="n">
        <f aca="false">B6/B$22*B$24</f>
        <v>1.6183864701177</v>
      </c>
      <c r="D6" s="57" t="s">
        <v>434</v>
      </c>
      <c r="E6" s="59" t="n">
        <f aca="false">IFERROR(INDEX(Correspondance!$D$2:$D$3000,MATCH(A6,Correspondance!$A$2:$A$3000,0)),0)</f>
        <v>9</v>
      </c>
      <c r="F6" s="60" t="n">
        <f aca="false">C6*E6</f>
        <v>14.5654782310593</v>
      </c>
      <c r="G6" s="61"/>
      <c r="I6" s="63"/>
    </row>
    <row r="7" customFormat="false" ht="15.75" hidden="false" customHeight="false" outlineLevel="0" collapsed="false">
      <c r="A7" s="57" t="s">
        <v>1459</v>
      </c>
      <c r="B7" s="57" t="n">
        <v>9.23</v>
      </c>
      <c r="C7" s="58" t="n">
        <f aca="false">B7/B$22*B$24</f>
        <v>14.5026282710547</v>
      </c>
      <c r="D7" s="57" t="s">
        <v>434</v>
      </c>
      <c r="E7" s="59" t="n">
        <f aca="false">IFERROR(INDEX(Correspondance!$D$2:$D$3000,MATCH(A7,Correspondance!$A$2:$A$3000,0)),0)</f>
        <v>0</v>
      </c>
      <c r="F7" s="60" t="n">
        <f aca="false">C7*E7</f>
        <v>0</v>
      </c>
      <c r="G7" s="61"/>
      <c r="I7" s="63"/>
    </row>
    <row r="8" customFormat="false" ht="15.75" hidden="false" customHeight="false" outlineLevel="0" collapsed="false">
      <c r="A8" s="57" t="s">
        <v>1700</v>
      </c>
      <c r="B8" s="57" t="n">
        <v>1.64</v>
      </c>
      <c r="C8" s="58" t="n">
        <f aca="false">B8/B$22*B$24</f>
        <v>2.57684836018741</v>
      </c>
      <c r="D8" s="57" t="s">
        <v>434</v>
      </c>
      <c r="E8" s="59" t="n">
        <f aca="false">IFERROR(INDEX(Correspondance!$D$2:$D$3000,MATCH(A8,Correspondance!$A$2:$A$3000,0)),0)</f>
        <v>8</v>
      </c>
      <c r="F8" s="60" t="n">
        <f aca="false">C8*E8</f>
        <v>20.6147868814993</v>
      </c>
      <c r="G8" s="61"/>
      <c r="I8" s="63"/>
    </row>
    <row r="9" customFormat="false" ht="15.75" hidden="false" customHeight="false" outlineLevel="0" collapsed="false">
      <c r="A9" s="57" t="s">
        <v>1702</v>
      </c>
      <c r="B9" s="57"/>
      <c r="C9" s="58" t="n">
        <f aca="false">B9/B$22*B$24</f>
        <v>0</v>
      </c>
      <c r="D9" s="57" t="s">
        <v>434</v>
      </c>
      <c r="E9" s="59" t="n">
        <f aca="false">IFERROR(INDEX(Correspondance!$D$2:$D$3000,MATCH(A9,Correspondance!$A$2:$A$3000,0)),0)</f>
        <v>16</v>
      </c>
      <c r="F9" s="60" t="n">
        <f aca="false">C9*E9</f>
        <v>0</v>
      </c>
      <c r="G9" s="61"/>
      <c r="I9" s="63"/>
    </row>
    <row r="10" customFormat="false" ht="15.75" hidden="false" customHeight="false" outlineLevel="0" collapsed="false">
      <c r="A10" s="57" t="s">
        <v>1515</v>
      </c>
      <c r="B10" s="57" t="n">
        <v>2.05</v>
      </c>
      <c r="C10" s="58" t="n">
        <f aca="false">B10/B$22*B$24</f>
        <v>3.22106045023426</v>
      </c>
      <c r="D10" s="57" t="s">
        <v>434</v>
      </c>
      <c r="E10" s="59" t="n">
        <f aca="false">IFERROR(INDEX(Correspondance!$D$2:$D$3000,MATCH(A10,Correspondance!$A$2:$A$3000,0)),0)</f>
        <v>4</v>
      </c>
      <c r="F10" s="60" t="n">
        <f aca="false">C10*E10</f>
        <v>12.884241800937</v>
      </c>
      <c r="G10" s="61"/>
      <c r="I10" s="63"/>
    </row>
    <row r="11" customFormat="false" ht="15.75" hidden="false" customHeight="false" outlineLevel="0" collapsed="false">
      <c r="A11" s="57" t="s">
        <v>1491</v>
      </c>
      <c r="B11" s="57" t="n">
        <v>0.369</v>
      </c>
      <c r="C11" s="58" t="n">
        <f aca="false">B11/B$22*B$24</f>
        <v>0.579790881042167</v>
      </c>
      <c r="D11" s="57" t="s">
        <v>434</v>
      </c>
      <c r="E11" s="59" t="n">
        <f aca="false">IFERROR(INDEX(Correspondance!$D$2:$D$3000,MATCH(A11,Correspondance!$A$2:$A$3000,0)),0)</f>
        <v>9</v>
      </c>
      <c r="F11" s="60" t="n">
        <f aca="false">C11*E11</f>
        <v>5.2181179293795</v>
      </c>
      <c r="G11" s="61"/>
      <c r="I11" s="63"/>
    </row>
    <row r="12" customFormat="false" ht="18.75" hidden="false" customHeight="true" outlineLevel="0" collapsed="false">
      <c r="A12" s="57"/>
      <c r="B12" s="64"/>
      <c r="C12" s="58" t="n">
        <f aca="false">B12/B$22*B$24</f>
        <v>0</v>
      </c>
      <c r="D12" s="57"/>
      <c r="E12" s="65"/>
      <c r="F12" s="60" t="n">
        <f aca="false">C12*E12</f>
        <v>0</v>
      </c>
      <c r="G12" s="61"/>
      <c r="I12" s="63"/>
    </row>
    <row r="13" customFormat="false" ht="18.75" hidden="false" customHeight="true" outlineLevel="0" collapsed="false">
      <c r="A13" s="57"/>
      <c r="B13" s="64"/>
      <c r="C13" s="58" t="n">
        <f aca="false">B13/B$22*B$24</f>
        <v>0</v>
      </c>
      <c r="D13" s="57"/>
      <c r="E13" s="65"/>
      <c r="F13" s="60" t="n">
        <f aca="false">C13*E13</f>
        <v>0</v>
      </c>
      <c r="G13" s="61"/>
      <c r="I13" s="63"/>
    </row>
    <row r="14" customFormat="false" ht="15.75" hidden="false" customHeight="false" outlineLevel="0" collapsed="false">
      <c r="A14" s="57"/>
      <c r="B14" s="57"/>
      <c r="C14" s="58" t="n">
        <f aca="false">B14/B$22*B$24</f>
        <v>0</v>
      </c>
      <c r="D14" s="57"/>
      <c r="E14" s="65"/>
      <c r="F14" s="60" t="n">
        <f aca="false">C14*E14</f>
        <v>0</v>
      </c>
      <c r="G14" s="61"/>
      <c r="I14" s="63"/>
    </row>
    <row r="15" customFormat="false" ht="15.75" hidden="false" customHeight="false" outlineLevel="0" collapsed="false">
      <c r="A15" s="57"/>
      <c r="B15" s="57"/>
      <c r="C15" s="58" t="n">
        <f aca="false">B15/B$22*B$24</f>
        <v>0</v>
      </c>
      <c r="D15" s="57"/>
      <c r="E15" s="65"/>
      <c r="F15" s="60" t="n">
        <f aca="false">C15*E15</f>
        <v>0</v>
      </c>
      <c r="G15" s="61"/>
      <c r="I15" s="63"/>
    </row>
    <row r="16" customFormat="false" ht="15.75" hidden="false" customHeight="false" outlineLevel="0" collapsed="false">
      <c r="A16" s="57"/>
      <c r="B16" s="57"/>
      <c r="C16" s="58" t="n">
        <f aca="false">B16/B$22*B$24</f>
        <v>0</v>
      </c>
      <c r="D16" s="57"/>
      <c r="E16" s="65"/>
      <c r="F16" s="60" t="n">
        <f aca="false">C16*E16</f>
        <v>0</v>
      </c>
      <c r="G16" s="61"/>
      <c r="I16" s="63"/>
    </row>
    <row r="17" customFormat="false" ht="15.75" hidden="false" customHeight="false" outlineLevel="0" collapsed="false">
      <c r="A17" s="57"/>
      <c r="B17" s="57"/>
      <c r="C17" s="58" t="n">
        <f aca="false">B17/B$22*B$24</f>
        <v>0</v>
      </c>
      <c r="D17" s="57"/>
      <c r="E17" s="65"/>
      <c r="F17" s="60" t="n">
        <f aca="false">C17*E17</f>
        <v>0</v>
      </c>
      <c r="G17" s="61"/>
      <c r="I17" s="63"/>
    </row>
    <row r="18" customFormat="false" ht="15.75" hidden="false" customHeight="false" outlineLevel="0" collapsed="false">
      <c r="A18" s="57"/>
      <c r="B18" s="57"/>
      <c r="C18" s="58" t="n">
        <f aca="false">B18/B$22*B$24</f>
        <v>0</v>
      </c>
      <c r="D18" s="57"/>
      <c r="E18" s="65"/>
      <c r="F18" s="60" t="n">
        <f aca="false">C18*E18</f>
        <v>0</v>
      </c>
      <c r="G18" s="61"/>
      <c r="I18" s="63"/>
    </row>
    <row r="19" customFormat="false" ht="15.75" hidden="false" customHeight="false" outlineLevel="0" collapsed="false">
      <c r="C19" s="66"/>
      <c r="F19" s="67" t="n">
        <f aca="false">SUM(F4:F18)</f>
        <v>82.6429836590104</v>
      </c>
      <c r="G19" s="61"/>
      <c r="I19" s="63"/>
    </row>
    <row r="20" customFormat="false" ht="18.75" hidden="false" customHeight="true" outlineLevel="0" collapsed="false">
      <c r="A20" s="68" t="s">
        <v>2628</v>
      </c>
      <c r="B20" s="69" t="n">
        <f aca="false">F19/B24</f>
        <v>0.751299851445549</v>
      </c>
      <c r="C20" s="70"/>
      <c r="G20" s="61"/>
      <c r="I20" s="63"/>
    </row>
    <row r="21" customFormat="false" ht="15.75" hidden="false" customHeight="false" outlineLevel="0" collapsed="false">
      <c r="A21" s="71" t="s">
        <v>2629</v>
      </c>
      <c r="B21" s="71" t="n">
        <f aca="false">SUM(B3:B18)</f>
        <v>17.502</v>
      </c>
      <c r="C21" s="66"/>
      <c r="G21" s="61"/>
      <c r="I21" s="63"/>
    </row>
    <row r="22" customFormat="false" ht="15.75" hidden="false" customHeight="false" outlineLevel="0" collapsed="false">
      <c r="A22" s="0" t="s">
        <v>2630</v>
      </c>
      <c r="B22" s="72" t="n">
        <f aca="false">B21/B23</f>
        <v>70.008</v>
      </c>
      <c r="C22" s="66"/>
      <c r="G22" s="61"/>
      <c r="I22" s="63"/>
    </row>
    <row r="23" customFormat="false" ht="15.75" hidden="false" customHeight="false" outlineLevel="0" collapsed="false">
      <c r="A23" s="0" t="s">
        <v>2631</v>
      </c>
      <c r="B23" s="0" t="n">
        <v>0.25</v>
      </c>
      <c r="C23" s="87" t="s">
        <v>2632</v>
      </c>
      <c r="D23" s="87"/>
      <c r="E23" s="87"/>
      <c r="F23" s="87"/>
      <c r="G23" s="61"/>
      <c r="I23" s="63"/>
    </row>
    <row r="24" customFormat="false" ht="18.75" hidden="false" customHeight="true" outlineLevel="0" collapsed="false">
      <c r="A24" s="74" t="s">
        <v>2633</v>
      </c>
      <c r="B24" s="74" t="n">
        <f aca="false">Paramètres!$B$5</f>
        <v>110</v>
      </c>
      <c r="C24" s="87" t="s">
        <v>2634</v>
      </c>
      <c r="D24" s="87"/>
      <c r="E24" s="87"/>
      <c r="F24" s="87"/>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335</v>
      </c>
      <c r="B1" s="50"/>
      <c r="C1" s="50"/>
      <c r="D1" s="50"/>
      <c r="E1" s="51" t="s">
        <v>2619</v>
      </c>
      <c r="F1" s="51"/>
      <c r="G1" s="52" t="s">
        <v>2669</v>
      </c>
    </row>
    <row r="2" customFormat="false" ht="24.75" hidden="false" customHeight="true" outlineLevel="0" collapsed="false">
      <c r="A2" s="50"/>
      <c r="B2" s="50"/>
      <c r="C2" s="50"/>
      <c r="D2" s="50"/>
      <c r="E2" s="53" t="s">
        <v>2636</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1087</v>
      </c>
      <c r="B4" s="57" t="n">
        <v>3.14</v>
      </c>
      <c r="C4" s="58" t="n">
        <f aca="false">B4/B$22*B$24</f>
        <v>4.93172377985462</v>
      </c>
      <c r="D4" s="57" t="s">
        <v>434</v>
      </c>
      <c r="E4" s="59" t="n">
        <f aca="false">IFERROR(INDEX(Correspondance!$D$2:$D$3000,MATCH(A4,Correspondance!$A$2:$A$3000,0)),0)</f>
        <v>4.5</v>
      </c>
      <c r="F4" s="60" t="n">
        <f aca="false">C4*E4</f>
        <v>22.1927570093458</v>
      </c>
      <c r="G4" s="61" t="s">
        <v>3023</v>
      </c>
    </row>
    <row r="5" customFormat="false" ht="15.75" hidden="false" customHeight="false" outlineLevel="0" collapsed="false">
      <c r="A5" s="57" t="s">
        <v>1459</v>
      </c>
      <c r="B5" s="57" t="n">
        <v>9.42</v>
      </c>
      <c r="C5" s="58" t="n">
        <f aca="false">B5/B$22*B$24</f>
        <v>14.7951713395639</v>
      </c>
      <c r="D5" s="57" t="s">
        <v>682</v>
      </c>
      <c r="E5" s="59" t="n">
        <f aca="false">IFERROR(INDEX(Correspondance!$D$2:$D$3000,MATCH(A5,Correspondance!$A$2:$A$3000,0)),0)</f>
        <v>0</v>
      </c>
      <c r="F5" s="60" t="n">
        <f aca="false">C5*E5</f>
        <v>0</v>
      </c>
      <c r="G5" s="61"/>
      <c r="I5" s="62"/>
    </row>
    <row r="6" customFormat="false" ht="15.75" hidden="false" customHeight="false" outlineLevel="0" collapsed="false">
      <c r="A6" s="57" t="s">
        <v>1001</v>
      </c>
      <c r="B6" s="57" t="n">
        <v>0.837</v>
      </c>
      <c r="C6" s="58" t="n">
        <f aca="false">B6/B$22*B$24</f>
        <v>1.31460280373832</v>
      </c>
      <c r="D6" s="57" t="s">
        <v>434</v>
      </c>
      <c r="E6" s="59" t="n">
        <f aca="false">IFERROR(INDEX(Correspondance!$D$2:$D$3000,MATCH(A6,Correspondance!$A$2:$A$3000,0)),0)</f>
        <v>1.8</v>
      </c>
      <c r="F6" s="60" t="n">
        <f aca="false">C6*E6</f>
        <v>2.36628504672897</v>
      </c>
      <c r="G6" s="61"/>
      <c r="I6" s="63"/>
    </row>
    <row r="7" customFormat="false" ht="15.75" hidden="false" customHeight="false" outlineLevel="0" collapsed="false">
      <c r="A7" s="57" t="s">
        <v>917</v>
      </c>
      <c r="B7" s="57" t="n">
        <v>0.628</v>
      </c>
      <c r="C7" s="58" t="n">
        <f aca="false">B7/B$22*B$24</f>
        <v>0.986344755970924</v>
      </c>
      <c r="D7" s="57" t="s">
        <v>434</v>
      </c>
      <c r="E7" s="59" t="n">
        <f aca="false">IFERROR(INDEX(Correspondance!$D$2:$D$3000,MATCH(A7,Correspondance!$A$2:$A$3000,0)),0)</f>
        <v>1.8</v>
      </c>
      <c r="F7" s="60" t="n">
        <f aca="false">C7*E7</f>
        <v>1.77542056074766</v>
      </c>
      <c r="G7" s="61"/>
      <c r="I7" s="63"/>
    </row>
    <row r="8" customFormat="false" ht="15.75" hidden="false" customHeight="false" outlineLevel="0" collapsed="false">
      <c r="A8" s="57" t="s">
        <v>894</v>
      </c>
      <c r="B8" s="57" t="n">
        <v>0.063</v>
      </c>
      <c r="C8" s="58" t="n">
        <f aca="false">B8/B$22*B$24</f>
        <v>0.0989485981308411</v>
      </c>
      <c r="D8" s="57" t="s">
        <v>434</v>
      </c>
      <c r="E8" s="59" t="n">
        <f aca="false">IFERROR(INDEX(Correspondance!$D$2:$D$3000,MATCH(A8,Correspondance!$A$2:$A$3000,0)),0)</f>
        <v>5.5</v>
      </c>
      <c r="F8" s="60" t="n">
        <f aca="false">C8*E8</f>
        <v>0.544217289719626</v>
      </c>
      <c r="G8" s="61"/>
      <c r="I8" s="63"/>
    </row>
    <row r="9" customFormat="false" ht="15.75" hidden="false" customHeight="false" outlineLevel="0" collapsed="false">
      <c r="A9" s="57" t="s">
        <v>1100</v>
      </c>
      <c r="B9" s="57" t="n">
        <v>0.105</v>
      </c>
      <c r="C9" s="58" t="n">
        <f aca="false">B9/B$22*B$24</f>
        <v>0.164914330218069</v>
      </c>
      <c r="D9" s="57" t="s">
        <v>434</v>
      </c>
      <c r="E9" s="59" t="n">
        <f aca="false">IFERROR(INDEX(Correspondance!$D$2:$D$3000,MATCH(A9,Correspondance!$A$2:$A$3000,0)),0)</f>
        <v>10</v>
      </c>
      <c r="F9" s="60" t="n">
        <f aca="false">C9*E9</f>
        <v>1.64914330218069</v>
      </c>
      <c r="G9" s="61"/>
      <c r="I9" s="63"/>
    </row>
    <row r="10" customFormat="false" ht="15.75" hidden="false" customHeight="false" outlineLevel="0" collapsed="false">
      <c r="A10" s="57" t="s">
        <v>1491</v>
      </c>
      <c r="B10" s="57" t="n">
        <v>0.377</v>
      </c>
      <c r="C10" s="58" t="n">
        <f aca="false">B10/B$22*B$24</f>
        <v>0.592120976116303</v>
      </c>
      <c r="D10" s="57" t="s">
        <v>434</v>
      </c>
      <c r="E10" s="59" t="n">
        <f aca="false">IFERROR(INDEX(Correspondance!$D$2:$D$3000,MATCH(A10,Correspondance!$A$2:$A$3000,0)),0)</f>
        <v>9</v>
      </c>
      <c r="F10" s="60" t="n">
        <f aca="false">C10*E10</f>
        <v>5.32908878504673</v>
      </c>
      <c r="G10" s="61"/>
      <c r="I10" s="63"/>
    </row>
    <row r="11" customFormat="false" ht="15.75" hidden="false" customHeight="false" outlineLevel="0" collapsed="false">
      <c r="A11" s="57" t="s">
        <v>1578</v>
      </c>
      <c r="B11" s="57" t="n">
        <v>0.628</v>
      </c>
      <c r="C11" s="58" t="n">
        <f aca="false">B11/B$22*B$24</f>
        <v>0.986344755970924</v>
      </c>
      <c r="D11" s="57" t="s">
        <v>434</v>
      </c>
      <c r="E11" s="59" t="n">
        <f aca="false">IFERROR(INDEX(Correspondance!$D$2:$D$3000,MATCH(A11,Correspondance!$A$2:$A$3000,0)),0)</f>
        <v>5.5</v>
      </c>
      <c r="F11" s="60" t="n">
        <f aca="false">C11*E11</f>
        <v>5.42489615784008</v>
      </c>
      <c r="G11" s="61"/>
      <c r="I11" s="63"/>
    </row>
    <row r="12" customFormat="false" ht="18.75" hidden="false" customHeight="true" outlineLevel="0" collapsed="false">
      <c r="A12" s="57" t="s">
        <v>1007</v>
      </c>
      <c r="B12" s="64" t="n">
        <v>0.105</v>
      </c>
      <c r="C12" s="58" t="n">
        <f aca="false">B12/B$22*B$24</f>
        <v>0.164914330218069</v>
      </c>
      <c r="D12" s="57" t="s">
        <v>434</v>
      </c>
      <c r="E12" s="59" t="n">
        <f aca="false">IFERROR(INDEX(Correspondance!$D$2:$D$3000,MATCH(A12,Correspondance!$A$2:$A$3000,0)),0)</f>
        <v>8</v>
      </c>
      <c r="F12" s="60" t="n">
        <f aca="false">C12*E12</f>
        <v>1.31931464174455</v>
      </c>
      <c r="G12" s="61"/>
      <c r="I12" s="63"/>
    </row>
    <row r="13" customFormat="false" ht="18.75" hidden="false" customHeight="true" outlineLevel="0" collapsed="false">
      <c r="A13" s="57" t="s">
        <v>1919</v>
      </c>
      <c r="B13" s="64" t="n">
        <v>0.105</v>
      </c>
      <c r="C13" s="58" t="n">
        <f aca="false">B13/B$22*B$24</f>
        <v>0.164914330218069</v>
      </c>
      <c r="D13" s="57" t="s">
        <v>434</v>
      </c>
      <c r="E13" s="59" t="n">
        <f aca="false">IFERROR(INDEX(Correspondance!$D$2:$D$3000,MATCH(A13,Correspondance!$A$2:$A$3000,0)),0)</f>
        <v>2</v>
      </c>
      <c r="F13" s="60" t="n">
        <f aca="false">C13*E13</f>
        <v>0.329828660436137</v>
      </c>
      <c r="G13" s="61"/>
      <c r="I13" s="63"/>
    </row>
    <row r="14" customFormat="false" ht="15.75" hidden="false" customHeight="false" outlineLevel="0" collapsed="false">
      <c r="A14" s="57" t="s">
        <v>1703</v>
      </c>
      <c r="B14" s="57"/>
      <c r="C14" s="58" t="n">
        <f aca="false">B14/B$22*B$24</f>
        <v>0</v>
      </c>
      <c r="D14" s="57" t="s">
        <v>434</v>
      </c>
      <c r="E14" s="59" t="n">
        <f aca="false">IFERROR(INDEX(Correspondance!$D$2:$D$3000,MATCH(A14,Correspondance!$A$2:$A$3000,0)),0)</f>
        <v>16</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40.9309514537902</v>
      </c>
      <c r="G19" s="61"/>
      <c r="I19" s="63"/>
    </row>
    <row r="20" customFormat="false" ht="18.75" hidden="false" customHeight="true" outlineLevel="0" collapsed="false">
      <c r="A20" s="68" t="s">
        <v>2628</v>
      </c>
      <c r="B20" s="69" t="n">
        <f aca="false">F19/B24</f>
        <v>0.37209955867082</v>
      </c>
      <c r="C20" s="70"/>
      <c r="G20" s="61"/>
      <c r="I20" s="63"/>
    </row>
    <row r="21" customFormat="false" ht="15.75" hidden="false" customHeight="false" outlineLevel="0" collapsed="false">
      <c r="A21" s="71" t="s">
        <v>2629</v>
      </c>
      <c r="B21" s="71" t="n">
        <f aca="false">SUM(B3:B18)</f>
        <v>15.408</v>
      </c>
      <c r="C21" s="66"/>
      <c r="G21" s="61"/>
      <c r="I21" s="63"/>
    </row>
    <row r="22" customFormat="false" ht="15.75" hidden="false" customHeight="false" outlineLevel="0" collapsed="false">
      <c r="A22" s="0" t="s">
        <v>2630</v>
      </c>
      <c r="B22" s="72" t="n">
        <f aca="false">B21/B23</f>
        <v>70.0363636363636</v>
      </c>
      <c r="C22" s="66"/>
      <c r="G22" s="61"/>
      <c r="I22" s="63"/>
    </row>
    <row r="23" customFormat="false" ht="15.75" hidden="false" customHeight="false" outlineLevel="0" collapsed="false">
      <c r="A23" s="0" t="s">
        <v>2631</v>
      </c>
      <c r="B23" s="0" t="n">
        <v>0.22</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336</v>
      </c>
      <c r="B1" s="50"/>
      <c r="C1" s="50"/>
      <c r="D1" s="50"/>
      <c r="E1" s="51" t="s">
        <v>2619</v>
      </c>
      <c r="F1" s="51"/>
      <c r="G1" s="52" t="s">
        <v>3024</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1026</v>
      </c>
      <c r="B4" s="57" t="n">
        <v>8.23</v>
      </c>
      <c r="C4" s="58" t="n">
        <f aca="false">B4/B$22*B$24</f>
        <v>12.9251635930993</v>
      </c>
      <c r="D4" s="57" t="s">
        <v>434</v>
      </c>
      <c r="E4" s="59" t="n">
        <f aca="false">IFERROR(INDEX(Correspondance!$D$2:$D$3000,MATCH(A4,Correspondance!$A$2:$A$3000,0)),0)</f>
        <v>3.2</v>
      </c>
      <c r="F4" s="60" t="n">
        <f aca="false">C4*E4</f>
        <v>41.3605234979179</v>
      </c>
      <c r="G4" s="61" t="s">
        <v>3025</v>
      </c>
    </row>
    <row r="5" customFormat="false" ht="15.75" hidden="false" customHeight="false" outlineLevel="0" collapsed="false">
      <c r="A5" s="57" t="s">
        <v>1675</v>
      </c>
      <c r="B5" s="57" t="n">
        <v>0.103</v>
      </c>
      <c r="C5" s="58" t="n">
        <f aca="false">B5/B$22*B$24</f>
        <v>0.161760856632957</v>
      </c>
      <c r="D5" s="57" t="s">
        <v>682</v>
      </c>
      <c r="E5" s="59" t="n">
        <f aca="false">IFERROR(INDEX(Correspondance!$D$2:$D$3000,MATCH(A5,Correspondance!$A$2:$A$3000,0)),0)</f>
        <v>2.2</v>
      </c>
      <c r="F5" s="60" t="n">
        <f aca="false">C5*E5</f>
        <v>0.355873884592504</v>
      </c>
      <c r="G5" s="61"/>
      <c r="I5" s="62"/>
    </row>
    <row r="6" customFormat="false" ht="15.75" hidden="false" customHeight="false" outlineLevel="0" collapsed="false">
      <c r="A6" s="57" t="s">
        <v>1332</v>
      </c>
      <c r="B6" s="57" t="n">
        <v>0.021</v>
      </c>
      <c r="C6" s="58" t="n">
        <f aca="false">B6/B$22*B$24</f>
        <v>0.0329803688280785</v>
      </c>
      <c r="D6" s="57" t="s">
        <v>434</v>
      </c>
      <c r="E6" s="59" t="n">
        <f aca="false">IFERROR(INDEX(Correspondance!$D$2:$D$3000,MATCH(A6,Correspondance!$A$2:$A$3000,0)),0)</f>
        <v>2</v>
      </c>
      <c r="F6" s="60" t="n">
        <f aca="false">C6*E6</f>
        <v>0.065960737656157</v>
      </c>
      <c r="G6" s="61"/>
      <c r="I6" s="63"/>
    </row>
    <row r="7" customFormat="false" ht="15.75" hidden="false" customHeight="false" outlineLevel="0" collapsed="false">
      <c r="A7" s="57" t="s">
        <v>1007</v>
      </c>
      <c r="B7" s="57" t="n">
        <v>0.051</v>
      </c>
      <c r="C7" s="58" t="n">
        <f aca="false">B7/B$22*B$24</f>
        <v>0.0800951814396193</v>
      </c>
      <c r="D7" s="57" t="s">
        <v>434</v>
      </c>
      <c r="E7" s="59" t="n">
        <f aca="false">IFERROR(INDEX(Correspondance!$D$2:$D$3000,MATCH(A7,Correspondance!$A$2:$A$3000,0)),0)</f>
        <v>8</v>
      </c>
      <c r="F7" s="60" t="n">
        <f aca="false">C7*E7</f>
        <v>0.640761451516954</v>
      </c>
      <c r="G7" s="61"/>
      <c r="I7" s="63"/>
    </row>
    <row r="8" customFormat="false" ht="15.75" hidden="false" customHeight="false" outlineLevel="0" collapsed="false">
      <c r="A8" s="57" t="s">
        <v>1814</v>
      </c>
      <c r="B8" s="57"/>
      <c r="C8" s="58" t="n">
        <f aca="false">B8/B$22*B$24</f>
        <v>0</v>
      </c>
      <c r="D8" s="57" t="s">
        <v>434</v>
      </c>
      <c r="E8" s="59" t="n">
        <f aca="false">IFERROR(INDEX(Correspondance!$D$2:$D$3000,MATCH(A8,Correspondance!$A$2:$A$3000,0)),0)</f>
        <v>18</v>
      </c>
      <c r="F8" s="60" t="n">
        <f aca="false">C8*E8</f>
        <v>0</v>
      </c>
      <c r="G8" s="61"/>
      <c r="I8" s="63"/>
    </row>
    <row r="9" customFormat="false" ht="15.75" hidden="false" customHeight="false" outlineLevel="0" collapsed="false">
      <c r="A9" s="57"/>
      <c r="B9" s="57"/>
      <c r="C9" s="58" t="n">
        <f aca="false">B9/B$22*B$24</f>
        <v>0</v>
      </c>
      <c r="D9" s="57"/>
      <c r="E9" s="65" t="n">
        <f aca="false">IFERROR(INDEX(Correspondance!$D$2:$D$3000,MATCH(A9,Correspondance!$A$2:$A$3000,0)),0)</f>
        <v>0</v>
      </c>
      <c r="F9" s="60" t="n">
        <f aca="false">C9*E9</f>
        <v>0</v>
      </c>
      <c r="G9" s="61"/>
      <c r="I9" s="63"/>
    </row>
    <row r="10" customFormat="false" ht="15.75" hidden="false" customHeight="false" outlineLevel="0" collapsed="false">
      <c r="A10" s="57"/>
      <c r="B10" s="57"/>
      <c r="C10" s="58" t="n">
        <f aca="false">B10/B$22*B$24</f>
        <v>0</v>
      </c>
      <c r="D10" s="57"/>
      <c r="E10" s="65" t="n">
        <f aca="false">IFERROR(INDEX(Correspondance!$D$2:$D$3000,MATCH(A10,Correspondance!$A$2:$A$3000,0)),0)</f>
        <v>0</v>
      </c>
      <c r="F10" s="60" t="n">
        <f aca="false">C10*E10</f>
        <v>0</v>
      </c>
      <c r="G10" s="61"/>
      <c r="I10" s="63"/>
    </row>
    <row r="11" customFormat="false" ht="15.75" hidden="false" customHeight="false" outlineLevel="0" collapsed="false">
      <c r="A11" s="57"/>
      <c r="B11" s="57"/>
      <c r="C11" s="58" t="n">
        <f aca="false">B11/B$22*B$24</f>
        <v>0</v>
      </c>
      <c r="D11" s="57"/>
      <c r="E11" s="65" t="n">
        <f aca="false">IFERROR(INDEX(Correspondance!$D$2:$D$3000,MATCH(A11,Correspondance!$A$2:$A$3000,0)),0)</f>
        <v>0</v>
      </c>
      <c r="F11" s="60" t="n">
        <f aca="false">C11*E11</f>
        <v>0</v>
      </c>
      <c r="G11" s="61"/>
      <c r="I11" s="63"/>
    </row>
    <row r="12" customFormat="false" ht="18.75" hidden="false" customHeight="true" outlineLevel="0" collapsed="false">
      <c r="A12" s="57"/>
      <c r="B12" s="64"/>
      <c r="C12" s="58" t="n">
        <f aca="false">B12/B$22*B$24</f>
        <v>0</v>
      </c>
      <c r="D12" s="57"/>
      <c r="E12" s="65" t="n">
        <f aca="false">IFERROR(INDEX(Correspondance!$D$2:$D$3000,MATCH(A12,Correspondance!$A$2:$A$3000,0)),0)</f>
        <v>0</v>
      </c>
      <c r="F12" s="60" t="n">
        <f aca="false">C12*E12</f>
        <v>0</v>
      </c>
      <c r="G12" s="61"/>
      <c r="I12" s="63"/>
    </row>
    <row r="13" customFormat="false" ht="18.75" hidden="false" customHeight="true" outlineLevel="0" collapsed="false">
      <c r="A13" s="57"/>
      <c r="B13" s="64"/>
      <c r="C13" s="58" t="n">
        <f aca="false">B13/B$22*B$24</f>
        <v>0</v>
      </c>
      <c r="D13" s="57"/>
      <c r="E13" s="65" t="n">
        <f aca="false">IFERROR(INDEX(Correspondance!$D$2:$D$3000,MATCH(A13,Correspondance!$A$2:$A$3000,0)),0)</f>
        <v>0</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42.4231195716835</v>
      </c>
      <c r="G19" s="61"/>
      <c r="I19" s="63"/>
    </row>
    <row r="20" customFormat="false" ht="18.75" hidden="false" customHeight="true" outlineLevel="0" collapsed="false">
      <c r="A20" s="68" t="s">
        <v>2628</v>
      </c>
      <c r="B20" s="69" t="n">
        <f aca="false">F19/B24</f>
        <v>0.385664723378941</v>
      </c>
      <c r="C20" s="70"/>
      <c r="G20" s="61"/>
      <c r="I20" s="63"/>
    </row>
    <row r="21" customFormat="false" ht="15.75" hidden="false" customHeight="false" outlineLevel="0" collapsed="false">
      <c r="A21" s="71" t="s">
        <v>2629</v>
      </c>
      <c r="B21" s="71" t="n">
        <f aca="false">SUM(B3:B18)</f>
        <v>8.405</v>
      </c>
      <c r="C21" s="66"/>
      <c r="G21" s="61"/>
      <c r="I21" s="63"/>
    </row>
    <row r="22" customFormat="false" ht="15.75" hidden="false" customHeight="false" outlineLevel="0" collapsed="false">
      <c r="A22" s="0" t="s">
        <v>2630</v>
      </c>
      <c r="B22" s="72" t="n">
        <f aca="false">B21/B23</f>
        <v>70.0416666666667</v>
      </c>
      <c r="C22" s="66"/>
      <c r="G22" s="61"/>
      <c r="I22" s="63"/>
    </row>
    <row r="23" customFormat="false" ht="15.75" hidden="false" customHeight="false" outlineLevel="0" collapsed="false">
      <c r="A23" s="0" t="s">
        <v>2631</v>
      </c>
      <c r="B23" s="0" t="n">
        <v>0.12</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337</v>
      </c>
      <c r="B1" s="50"/>
      <c r="C1" s="50"/>
      <c r="D1" s="50"/>
      <c r="E1" s="51" t="s">
        <v>2619</v>
      </c>
      <c r="F1" s="51"/>
      <c r="G1" s="52" t="s">
        <v>3024</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1032</v>
      </c>
      <c r="B4" s="57" t="n">
        <v>7.89</v>
      </c>
      <c r="C4" s="58" t="n">
        <f aca="false">B4/B$22*B$24</f>
        <v>12.3941449482328</v>
      </c>
      <c r="D4" s="57" t="s">
        <v>434</v>
      </c>
      <c r="E4" s="59" t="n">
        <f aca="false">IFERROR(INDEX(Correspondance!$D$2:$D$3000,MATCH(A4,Correspondance!$A$2:$A$3000,0)),0)</f>
        <v>3.2</v>
      </c>
      <c r="F4" s="60" t="n">
        <f aca="false">C4*E4</f>
        <v>39.6612638343449</v>
      </c>
      <c r="G4" s="61" t="s">
        <v>3026</v>
      </c>
    </row>
    <row r="5" customFormat="false" ht="15.75" hidden="false" customHeight="false" outlineLevel="0" collapsed="false">
      <c r="A5" s="57" t="s">
        <v>1688</v>
      </c>
      <c r="B5" s="57" t="n">
        <v>0.296</v>
      </c>
      <c r="C5" s="58" t="n">
        <f aca="false">B5/B$22*B$24</f>
        <v>0.464976794002142</v>
      </c>
      <c r="D5" s="57" t="s">
        <v>682</v>
      </c>
      <c r="E5" s="59" t="n">
        <f aca="false">IFERROR(INDEX(Correspondance!$D$2:$D$3000,MATCH(A5,Correspondance!$A$2:$A$3000,0)),0)</f>
        <v>6.5</v>
      </c>
      <c r="F5" s="60" t="n">
        <f aca="false">C5*E5</f>
        <v>3.02234916101392</v>
      </c>
      <c r="G5" s="61"/>
      <c r="I5" s="62"/>
    </row>
    <row r="6" customFormat="false" ht="15.75" hidden="false" customHeight="false" outlineLevel="0" collapsed="false">
      <c r="A6" s="57" t="s">
        <v>1495</v>
      </c>
      <c r="B6" s="57" t="n">
        <v>0.197</v>
      </c>
      <c r="C6" s="58" t="n">
        <f aca="false">B6/B$22*B$24</f>
        <v>0.309460906818993</v>
      </c>
      <c r="D6" s="57" t="s">
        <v>434</v>
      </c>
      <c r="E6" s="59" t="n">
        <f aca="false">IFERROR(INDEX(Correspondance!$D$2:$D$3000,MATCH(A6,Correspondance!$A$2:$A$3000,0)),0)</f>
        <v>9</v>
      </c>
      <c r="F6" s="60" t="n">
        <f aca="false">C6*E6</f>
        <v>2.78514816137094</v>
      </c>
      <c r="G6" s="61"/>
      <c r="I6" s="63"/>
    </row>
    <row r="7" customFormat="false" ht="15.75" hidden="false" customHeight="false" outlineLevel="0" collapsed="false">
      <c r="A7" s="57" t="s">
        <v>1332</v>
      </c>
      <c r="B7" s="57" t="n">
        <v>0.02</v>
      </c>
      <c r="C7" s="58" t="n">
        <f aca="false">B7/B$22*B$24</f>
        <v>0.0314173509460907</v>
      </c>
      <c r="D7" s="57" t="s">
        <v>434</v>
      </c>
      <c r="E7" s="59" t="n">
        <f aca="false">IFERROR(INDEX(Correspondance!$D$2:$D$3000,MATCH(A7,Correspondance!$A$2:$A$3000,0)),0)</f>
        <v>2</v>
      </c>
      <c r="F7" s="60" t="n">
        <f aca="false">C7*E7</f>
        <v>0.0628347018921814</v>
      </c>
      <c r="G7" s="61"/>
      <c r="I7" s="63"/>
    </row>
    <row r="8" customFormat="false" ht="15.75" hidden="false" customHeight="false" outlineLevel="0" collapsed="false">
      <c r="A8" s="57" t="s">
        <v>1732</v>
      </c>
      <c r="B8" s="57"/>
      <c r="C8" s="58" t="n">
        <f aca="false">B8/B$22*B$24</f>
        <v>0</v>
      </c>
      <c r="D8" s="57" t="s">
        <v>434</v>
      </c>
      <c r="E8" s="59" t="n">
        <f aca="false">IFERROR(INDEX(Correspondance!$D$2:$D$3000,MATCH(A8,Correspondance!$A$2:$A$3000,0)),0)</f>
        <v>30</v>
      </c>
      <c r="F8" s="60" t="n">
        <f aca="false">C8*E8</f>
        <v>0</v>
      </c>
      <c r="G8" s="61"/>
      <c r="I8" s="63"/>
    </row>
    <row r="9" customFormat="false" ht="15.75" hidden="false" customHeight="false" outlineLevel="0" collapsed="false">
      <c r="A9" s="57" t="s">
        <v>1777</v>
      </c>
      <c r="B9" s="57"/>
      <c r="C9" s="58" t="n">
        <f aca="false">B9/B$22*B$24</f>
        <v>0</v>
      </c>
      <c r="D9" s="57" t="s">
        <v>434</v>
      </c>
      <c r="E9" s="59" t="n">
        <f aca="false">IFERROR(INDEX(Correspondance!$D$2:$D$3000,MATCH(A9,Correspondance!$A$2:$A$3000,0)),0)</f>
        <v>8</v>
      </c>
      <c r="F9" s="60" t="n">
        <f aca="false">C9*E9</f>
        <v>0</v>
      </c>
      <c r="G9" s="61"/>
      <c r="I9" s="63"/>
    </row>
    <row r="10" customFormat="false" ht="15.75" hidden="false" customHeight="false" outlineLevel="0" collapsed="false">
      <c r="A10" s="57"/>
      <c r="B10" s="57"/>
      <c r="C10" s="58" t="n">
        <f aca="false">B10/B$22*B$24</f>
        <v>0</v>
      </c>
      <c r="D10" s="57"/>
      <c r="E10" s="65" t="n">
        <f aca="false">IFERROR(INDEX(Correspondance!$D$2:$D$3000,MATCH(A10,Correspondance!$A$2:$A$3000,0)),0)</f>
        <v>0</v>
      </c>
      <c r="F10" s="60" t="n">
        <f aca="false">C10*E10</f>
        <v>0</v>
      </c>
      <c r="G10" s="61"/>
      <c r="I10" s="63"/>
    </row>
    <row r="11" customFormat="false" ht="15.75" hidden="false" customHeight="false" outlineLevel="0" collapsed="false">
      <c r="A11" s="57"/>
      <c r="B11" s="57"/>
      <c r="C11" s="58" t="n">
        <f aca="false">B11/B$22*B$24</f>
        <v>0</v>
      </c>
      <c r="D11" s="57"/>
      <c r="E11" s="65" t="n">
        <f aca="false">IFERROR(INDEX(Correspondance!$D$2:$D$3000,MATCH(A11,Correspondance!$A$2:$A$3000,0)),0)</f>
        <v>0</v>
      </c>
      <c r="F11" s="60" t="n">
        <f aca="false">C11*E11</f>
        <v>0</v>
      </c>
      <c r="G11" s="61"/>
      <c r="I11" s="63"/>
    </row>
    <row r="12" customFormat="false" ht="18.75" hidden="false" customHeight="true" outlineLevel="0" collapsed="false">
      <c r="A12" s="57"/>
      <c r="B12" s="64"/>
      <c r="C12" s="58" t="n">
        <f aca="false">B12/B$22*B$24</f>
        <v>0</v>
      </c>
      <c r="D12" s="57"/>
      <c r="E12" s="65" t="n">
        <f aca="false">IFERROR(INDEX(Correspondance!$D$2:$D$3000,MATCH(A12,Correspondance!$A$2:$A$3000,0)),0)</f>
        <v>0</v>
      </c>
      <c r="F12" s="60" t="n">
        <f aca="false">C12*E12</f>
        <v>0</v>
      </c>
      <c r="G12" s="61"/>
      <c r="I12" s="63"/>
    </row>
    <row r="13" customFormat="false" ht="18.75" hidden="false" customHeight="true" outlineLevel="0" collapsed="false">
      <c r="A13" s="57"/>
      <c r="B13" s="64"/>
      <c r="C13" s="58" t="n">
        <f aca="false">B13/B$22*B$24</f>
        <v>0</v>
      </c>
      <c r="D13" s="57"/>
      <c r="E13" s="65" t="n">
        <f aca="false">IFERROR(INDEX(Correspondance!$D$2:$D$3000,MATCH(A13,Correspondance!$A$2:$A$3000,0)),0)</f>
        <v>0</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45.5315958586219</v>
      </c>
      <c r="G19" s="61"/>
      <c r="I19" s="63"/>
    </row>
    <row r="20" customFormat="false" ht="18.75" hidden="false" customHeight="true" outlineLevel="0" collapsed="false">
      <c r="A20" s="68" t="s">
        <v>2628</v>
      </c>
      <c r="B20" s="69" t="n">
        <f aca="false">F19/B24</f>
        <v>0.413923598714745</v>
      </c>
      <c r="C20" s="70"/>
      <c r="G20" s="61"/>
      <c r="I20" s="63"/>
    </row>
    <row r="21" customFormat="false" ht="15.75" hidden="false" customHeight="false" outlineLevel="0" collapsed="false">
      <c r="A21" s="71" t="s">
        <v>2629</v>
      </c>
      <c r="B21" s="71" t="n">
        <f aca="false">SUM(B3:B18)</f>
        <v>8.403</v>
      </c>
      <c r="C21" s="66"/>
      <c r="G21" s="61"/>
      <c r="I21" s="63"/>
    </row>
    <row r="22" customFormat="false" ht="15.75" hidden="false" customHeight="false" outlineLevel="0" collapsed="false">
      <c r="A22" s="0" t="s">
        <v>2630</v>
      </c>
      <c r="B22" s="72" t="n">
        <f aca="false">B21/B23</f>
        <v>70.025</v>
      </c>
      <c r="C22" s="66"/>
      <c r="G22" s="61"/>
      <c r="I22" s="63"/>
    </row>
    <row r="23" customFormat="false" ht="15.75" hidden="false" customHeight="false" outlineLevel="0" collapsed="false">
      <c r="A23" s="0" t="s">
        <v>2631</v>
      </c>
      <c r="B23" s="0" t="n">
        <v>0.12</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338</v>
      </c>
      <c r="B1" s="50"/>
      <c r="C1" s="50"/>
      <c r="D1" s="50"/>
      <c r="E1" s="51" t="s">
        <v>2619</v>
      </c>
      <c r="F1" s="51"/>
      <c r="G1" s="52" t="s">
        <v>3027</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1638</v>
      </c>
      <c r="B4" s="57" t="n">
        <v>10.21</v>
      </c>
      <c r="C4" s="58" t="n">
        <f aca="false">B4/B$22*B$24</f>
        <v>16.050400152439</v>
      </c>
      <c r="D4" s="57" t="s">
        <v>434</v>
      </c>
      <c r="E4" s="59" t="n">
        <f aca="false">IFERROR(INDEX(Correspondance!$D$2:$D$3000,MATCH(A4,Correspondance!$A$2:$A$3000,0)),0)</f>
        <v>2</v>
      </c>
      <c r="F4" s="60" t="n">
        <f aca="false">C4*E4</f>
        <v>32.1008003048781</v>
      </c>
      <c r="G4" s="61" t="s">
        <v>3028</v>
      </c>
    </row>
    <row r="5" customFormat="false" ht="15.75" hidden="false" customHeight="false" outlineLevel="0" collapsed="false">
      <c r="A5" s="57" t="s">
        <v>1675</v>
      </c>
      <c r="B5" s="57" t="n">
        <v>0.204</v>
      </c>
      <c r="C5" s="58" t="n">
        <f aca="false">B5/B$22*B$24</f>
        <v>0.320693597560976</v>
      </c>
      <c r="D5" s="57" t="s">
        <v>682</v>
      </c>
      <c r="E5" s="59" t="n">
        <f aca="false">IFERROR(INDEX(Correspondance!$D$2:$D$3000,MATCH(A5,Correspondance!$A$2:$A$3000,0)),0)</f>
        <v>2.2</v>
      </c>
      <c r="F5" s="60" t="n">
        <f aca="false">C5*E5</f>
        <v>0.705525914634146</v>
      </c>
      <c r="G5" s="61"/>
      <c r="I5" s="62"/>
    </row>
    <row r="6" customFormat="false" ht="15.75" hidden="false" customHeight="false" outlineLevel="0" collapsed="false">
      <c r="A6" s="57" t="s">
        <v>1332</v>
      </c>
      <c r="B6" s="57" t="n">
        <v>0.082</v>
      </c>
      <c r="C6" s="58" t="n">
        <f aca="false">B6/B$22*B$24</f>
        <v>0.12890625</v>
      </c>
      <c r="D6" s="57" t="s">
        <v>434</v>
      </c>
      <c r="E6" s="59" t="n">
        <f aca="false">IFERROR(INDEX(Correspondance!$D$2:$D$3000,MATCH(A6,Correspondance!$A$2:$A$3000,0)),0)</f>
        <v>2</v>
      </c>
      <c r="F6" s="60" t="n">
        <f aca="false">C6*E6</f>
        <v>0.2578125</v>
      </c>
      <c r="G6" s="61"/>
      <c r="I6" s="63"/>
    </row>
    <row r="7" customFormat="false" ht="15.75" hidden="false" customHeight="false" outlineLevel="0" collapsed="false">
      <c r="A7" s="57" t="s">
        <v>1763</v>
      </c>
      <c r="B7" s="57"/>
      <c r="C7" s="58" t="n">
        <f aca="false">B7/B$22*B$24</f>
        <v>0</v>
      </c>
      <c r="D7" s="57" t="s">
        <v>434</v>
      </c>
      <c r="E7" s="59" t="n">
        <f aca="false">IFERROR(INDEX(Correspondance!$D$2:$D$3000,MATCH(A7,Correspondance!$A$2:$A$3000,0)),0)</f>
        <v>11</v>
      </c>
      <c r="F7" s="60" t="n">
        <f aca="false">C7*E7</f>
        <v>0</v>
      </c>
      <c r="G7" s="61"/>
      <c r="I7" s="63"/>
    </row>
    <row r="8" customFormat="false" ht="15.75" hidden="false" customHeight="false" outlineLevel="0" collapsed="false">
      <c r="A8" s="57" t="s">
        <v>1814</v>
      </c>
      <c r="B8" s="57"/>
      <c r="C8" s="58" t="n">
        <f aca="false">B8/B$22*B$24</f>
        <v>0</v>
      </c>
      <c r="D8" s="57" t="s">
        <v>434</v>
      </c>
      <c r="E8" s="59" t="n">
        <f aca="false">IFERROR(INDEX(Correspondance!$D$2:$D$3000,MATCH(A8,Correspondance!$A$2:$A$3000,0)),0)</f>
        <v>18</v>
      </c>
      <c r="F8" s="60" t="n">
        <f aca="false">C8*E8</f>
        <v>0</v>
      </c>
      <c r="G8" s="61"/>
      <c r="I8" s="63"/>
    </row>
    <row r="9" customFormat="false" ht="15.75" hidden="false" customHeight="false" outlineLevel="0" collapsed="false">
      <c r="A9" s="57"/>
      <c r="B9" s="57"/>
      <c r="C9" s="58" t="n">
        <f aca="false">B9/B$22*B$24</f>
        <v>0</v>
      </c>
      <c r="D9" s="57"/>
      <c r="E9" s="65" t="n">
        <f aca="false">IFERROR(INDEX(Correspondance!$D$2:$D$3000,MATCH(A9,Correspondance!$A$2:$A$3000,0)),0)</f>
        <v>0</v>
      </c>
      <c r="F9" s="60" t="n">
        <f aca="false">C9*E9</f>
        <v>0</v>
      </c>
      <c r="G9" s="61"/>
      <c r="I9" s="63"/>
    </row>
    <row r="10" customFormat="false" ht="15.75" hidden="false" customHeight="false" outlineLevel="0" collapsed="false">
      <c r="A10" s="57"/>
      <c r="B10" s="57"/>
      <c r="C10" s="58" t="n">
        <f aca="false">B10/B$22*B$24</f>
        <v>0</v>
      </c>
      <c r="D10" s="57"/>
      <c r="E10" s="65" t="n">
        <f aca="false">IFERROR(INDEX(Correspondance!$D$2:$D$3000,MATCH(A10,Correspondance!$A$2:$A$3000,0)),0)</f>
        <v>0</v>
      </c>
      <c r="F10" s="60" t="n">
        <f aca="false">C10*E10</f>
        <v>0</v>
      </c>
      <c r="G10" s="61"/>
      <c r="I10" s="63"/>
    </row>
    <row r="11" customFormat="false" ht="15.75" hidden="false" customHeight="false" outlineLevel="0" collapsed="false">
      <c r="A11" s="57"/>
      <c r="B11" s="57"/>
      <c r="C11" s="58" t="n">
        <f aca="false">B11/B$22*B$24</f>
        <v>0</v>
      </c>
      <c r="D11" s="57"/>
      <c r="E11" s="65" t="n">
        <f aca="false">IFERROR(INDEX(Correspondance!$D$2:$D$3000,MATCH(A11,Correspondance!$A$2:$A$3000,0)),0)</f>
        <v>0</v>
      </c>
      <c r="F11" s="60" t="n">
        <f aca="false">C11*E11</f>
        <v>0</v>
      </c>
      <c r="G11" s="61"/>
      <c r="I11" s="63"/>
    </row>
    <row r="12" customFormat="false" ht="18.75" hidden="false" customHeight="true" outlineLevel="0" collapsed="false">
      <c r="A12" s="57"/>
      <c r="B12" s="64"/>
      <c r="C12" s="58" t="n">
        <f aca="false">B12/B$22*B$24</f>
        <v>0</v>
      </c>
      <c r="D12" s="57"/>
      <c r="E12" s="65" t="n">
        <f aca="false">IFERROR(INDEX(Correspondance!$D$2:$D$3000,MATCH(A12,Correspondance!$A$2:$A$3000,0)),0)</f>
        <v>0</v>
      </c>
      <c r="F12" s="60" t="n">
        <f aca="false">C12*E12</f>
        <v>0</v>
      </c>
      <c r="G12" s="61"/>
      <c r="I12" s="63"/>
    </row>
    <row r="13" customFormat="false" ht="18.75" hidden="false" customHeight="true" outlineLevel="0" collapsed="false">
      <c r="A13" s="57"/>
      <c r="B13" s="64"/>
      <c r="C13" s="58" t="n">
        <f aca="false">B13/B$22*B$24</f>
        <v>0</v>
      </c>
      <c r="D13" s="57"/>
      <c r="E13" s="65" t="n">
        <f aca="false">IFERROR(INDEX(Correspondance!$D$2:$D$3000,MATCH(A13,Correspondance!$A$2:$A$3000,0)),0)</f>
        <v>0</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33.0641387195122</v>
      </c>
      <c r="G19" s="61"/>
      <c r="I19" s="63"/>
    </row>
    <row r="20" customFormat="false" ht="18.75" hidden="false" customHeight="true" outlineLevel="0" collapsed="false">
      <c r="A20" s="68" t="s">
        <v>2628</v>
      </c>
      <c r="B20" s="69" t="n">
        <f aca="false">F19/B24</f>
        <v>0.300583079268293</v>
      </c>
      <c r="C20" s="70"/>
      <c r="G20" s="61"/>
      <c r="I20" s="63"/>
    </row>
    <row r="21" customFormat="false" ht="15.75" hidden="false" customHeight="false" outlineLevel="0" collapsed="false">
      <c r="A21" s="71" t="s">
        <v>2629</v>
      </c>
      <c r="B21" s="71" t="n">
        <f aca="false">SUM(B3:B18)</f>
        <v>10.496</v>
      </c>
      <c r="C21" s="66"/>
      <c r="G21" s="61"/>
      <c r="I21" s="63"/>
    </row>
    <row r="22" customFormat="false" ht="15.75" hidden="false" customHeight="false" outlineLevel="0" collapsed="false">
      <c r="A22" s="0" t="s">
        <v>2630</v>
      </c>
      <c r="B22" s="72" t="n">
        <f aca="false">B21/B23</f>
        <v>69.9733333333333</v>
      </c>
      <c r="C22" s="66"/>
      <c r="G22" s="61"/>
      <c r="I22" s="63"/>
    </row>
    <row r="23" customFormat="false" ht="15.75" hidden="false" customHeight="false" outlineLevel="0" collapsed="false">
      <c r="A23" s="0" t="s">
        <v>2631</v>
      </c>
      <c r="B23" s="0" t="n">
        <v>0.15</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339</v>
      </c>
      <c r="B1" s="50"/>
      <c r="C1" s="50"/>
      <c r="D1" s="50"/>
      <c r="E1" s="51" t="s">
        <v>2619</v>
      </c>
      <c r="F1" s="51"/>
      <c r="G1" s="52" t="s">
        <v>3029</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965</v>
      </c>
      <c r="B4" s="57" t="n">
        <v>10.19</v>
      </c>
      <c r="C4" s="58" t="n">
        <f aca="false">B4/B$22*B$24</f>
        <v>16.0189596036585</v>
      </c>
      <c r="D4" s="57" t="s">
        <v>434</v>
      </c>
      <c r="E4" s="59" t="n">
        <f aca="false">IFERROR(INDEX(Correspondance!$D$2:$D$3000,MATCH(A4,Correspondance!$A$2:$A$3000,0)),0)</f>
        <v>3.5</v>
      </c>
      <c r="F4" s="60" t="n">
        <f aca="false">C4*E4</f>
        <v>56.0663586128049</v>
      </c>
      <c r="G4" s="61" t="s">
        <v>3030</v>
      </c>
    </row>
    <row r="5" customFormat="false" ht="15.75" hidden="false" customHeight="false" outlineLevel="0" collapsed="false">
      <c r="A5" s="57" t="s">
        <v>1120</v>
      </c>
      <c r="B5" s="57" t="n">
        <v>0.204</v>
      </c>
      <c r="C5" s="58" t="n">
        <f aca="false">B5/B$22*B$24</f>
        <v>0.320693597560976</v>
      </c>
      <c r="D5" s="57" t="s">
        <v>682</v>
      </c>
      <c r="E5" s="59" t="n">
        <f aca="false">IFERROR(INDEX(Correspondance!$D$2:$D$3000,MATCH(A5,Correspondance!$A$2:$A$3000,0)),0)</f>
        <v>7.5</v>
      </c>
      <c r="F5" s="60" t="n">
        <f aca="false">C5*E5</f>
        <v>2.40520198170732</v>
      </c>
      <c r="G5" s="61"/>
      <c r="I5" s="62"/>
    </row>
    <row r="6" customFormat="false" ht="15.75" hidden="false" customHeight="false" outlineLevel="0" collapsed="false">
      <c r="A6" s="57" t="s">
        <v>1332</v>
      </c>
      <c r="B6" s="57" t="n">
        <v>0.082</v>
      </c>
      <c r="C6" s="58" t="n">
        <f aca="false">B6/B$22*B$24</f>
        <v>0.12890625</v>
      </c>
      <c r="D6" s="57" t="s">
        <v>434</v>
      </c>
      <c r="E6" s="59" t="n">
        <f aca="false">IFERROR(INDEX(Correspondance!$D$2:$D$3000,MATCH(A6,Correspondance!$A$2:$A$3000,0)),0)</f>
        <v>2</v>
      </c>
      <c r="F6" s="60" t="n">
        <f aca="false">C6*E6</f>
        <v>0.2578125</v>
      </c>
      <c r="G6" s="61"/>
      <c r="I6" s="63"/>
    </row>
    <row r="7" customFormat="false" ht="15.75" hidden="false" customHeight="false" outlineLevel="0" collapsed="false">
      <c r="A7" s="57" t="s">
        <v>1310</v>
      </c>
      <c r="B7" s="57" t="n">
        <v>0.02</v>
      </c>
      <c r="C7" s="58" t="n">
        <f aca="false">B7/B$22*B$24</f>
        <v>0.0314405487804878</v>
      </c>
      <c r="D7" s="57" t="s">
        <v>434</v>
      </c>
      <c r="E7" s="59" t="n">
        <f aca="false">IFERROR(INDEX(Correspondance!$D$2:$D$3000,MATCH(A7,Correspondance!$A$2:$A$3000,0)),0)</f>
        <v>14</v>
      </c>
      <c r="F7" s="60" t="n">
        <f aca="false">C7*E7</f>
        <v>0.440167682926829</v>
      </c>
      <c r="G7" s="61"/>
      <c r="I7" s="63"/>
    </row>
    <row r="8" customFormat="false" ht="15.75" hidden="false" customHeight="false" outlineLevel="0" collapsed="false">
      <c r="A8" s="57" t="s">
        <v>1588</v>
      </c>
      <c r="B8" s="57"/>
      <c r="C8" s="58" t="n">
        <f aca="false">B8/B$22*B$24</f>
        <v>0</v>
      </c>
      <c r="D8" s="57" t="s">
        <v>434</v>
      </c>
      <c r="E8" s="59" t="n">
        <f aca="false">IFERROR(INDEX(Correspondance!$D$2:$D$3000,MATCH(A8,Correspondance!$A$2:$A$3000,0)),0)</f>
        <v>12</v>
      </c>
      <c r="F8" s="60" t="n">
        <f aca="false">C8*E8</f>
        <v>0</v>
      </c>
      <c r="G8" s="61"/>
      <c r="I8" s="63"/>
    </row>
    <row r="9" customFormat="false" ht="15.75" hidden="false" customHeight="false" outlineLevel="0" collapsed="false">
      <c r="A9" s="57" t="s">
        <v>1814</v>
      </c>
      <c r="B9" s="57"/>
      <c r="C9" s="58" t="n">
        <f aca="false">B9/B$22*B$24</f>
        <v>0</v>
      </c>
      <c r="D9" s="57" t="s">
        <v>434</v>
      </c>
      <c r="E9" s="59" t="n">
        <f aca="false">IFERROR(INDEX(Correspondance!$D$2:$D$3000,MATCH(A9,Correspondance!$A$2:$A$3000,0)),0)</f>
        <v>18</v>
      </c>
      <c r="F9" s="60" t="n">
        <f aca="false">C9*E9</f>
        <v>0</v>
      </c>
      <c r="G9" s="61"/>
      <c r="I9" s="63"/>
    </row>
    <row r="10" customFormat="false" ht="15.75" hidden="false" customHeight="false" outlineLevel="0" collapsed="false">
      <c r="A10" s="57"/>
      <c r="B10" s="57"/>
      <c r="C10" s="58" t="n">
        <f aca="false">B10/B$22*B$24</f>
        <v>0</v>
      </c>
      <c r="D10" s="57"/>
      <c r="E10" s="65" t="n">
        <f aca="false">IFERROR(INDEX(Correspondance!$D$2:$D$3000,MATCH(A10,Correspondance!$A$2:$A$3000,0)),0)</f>
        <v>0</v>
      </c>
      <c r="F10" s="60" t="n">
        <f aca="false">C10*E10</f>
        <v>0</v>
      </c>
      <c r="G10" s="61"/>
      <c r="I10" s="63"/>
    </row>
    <row r="11" customFormat="false" ht="15.75" hidden="false" customHeight="false" outlineLevel="0" collapsed="false">
      <c r="A11" s="57"/>
      <c r="B11" s="57"/>
      <c r="C11" s="58" t="n">
        <f aca="false">B11/B$22*B$24</f>
        <v>0</v>
      </c>
      <c r="D11" s="57"/>
      <c r="E11" s="65" t="n">
        <f aca="false">IFERROR(INDEX(Correspondance!$D$2:$D$3000,MATCH(A11,Correspondance!$A$2:$A$3000,0)),0)</f>
        <v>0</v>
      </c>
      <c r="F11" s="60" t="n">
        <f aca="false">C11*E11</f>
        <v>0</v>
      </c>
      <c r="G11" s="61"/>
      <c r="I11" s="63"/>
    </row>
    <row r="12" customFormat="false" ht="18.75" hidden="false" customHeight="true" outlineLevel="0" collapsed="false">
      <c r="A12" s="57"/>
      <c r="B12" s="64"/>
      <c r="C12" s="58" t="n">
        <f aca="false">B12/B$22*B$24</f>
        <v>0</v>
      </c>
      <c r="D12" s="57"/>
      <c r="E12" s="65" t="n">
        <f aca="false">IFERROR(INDEX(Correspondance!$D$2:$D$3000,MATCH(A12,Correspondance!$A$2:$A$3000,0)),0)</f>
        <v>0</v>
      </c>
      <c r="F12" s="60" t="n">
        <f aca="false">C12*E12</f>
        <v>0</v>
      </c>
      <c r="G12" s="61"/>
      <c r="I12" s="63"/>
    </row>
    <row r="13" customFormat="false" ht="18.75" hidden="false" customHeight="true" outlineLevel="0" collapsed="false">
      <c r="A13" s="57"/>
      <c r="B13" s="64"/>
      <c r="C13" s="58" t="n">
        <f aca="false">B13/B$22*B$24</f>
        <v>0</v>
      </c>
      <c r="D13" s="57"/>
      <c r="E13" s="65" t="n">
        <f aca="false">IFERROR(INDEX(Correspondance!$D$2:$D$3000,MATCH(A13,Correspondance!$A$2:$A$3000,0)),0)</f>
        <v>0</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59.169540777439</v>
      </c>
      <c r="G19" s="61"/>
      <c r="I19" s="63"/>
    </row>
    <row r="20" customFormat="false" ht="18.75" hidden="false" customHeight="true" outlineLevel="0" collapsed="false">
      <c r="A20" s="68" t="s">
        <v>2628</v>
      </c>
      <c r="B20" s="69" t="n">
        <f aca="false">F19/B24</f>
        <v>0.537904916158537</v>
      </c>
      <c r="C20" s="70"/>
      <c r="G20" s="61"/>
      <c r="I20" s="63"/>
    </row>
    <row r="21" customFormat="false" ht="15.75" hidden="false" customHeight="false" outlineLevel="0" collapsed="false">
      <c r="A21" s="71" t="s">
        <v>2629</v>
      </c>
      <c r="B21" s="71" t="n">
        <f aca="false">SUM(B3:B18)</f>
        <v>10.496</v>
      </c>
      <c r="C21" s="66"/>
      <c r="G21" s="61"/>
      <c r="I21" s="63"/>
    </row>
    <row r="22" customFormat="false" ht="15.75" hidden="false" customHeight="false" outlineLevel="0" collapsed="false">
      <c r="A22" s="0" t="s">
        <v>2630</v>
      </c>
      <c r="B22" s="72" t="n">
        <f aca="false">B21/B23</f>
        <v>69.9733333333333</v>
      </c>
      <c r="C22" s="66"/>
      <c r="G22" s="61"/>
      <c r="I22" s="63"/>
    </row>
    <row r="23" customFormat="false" ht="15.75" hidden="false" customHeight="false" outlineLevel="0" collapsed="false">
      <c r="A23" s="0" t="s">
        <v>2631</v>
      </c>
      <c r="B23" s="0" t="n">
        <v>0.15</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340</v>
      </c>
      <c r="B1" s="50"/>
      <c r="C1" s="50"/>
      <c r="D1" s="50"/>
      <c r="E1" s="51" t="s">
        <v>2619</v>
      </c>
      <c r="F1" s="51"/>
      <c r="G1" s="52" t="s">
        <v>3024</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1891</v>
      </c>
      <c r="B4" s="57" t="n">
        <v>6.77</v>
      </c>
      <c r="C4" s="58" t="n">
        <f aca="false">B4/B$22*B$24</f>
        <v>10.6416118891112</v>
      </c>
      <c r="D4" s="57" t="s">
        <v>434</v>
      </c>
      <c r="E4" s="59" t="n">
        <f aca="false">IFERROR(INDEX(Correspondance!$D$2:$D$3000,MATCH(A4,Correspondance!$A$2:$A$3000,0)),0)</f>
        <v>3.5</v>
      </c>
      <c r="F4" s="60" t="n">
        <f aca="false">C4*E4</f>
        <v>37.2456416118891</v>
      </c>
      <c r="G4" s="61" t="s">
        <v>3031</v>
      </c>
    </row>
    <row r="5" customFormat="false" ht="15.75" hidden="false" customHeight="false" outlineLevel="0" collapsed="false">
      <c r="A5" s="57" t="s">
        <v>1675</v>
      </c>
      <c r="B5" s="57" t="n">
        <v>0.169</v>
      </c>
      <c r="C5" s="58" t="n">
        <f aca="false">B5/B$22*B$24</f>
        <v>0.265647327807945</v>
      </c>
      <c r="D5" s="57" t="s">
        <v>682</v>
      </c>
      <c r="E5" s="59" t="n">
        <f aca="false">IFERROR(INDEX(Correspondance!$D$2:$D$3000,MATCH(A5,Correspondance!$A$2:$A$3000,0)),0)</f>
        <v>2.2</v>
      </c>
      <c r="F5" s="60" t="n">
        <f aca="false">C5*E5</f>
        <v>0.584424121177479</v>
      </c>
      <c r="G5" s="61"/>
      <c r="I5" s="62"/>
    </row>
    <row r="6" customFormat="false" ht="15.75" hidden="false" customHeight="false" outlineLevel="0" collapsed="false">
      <c r="A6" s="57" t="s">
        <v>1332</v>
      </c>
      <c r="B6" s="57" t="n">
        <v>0.017</v>
      </c>
      <c r="C6" s="58" t="n">
        <f aca="false">B6/B$22*B$24</f>
        <v>0.0267219205487282</v>
      </c>
      <c r="D6" s="57" t="s">
        <v>434</v>
      </c>
      <c r="E6" s="59" t="n">
        <f aca="false">IFERROR(INDEX(Correspondance!$D$2:$D$3000,MATCH(A6,Correspondance!$A$2:$A$3000,0)),0)</f>
        <v>2</v>
      </c>
      <c r="F6" s="60" t="n">
        <f aca="false">C6*E6</f>
        <v>0.0534438410974564</v>
      </c>
      <c r="G6" s="61"/>
      <c r="I6" s="63"/>
    </row>
    <row r="7" customFormat="false" ht="15.75" hidden="false" customHeight="false" outlineLevel="0" collapsed="false">
      <c r="A7" s="57" t="s">
        <v>1007</v>
      </c>
      <c r="B7" s="57" t="n">
        <v>0.042</v>
      </c>
      <c r="C7" s="58" t="n">
        <f aca="false">B7/B$22*B$24</f>
        <v>0.0660188625321521</v>
      </c>
      <c r="D7" s="57" t="s">
        <v>434</v>
      </c>
      <c r="E7" s="59" t="n">
        <f aca="false">IFERROR(INDEX(Correspondance!$D$2:$D$3000,MATCH(A7,Correspondance!$A$2:$A$3000,0)),0)</f>
        <v>8</v>
      </c>
      <c r="F7" s="60" t="n">
        <f aca="false">C7*E7</f>
        <v>0.528150900257216</v>
      </c>
      <c r="G7" s="61"/>
      <c r="I7" s="63"/>
    </row>
    <row r="8" customFormat="false" ht="15.75" hidden="false" customHeight="false" outlineLevel="0" collapsed="false">
      <c r="A8" s="57" t="s">
        <v>1814</v>
      </c>
      <c r="B8" s="57"/>
      <c r="C8" s="58" t="n">
        <f aca="false">B8/B$22*B$24</f>
        <v>0</v>
      </c>
      <c r="D8" s="57" t="s">
        <v>434</v>
      </c>
      <c r="E8" s="59" t="n">
        <f aca="false">IFERROR(INDEX(Correspondance!$D$2:$D$3000,MATCH(A8,Correspondance!$A$2:$A$3000,0)),0)</f>
        <v>18</v>
      </c>
      <c r="F8" s="60" t="n">
        <f aca="false">C8*E8</f>
        <v>0</v>
      </c>
      <c r="G8" s="61"/>
      <c r="I8" s="63"/>
    </row>
    <row r="9" customFormat="false" ht="15.75" hidden="false" customHeight="false" outlineLevel="0" collapsed="false">
      <c r="A9" s="57"/>
      <c r="B9" s="57"/>
      <c r="C9" s="58" t="n">
        <f aca="false">B9/B$22*B$24</f>
        <v>0</v>
      </c>
      <c r="D9" s="57"/>
      <c r="E9" s="65" t="n">
        <f aca="false">IFERROR(INDEX(Correspondance!$D$2:$D$3000,MATCH(A9,Correspondance!$A$2:$A$3000,0)),0)</f>
        <v>0</v>
      </c>
      <c r="F9" s="60" t="n">
        <f aca="false">C9*E9</f>
        <v>0</v>
      </c>
      <c r="G9" s="61"/>
      <c r="I9" s="63"/>
    </row>
    <row r="10" customFormat="false" ht="15.75" hidden="false" customHeight="false" outlineLevel="0" collapsed="false">
      <c r="A10" s="57"/>
      <c r="B10" s="57"/>
      <c r="C10" s="58" t="n">
        <f aca="false">B10/B$22*B$24</f>
        <v>0</v>
      </c>
      <c r="D10" s="57"/>
      <c r="E10" s="65" t="n">
        <f aca="false">IFERROR(INDEX(Correspondance!$D$2:$D$3000,MATCH(A10,Correspondance!$A$2:$A$3000,0)),0)</f>
        <v>0</v>
      </c>
      <c r="F10" s="60" t="n">
        <f aca="false">C10*E10</f>
        <v>0</v>
      </c>
      <c r="G10" s="61"/>
      <c r="I10" s="63"/>
    </row>
    <row r="11" customFormat="false" ht="15.75" hidden="false" customHeight="false" outlineLevel="0" collapsed="false">
      <c r="A11" s="57"/>
      <c r="B11" s="57"/>
      <c r="C11" s="58" t="n">
        <f aca="false">B11/B$22*B$24</f>
        <v>0</v>
      </c>
      <c r="D11" s="57"/>
      <c r="E11" s="65" t="n">
        <f aca="false">IFERROR(INDEX(Correspondance!$D$2:$D$3000,MATCH(A11,Correspondance!$A$2:$A$3000,0)),0)</f>
        <v>0</v>
      </c>
      <c r="F11" s="60" t="n">
        <f aca="false">C11*E11</f>
        <v>0</v>
      </c>
      <c r="G11" s="61"/>
      <c r="I11" s="63"/>
    </row>
    <row r="12" customFormat="false" ht="18.75" hidden="false" customHeight="true" outlineLevel="0" collapsed="false">
      <c r="A12" s="57"/>
      <c r="B12" s="64"/>
      <c r="C12" s="58" t="n">
        <f aca="false">B12/B$22*B$24</f>
        <v>0</v>
      </c>
      <c r="D12" s="57"/>
      <c r="E12" s="65" t="n">
        <f aca="false">IFERROR(INDEX(Correspondance!$D$2:$D$3000,MATCH(A12,Correspondance!$A$2:$A$3000,0)),0)</f>
        <v>0</v>
      </c>
      <c r="F12" s="60" t="n">
        <f aca="false">C12*E12</f>
        <v>0</v>
      </c>
      <c r="G12" s="61"/>
      <c r="I12" s="63"/>
    </row>
    <row r="13" customFormat="false" ht="18.75" hidden="false" customHeight="true" outlineLevel="0" collapsed="false">
      <c r="A13" s="57"/>
      <c r="B13" s="64"/>
      <c r="C13" s="58" t="n">
        <f aca="false">B13/B$22*B$24</f>
        <v>0</v>
      </c>
      <c r="D13" s="57"/>
      <c r="E13" s="65" t="n">
        <f aca="false">IFERROR(INDEX(Correspondance!$D$2:$D$3000,MATCH(A13,Correspondance!$A$2:$A$3000,0)),0)</f>
        <v>0</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38.4116604744213</v>
      </c>
      <c r="G19" s="61"/>
      <c r="I19" s="63"/>
    </row>
    <row r="20" customFormat="false" ht="18.75" hidden="false" customHeight="true" outlineLevel="0" collapsed="false">
      <c r="A20" s="68" t="s">
        <v>2628</v>
      </c>
      <c r="B20" s="69" t="n">
        <f aca="false">F19/B24</f>
        <v>0.34919691340383</v>
      </c>
      <c r="C20" s="70"/>
      <c r="G20" s="61"/>
      <c r="I20" s="63"/>
    </row>
    <row r="21" customFormat="false" ht="15.75" hidden="false" customHeight="false" outlineLevel="0" collapsed="false">
      <c r="A21" s="71" t="s">
        <v>2629</v>
      </c>
      <c r="B21" s="71" t="n">
        <f aca="false">SUM(B3:B18)</f>
        <v>6.998</v>
      </c>
      <c r="C21" s="66"/>
      <c r="G21" s="61"/>
      <c r="I21" s="63"/>
    </row>
    <row r="22" customFormat="false" ht="15.75" hidden="false" customHeight="false" outlineLevel="0" collapsed="false">
      <c r="A22" s="0" t="s">
        <v>2630</v>
      </c>
      <c r="B22" s="72" t="n">
        <f aca="false">B21/B23</f>
        <v>69.98</v>
      </c>
      <c r="C22" s="66"/>
      <c r="G22" s="61"/>
      <c r="I22" s="63"/>
    </row>
    <row r="23" customFormat="false" ht="15.75" hidden="false" customHeight="false" outlineLevel="0" collapsed="false">
      <c r="A23" s="0" t="s">
        <v>2631</v>
      </c>
      <c r="B23" s="0" t="n">
        <v>0.1</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341</v>
      </c>
      <c r="B1" s="50"/>
      <c r="C1" s="50"/>
      <c r="D1" s="50"/>
      <c r="E1" s="51" t="s">
        <v>2619</v>
      </c>
      <c r="F1" s="51"/>
      <c r="G1" s="52" t="s">
        <v>3032</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1839</v>
      </c>
      <c r="B4" s="57" t="n">
        <v>8.14</v>
      </c>
      <c r="C4" s="58" t="n">
        <f aca="false">B4/B$22*B$24</f>
        <v>12.7914285714286</v>
      </c>
      <c r="D4" s="57" t="s">
        <v>434</v>
      </c>
      <c r="E4" s="59" t="n">
        <f aca="false">IFERROR(INDEX(Correspondance!$D$2:$D$3000,MATCH(A4,Correspondance!$A$2:$A$3000,0)),0)</f>
        <v>2.6</v>
      </c>
      <c r="F4" s="60" t="n">
        <f aca="false">C4*E4</f>
        <v>33.2577142857143</v>
      </c>
      <c r="G4" s="61" t="s">
        <v>3033</v>
      </c>
    </row>
    <row r="5" customFormat="false" ht="15.75" hidden="false" customHeight="false" outlineLevel="0" collapsed="false">
      <c r="A5" s="57" t="s">
        <v>2000</v>
      </c>
      <c r="B5" s="57" t="n">
        <v>0.814</v>
      </c>
      <c r="C5" s="58" t="n">
        <f aca="false">B5/B$22*B$24</f>
        <v>1.27914285714286</v>
      </c>
      <c r="D5" s="57" t="s">
        <v>682</v>
      </c>
      <c r="E5" s="59" t="n">
        <f aca="false">IFERROR(INDEX(Correspondance!$D$2:$D$3000,MATCH(A5,Correspondance!$A$2:$A$3000,0)),0)</f>
        <v>3.8</v>
      </c>
      <c r="F5" s="60" t="n">
        <f aca="false">C5*E5</f>
        <v>4.86074285714286</v>
      </c>
      <c r="G5" s="61"/>
      <c r="I5" s="62"/>
    </row>
    <row r="6" customFormat="false" ht="15.75" hidden="false" customHeight="false" outlineLevel="0" collapsed="false">
      <c r="A6" s="57" t="s">
        <v>1616</v>
      </c>
      <c r="B6" s="57" t="n">
        <v>0.244</v>
      </c>
      <c r="C6" s="58" t="n">
        <f aca="false">B6/B$22*B$24</f>
        <v>0.383428571428571</v>
      </c>
      <c r="D6" s="57" t="s">
        <v>434</v>
      </c>
      <c r="E6" s="59" t="n">
        <f aca="false">IFERROR(INDEX(Correspondance!$D$2:$D$3000,MATCH(A6,Correspondance!$A$2:$A$3000,0)),0)</f>
        <v>0.85</v>
      </c>
      <c r="F6" s="60" t="n">
        <f aca="false">C6*E6</f>
        <v>0.325914285714286</v>
      </c>
      <c r="G6" s="61"/>
      <c r="I6" s="63"/>
    </row>
    <row r="7" customFormat="false" ht="15.75" hidden="false" customHeight="false" outlineLevel="0" collapsed="false">
      <c r="A7" s="57" t="s">
        <v>1001</v>
      </c>
      <c r="B7" s="57" t="n">
        <v>0.407</v>
      </c>
      <c r="C7" s="58" t="n">
        <f aca="false">B7/B$22*B$24</f>
        <v>0.639571428571429</v>
      </c>
      <c r="D7" s="57" t="s">
        <v>434</v>
      </c>
      <c r="E7" s="59" t="n">
        <f aca="false">IFERROR(INDEX(Correspondance!$D$2:$D$3000,MATCH(A7,Correspondance!$A$2:$A$3000,0)),0)</f>
        <v>1.8</v>
      </c>
      <c r="F7" s="60" t="n">
        <f aca="false">C7*E7</f>
        <v>1.15122857142857</v>
      </c>
      <c r="G7" s="61"/>
      <c r="I7" s="63"/>
    </row>
    <row r="8" customFormat="false" ht="15.75" hidden="false" customHeight="false" outlineLevel="0" collapsed="false">
      <c r="A8" s="57" t="s">
        <v>706</v>
      </c>
      <c r="B8" s="57" t="n">
        <v>0.407</v>
      </c>
      <c r="C8" s="58" t="n">
        <f aca="false">B8/B$22*B$24</f>
        <v>0.639571428571429</v>
      </c>
      <c r="D8" s="57" t="s">
        <v>434</v>
      </c>
      <c r="E8" s="59" t="n">
        <f aca="false">IFERROR(INDEX(Correspondance!$D$2:$D$3000,MATCH(A8,Correspondance!$A$2:$A$3000,0)),0)</f>
        <v>7.5</v>
      </c>
      <c r="F8" s="60" t="n">
        <f aca="false">C8*E8</f>
        <v>4.79678571428571</v>
      </c>
      <c r="G8" s="61"/>
      <c r="I8" s="63"/>
    </row>
    <row r="9" customFormat="false" ht="15.75" hidden="false" customHeight="false" outlineLevel="0" collapsed="false">
      <c r="A9" s="57" t="s">
        <v>1007</v>
      </c>
      <c r="B9" s="57" t="n">
        <v>0.081</v>
      </c>
      <c r="C9" s="58" t="n">
        <f aca="false">B9/B$22*B$24</f>
        <v>0.127285714285714</v>
      </c>
      <c r="D9" s="57" t="s">
        <v>434</v>
      </c>
      <c r="E9" s="59" t="n">
        <f aca="false">IFERROR(INDEX(Correspondance!$D$2:$D$3000,MATCH(A9,Correspondance!$A$2:$A$3000,0)),0)</f>
        <v>8</v>
      </c>
      <c r="F9" s="60" t="n">
        <f aca="false">C9*E9</f>
        <v>1.01828571428571</v>
      </c>
      <c r="G9" s="61"/>
      <c r="I9" s="63"/>
    </row>
    <row r="10" customFormat="false" ht="15.75" hidden="false" customHeight="false" outlineLevel="0" collapsed="false">
      <c r="A10" s="57" t="s">
        <v>1675</v>
      </c>
      <c r="B10" s="57" t="n">
        <v>0.326</v>
      </c>
      <c r="C10" s="58" t="n">
        <f aca="false">B10/B$22*B$24</f>
        <v>0.512285714285714</v>
      </c>
      <c r="D10" s="57" t="s">
        <v>682</v>
      </c>
      <c r="E10" s="59" t="n">
        <f aca="false">IFERROR(INDEX(Correspondance!$D$2:$D$3000,MATCH(A10,Correspondance!$A$2:$A$3000,0)),0)</f>
        <v>2.2</v>
      </c>
      <c r="F10" s="60" t="n">
        <f aca="false">C10*E10</f>
        <v>1.12702857142857</v>
      </c>
      <c r="G10" s="61"/>
      <c r="I10" s="63"/>
    </row>
    <row r="11" customFormat="false" ht="15.75" hidden="false" customHeight="false" outlineLevel="0" collapsed="false">
      <c r="A11" s="57" t="s">
        <v>1919</v>
      </c>
      <c r="B11" s="57" t="n">
        <v>0.081</v>
      </c>
      <c r="C11" s="58" t="n">
        <f aca="false">B11/B$22*B$24</f>
        <v>0.127285714285714</v>
      </c>
      <c r="D11" s="57" t="s">
        <v>434</v>
      </c>
      <c r="E11" s="59" t="n">
        <f aca="false">IFERROR(INDEX(Correspondance!$D$2:$D$3000,MATCH(A11,Correspondance!$A$2:$A$3000,0)),0)</f>
        <v>2</v>
      </c>
      <c r="F11" s="60" t="n">
        <f aca="false">C11*E11</f>
        <v>0.254571428571429</v>
      </c>
      <c r="G11" s="61"/>
      <c r="I11" s="63"/>
    </row>
    <row r="12" customFormat="false" ht="18.75" hidden="false" customHeight="true" outlineLevel="0" collapsed="false">
      <c r="A12" s="57" t="s">
        <v>1732</v>
      </c>
      <c r="B12" s="64"/>
      <c r="C12" s="58" t="n">
        <f aca="false">B12/B$22*B$24</f>
        <v>0</v>
      </c>
      <c r="D12" s="57" t="s">
        <v>434</v>
      </c>
      <c r="E12" s="59" t="n">
        <f aca="false">IFERROR(INDEX(Correspondance!$D$2:$D$3000,MATCH(A12,Correspondance!$A$2:$A$3000,0)),0)</f>
        <v>30</v>
      </c>
      <c r="F12" s="60" t="n">
        <f aca="false">C12*E12</f>
        <v>0</v>
      </c>
      <c r="G12" s="61"/>
      <c r="I12" s="63"/>
    </row>
    <row r="13" customFormat="false" ht="18.75" hidden="false" customHeight="true" outlineLevel="0" collapsed="false">
      <c r="A13" s="57" t="s">
        <v>1814</v>
      </c>
      <c r="B13" s="64"/>
      <c r="C13" s="58" t="n">
        <f aca="false">B13/B$22*B$24</f>
        <v>0</v>
      </c>
      <c r="D13" s="57" t="s">
        <v>434</v>
      </c>
      <c r="E13" s="59" t="n">
        <f aca="false">IFERROR(INDEX(Correspondance!$D$2:$D$3000,MATCH(A13,Correspondance!$A$2:$A$3000,0)),0)</f>
        <v>18</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46.7922714285714</v>
      </c>
      <c r="G19" s="61"/>
      <c r="I19" s="63"/>
    </row>
    <row r="20" customFormat="false" ht="18.75" hidden="false" customHeight="true" outlineLevel="0" collapsed="false">
      <c r="A20" s="68" t="s">
        <v>2628</v>
      </c>
      <c r="B20" s="69" t="n">
        <f aca="false">F19/B24</f>
        <v>0.425384285714286</v>
      </c>
      <c r="C20" s="70"/>
      <c r="G20" s="61"/>
      <c r="I20" s="63"/>
    </row>
    <row r="21" customFormat="false" ht="15.75" hidden="false" customHeight="false" outlineLevel="0" collapsed="false">
      <c r="A21" s="71" t="s">
        <v>2629</v>
      </c>
      <c r="B21" s="71" t="n">
        <f aca="false">SUM(B3:B18)</f>
        <v>10.5</v>
      </c>
      <c r="C21" s="66"/>
      <c r="G21" s="61"/>
      <c r="I21" s="63"/>
    </row>
    <row r="22" customFormat="false" ht="15.75" hidden="false" customHeight="false" outlineLevel="0" collapsed="false">
      <c r="A22" s="0" t="s">
        <v>2630</v>
      </c>
      <c r="B22" s="72" t="n">
        <f aca="false">B21/B23</f>
        <v>70</v>
      </c>
      <c r="C22" s="66"/>
      <c r="G22" s="61"/>
      <c r="I22" s="63"/>
    </row>
    <row r="23" customFormat="false" ht="15.75" hidden="false" customHeight="false" outlineLevel="0" collapsed="false">
      <c r="A23" s="0" t="s">
        <v>2631</v>
      </c>
      <c r="B23" s="0" t="n">
        <v>0.15</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343</v>
      </c>
      <c r="B1" s="50"/>
      <c r="C1" s="50"/>
      <c r="D1" s="50"/>
      <c r="E1" s="51" t="s">
        <v>2619</v>
      </c>
      <c r="F1" s="51"/>
      <c r="G1" s="52" t="s">
        <v>3034</v>
      </c>
    </row>
    <row r="2" customFormat="false" ht="24.75" hidden="false" customHeight="true" outlineLevel="0" collapsed="false">
      <c r="A2" s="50"/>
      <c r="B2" s="50"/>
      <c r="C2" s="50"/>
      <c r="D2" s="50"/>
      <c r="E2" s="53" t="s">
        <v>2636</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858</v>
      </c>
      <c r="B4" s="57" t="n">
        <v>9.56</v>
      </c>
      <c r="C4" s="58" t="n">
        <f aca="false">B4/B$22*B$24</f>
        <v>15.0242880274312</v>
      </c>
      <c r="D4" s="57" t="s">
        <v>434</v>
      </c>
      <c r="E4" s="59" t="n">
        <f aca="false">IFERROR(INDEX(Correspondance!$D$2:$D$3000,MATCH(A4,Correspondance!$A$2:$A$3000,0)),0)</f>
        <v>2.2</v>
      </c>
      <c r="F4" s="60" t="n">
        <f aca="false">C4*E4</f>
        <v>33.0534336603486</v>
      </c>
      <c r="G4" s="61" t="s">
        <v>3035</v>
      </c>
    </row>
    <row r="5" customFormat="false" ht="15.75" hidden="false" customHeight="false" outlineLevel="0" collapsed="false">
      <c r="A5" s="57" t="s">
        <v>1675</v>
      </c>
      <c r="B5" s="57" t="n">
        <v>0.383</v>
      </c>
      <c r="C5" s="58" t="n">
        <f aca="false">B5/B$22*B$24</f>
        <v>0.601914468044576</v>
      </c>
      <c r="D5" s="57" t="s">
        <v>682</v>
      </c>
      <c r="E5" s="59" t="n">
        <f aca="false">IFERROR(INDEX(Correspondance!$D$2:$D$3000,MATCH(A5,Correspondance!$A$2:$A$3000,0)),0)</f>
        <v>2.2</v>
      </c>
      <c r="F5" s="60" t="n">
        <f aca="false">C5*E5</f>
        <v>1.32421182969807</v>
      </c>
      <c r="G5" s="61"/>
      <c r="I5" s="62"/>
    </row>
    <row r="6" customFormat="false" ht="15.75" hidden="false" customHeight="false" outlineLevel="0" collapsed="false">
      <c r="A6" s="57" t="s">
        <v>1491</v>
      </c>
      <c r="B6" s="57" t="n">
        <v>0.287</v>
      </c>
      <c r="C6" s="58" t="n">
        <f aca="false">B6/B$22*B$24</f>
        <v>0.451042956472045</v>
      </c>
      <c r="D6" s="57" t="s">
        <v>434</v>
      </c>
      <c r="E6" s="59" t="n">
        <f aca="false">IFERROR(INDEX(Correspondance!$D$2:$D$3000,MATCH(A6,Correspondance!$A$2:$A$3000,0)),0)</f>
        <v>9</v>
      </c>
      <c r="F6" s="60" t="n">
        <f aca="false">C6*E6</f>
        <v>4.0593866082484</v>
      </c>
      <c r="G6" s="61"/>
      <c r="I6" s="63"/>
    </row>
    <row r="7" customFormat="false" ht="15.75" hidden="false" customHeight="false" outlineLevel="0" collapsed="false">
      <c r="A7" s="57" t="s">
        <v>894</v>
      </c>
      <c r="B7" s="57" t="n">
        <v>0.077</v>
      </c>
      <c r="C7" s="58" t="n">
        <f aca="false">B7/B$22*B$24</f>
        <v>0.121011524907134</v>
      </c>
      <c r="D7" s="57" t="s">
        <v>434</v>
      </c>
      <c r="E7" s="59" t="n">
        <f aca="false">IFERROR(INDEX(Correspondance!$D$2:$D$3000,MATCH(A7,Correspondance!$A$2:$A$3000,0)),0)</f>
        <v>5.5</v>
      </c>
      <c r="F7" s="60" t="n">
        <f aca="false">C7*E7</f>
        <v>0.665563386989237</v>
      </c>
      <c r="G7" s="61"/>
      <c r="I7" s="63"/>
    </row>
    <row r="8" customFormat="false" ht="15.75" hidden="false" customHeight="false" outlineLevel="0" collapsed="false">
      <c r="A8" s="57" t="s">
        <v>1007</v>
      </c>
      <c r="B8" s="57" t="n">
        <v>0.096</v>
      </c>
      <c r="C8" s="58" t="n">
        <f aca="false">B8/B$22*B$24</f>
        <v>0.150871511572531</v>
      </c>
      <c r="D8" s="57" t="s">
        <v>434</v>
      </c>
      <c r="E8" s="59" t="n">
        <f aca="false">IFERROR(INDEX(Correspondance!$D$2:$D$3000,MATCH(A8,Correspondance!$A$2:$A$3000,0)),0)</f>
        <v>8</v>
      </c>
      <c r="F8" s="60" t="n">
        <f aca="false">C8*E8</f>
        <v>1.20697209258025</v>
      </c>
      <c r="G8" s="61"/>
      <c r="I8" s="63"/>
    </row>
    <row r="9" customFormat="false" ht="15.75" hidden="false" customHeight="false" outlineLevel="0" collapsed="false">
      <c r="A9" s="57" t="s">
        <v>1919</v>
      </c>
      <c r="B9" s="57" t="n">
        <v>0.096</v>
      </c>
      <c r="C9" s="58" t="n">
        <f aca="false">B9/B$22*B$24</f>
        <v>0.150871511572531</v>
      </c>
      <c r="D9" s="57" t="s">
        <v>434</v>
      </c>
      <c r="E9" s="59" t="n">
        <f aca="false">IFERROR(INDEX(Correspondance!$D$2:$D$3000,MATCH(A9,Correspondance!$A$2:$A$3000,0)),0)</f>
        <v>2</v>
      </c>
      <c r="F9" s="60" t="n">
        <f aca="false">C9*E9</f>
        <v>0.301743023145061</v>
      </c>
      <c r="G9" s="61"/>
      <c r="I9" s="63"/>
    </row>
    <row r="10" customFormat="false" ht="15.75" hidden="false" customHeight="false" outlineLevel="0" collapsed="false">
      <c r="A10" s="57" t="s">
        <v>1954</v>
      </c>
      <c r="B10" s="57"/>
      <c r="C10" s="58" t="n">
        <f aca="false">B10/B$22*B$24</f>
        <v>0</v>
      </c>
      <c r="D10" s="57" t="s">
        <v>434</v>
      </c>
      <c r="E10" s="59" t="n">
        <f aca="false">IFERROR(INDEX(Correspondance!$D$2:$D$3000,MATCH(A10,Correspondance!$A$2:$A$3000,0)),0)</f>
        <v>16</v>
      </c>
      <c r="F10" s="60" t="n">
        <f aca="false">C10*E10</f>
        <v>0</v>
      </c>
      <c r="G10" s="61"/>
      <c r="I10" s="63"/>
    </row>
    <row r="11" customFormat="false" ht="15.75" hidden="false" customHeight="false" outlineLevel="0" collapsed="false">
      <c r="A11" s="57" t="s">
        <v>1814</v>
      </c>
      <c r="B11" s="57"/>
      <c r="C11" s="58" t="n">
        <f aca="false">B11/B$22*B$24</f>
        <v>0</v>
      </c>
      <c r="D11" s="57" t="s">
        <v>434</v>
      </c>
      <c r="E11" s="59" t="n">
        <f aca="false">IFERROR(INDEX(Correspondance!$D$2:$D$3000,MATCH(A11,Correspondance!$A$2:$A$3000,0)),0)</f>
        <v>18</v>
      </c>
      <c r="F11" s="60" t="n">
        <f aca="false">C11*E11</f>
        <v>0</v>
      </c>
      <c r="G11" s="61"/>
      <c r="I11" s="63"/>
    </row>
    <row r="12" customFormat="false" ht="18.75" hidden="false" customHeight="true" outlineLevel="0" collapsed="false">
      <c r="A12" s="57"/>
      <c r="B12" s="64"/>
      <c r="C12" s="58" t="n">
        <f aca="false">B12/B$22*B$24</f>
        <v>0</v>
      </c>
      <c r="D12" s="57"/>
      <c r="E12" s="65" t="n">
        <f aca="false">IFERROR(INDEX(Correspondance!$D$2:$D$3000,MATCH(A12,Correspondance!$A$2:$A$3000,0)),0)</f>
        <v>0</v>
      </c>
      <c r="F12" s="60" t="n">
        <f aca="false">C12*E12</f>
        <v>0</v>
      </c>
      <c r="G12" s="61"/>
      <c r="I12" s="63"/>
    </row>
    <row r="13" customFormat="false" ht="18.75" hidden="false" customHeight="true" outlineLevel="0" collapsed="false">
      <c r="A13" s="57"/>
      <c r="B13" s="64"/>
      <c r="C13" s="58" t="n">
        <f aca="false">B13/B$22*B$24</f>
        <v>0</v>
      </c>
      <c r="D13" s="57"/>
      <c r="E13" s="65" t="n">
        <f aca="false">IFERROR(INDEX(Correspondance!$D$2:$D$3000,MATCH(A13,Correspondance!$A$2:$A$3000,0)),0)</f>
        <v>0</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40.6113106010096</v>
      </c>
      <c r="G19" s="61"/>
      <c r="I19" s="63"/>
    </row>
    <row r="20" customFormat="false" ht="18.75" hidden="false" customHeight="true" outlineLevel="0" collapsed="false">
      <c r="A20" s="68" t="s">
        <v>2628</v>
      </c>
      <c r="B20" s="69" t="n">
        <f aca="false">F19/B24</f>
        <v>0.369193732736451</v>
      </c>
      <c r="C20" s="70"/>
      <c r="G20" s="61"/>
      <c r="I20" s="63"/>
    </row>
    <row r="21" customFormat="false" ht="15.75" hidden="false" customHeight="false" outlineLevel="0" collapsed="false">
      <c r="A21" s="71" t="s">
        <v>2629</v>
      </c>
      <c r="B21" s="71" t="n">
        <f aca="false">SUM(B3:B18)</f>
        <v>10.499</v>
      </c>
      <c r="C21" s="66"/>
      <c r="G21" s="61"/>
      <c r="I21" s="63"/>
    </row>
    <row r="22" customFormat="false" ht="15.75" hidden="false" customHeight="false" outlineLevel="0" collapsed="false">
      <c r="A22" s="0" t="s">
        <v>2630</v>
      </c>
      <c r="B22" s="72" t="n">
        <f aca="false">B21/B23</f>
        <v>69.9933333333333</v>
      </c>
      <c r="C22" s="66"/>
      <c r="G22" s="61"/>
      <c r="I22" s="63"/>
    </row>
    <row r="23" customFormat="false" ht="15.75" hidden="false" customHeight="false" outlineLevel="0" collapsed="false">
      <c r="A23" s="0" t="s">
        <v>2631</v>
      </c>
      <c r="B23" s="0" t="n">
        <v>0.15</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345</v>
      </c>
      <c r="B1" s="50"/>
      <c r="C1" s="50"/>
      <c r="D1" s="50"/>
      <c r="E1" s="51" t="s">
        <v>2619</v>
      </c>
      <c r="F1" s="51"/>
      <c r="G1" s="52" t="s">
        <v>3036</v>
      </c>
    </row>
    <row r="2" customFormat="false" ht="24.75" hidden="false" customHeight="true" outlineLevel="0" collapsed="false">
      <c r="A2" s="50"/>
      <c r="B2" s="50"/>
      <c r="C2" s="50"/>
      <c r="D2" s="50"/>
      <c r="E2" s="53" t="s">
        <v>2636</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1831</v>
      </c>
      <c r="B4" s="57" t="n">
        <v>11.53</v>
      </c>
      <c r="C4" s="58" t="n">
        <f aca="false">B4/B$22*B$24</f>
        <v>18.1156959212823</v>
      </c>
      <c r="D4" s="57" t="s">
        <v>434</v>
      </c>
      <c r="E4" s="59" t="n">
        <f aca="false">IFERROR(INDEX(Correspondance!$D$2:$D$3000,MATCH(A4,Correspondance!$A$2:$A$3000,0)),0)</f>
        <v>2</v>
      </c>
      <c r="F4" s="60" t="n">
        <f aca="false">C4*E4</f>
        <v>36.2313918425647</v>
      </c>
      <c r="G4" s="61" t="s">
        <v>3037</v>
      </c>
    </row>
    <row r="5" customFormat="false" ht="15.75" hidden="false" customHeight="false" outlineLevel="0" collapsed="false">
      <c r="A5" s="57" t="s">
        <v>1919</v>
      </c>
      <c r="B5" s="57" t="n">
        <v>0.092</v>
      </c>
      <c r="C5" s="58" t="n">
        <f aca="false">B5/B$22*B$24</f>
        <v>0.144548484367561</v>
      </c>
      <c r="D5" s="57" t="s">
        <v>434</v>
      </c>
      <c r="E5" s="59" t="n">
        <f aca="false">IFERROR(INDEX(Correspondance!$D$2:$D$3000,MATCH(A5,Correspondance!$A$2:$A$3000,0)),0)</f>
        <v>2</v>
      </c>
      <c r="F5" s="60" t="n">
        <f aca="false">C5*E5</f>
        <v>0.289096968735121</v>
      </c>
      <c r="G5" s="61"/>
      <c r="I5" s="62"/>
    </row>
    <row r="6" customFormat="false" ht="15.75" hidden="false" customHeight="false" outlineLevel="0" collapsed="false">
      <c r="A6" s="57" t="s">
        <v>1491</v>
      </c>
      <c r="B6" s="57" t="n">
        <v>0.346</v>
      </c>
      <c r="C6" s="58" t="n">
        <f aca="false">B6/B$22*B$24</f>
        <v>0.543627995556261</v>
      </c>
      <c r="D6" s="57" t="s">
        <v>434</v>
      </c>
      <c r="E6" s="59" t="n">
        <f aca="false">IFERROR(INDEX(Correspondance!$D$2:$D$3000,MATCH(A6,Correspondance!$A$2:$A$3000,0)),0)</f>
        <v>9</v>
      </c>
      <c r="F6" s="60" t="n">
        <f aca="false">C6*E6</f>
        <v>4.89265196000635</v>
      </c>
      <c r="G6" s="61"/>
      <c r="I6" s="63"/>
    </row>
    <row r="7" customFormat="false" ht="15.75" hidden="false" customHeight="false" outlineLevel="0" collapsed="false">
      <c r="A7" s="57" t="s">
        <v>1459</v>
      </c>
      <c r="B7" s="57" t="n">
        <v>0.576</v>
      </c>
      <c r="C7" s="58" t="n">
        <f aca="false">B7/B$22*B$24</f>
        <v>0.904999206475163</v>
      </c>
      <c r="D7" s="57" t="s">
        <v>682</v>
      </c>
      <c r="E7" s="59" t="n">
        <f aca="false">IFERROR(INDEX(Correspondance!$D$2:$D$3000,MATCH(A7,Correspondance!$A$2:$A$3000,0)),0)</f>
        <v>0</v>
      </c>
      <c r="F7" s="60" t="n">
        <f aca="false">C7*E7</f>
        <v>0</v>
      </c>
      <c r="G7" s="61"/>
      <c r="I7" s="63"/>
    </row>
    <row r="8" customFormat="false" ht="15.75" hidden="false" customHeight="false" outlineLevel="0" collapsed="false">
      <c r="A8" s="57" t="s">
        <v>1007</v>
      </c>
      <c r="B8" s="57" t="n">
        <v>0.058</v>
      </c>
      <c r="C8" s="58" t="n">
        <f aca="false">B8/B$22*B$24</f>
        <v>0.0911283923186796</v>
      </c>
      <c r="D8" s="57" t="s">
        <v>434</v>
      </c>
      <c r="E8" s="59" t="n">
        <f aca="false">IFERROR(INDEX(Correspondance!$D$2:$D$3000,MATCH(A8,Correspondance!$A$2:$A$3000,0)),0)</f>
        <v>8</v>
      </c>
      <c r="F8" s="60" t="n">
        <f aca="false">C8*E8</f>
        <v>0.729027138549437</v>
      </c>
      <c r="G8" s="61"/>
      <c r="I8" s="63"/>
    </row>
    <row r="9" customFormat="false" ht="15.75" hidden="false" customHeight="false" outlineLevel="0" collapsed="false">
      <c r="A9" s="57" t="s">
        <v>1703</v>
      </c>
      <c r="B9" s="57"/>
      <c r="C9" s="58" t="n">
        <f aca="false">B9/B$22*B$24</f>
        <v>0</v>
      </c>
      <c r="D9" s="57" t="s">
        <v>434</v>
      </c>
      <c r="E9" s="59" t="n">
        <f aca="false">IFERROR(INDEX(Correspondance!$D$2:$D$3000,MATCH(A9,Correspondance!$A$2:$A$3000,0)),0)</f>
        <v>16</v>
      </c>
      <c r="F9" s="60" t="n">
        <f aca="false">C9*E9</f>
        <v>0</v>
      </c>
      <c r="G9" s="61"/>
      <c r="I9" s="63"/>
    </row>
    <row r="10" customFormat="false" ht="15.75" hidden="false" customHeight="false" outlineLevel="0" collapsed="false">
      <c r="A10" s="57" t="s">
        <v>1814</v>
      </c>
      <c r="B10" s="57"/>
      <c r="C10" s="58" t="n">
        <f aca="false">B10/B$22*B$24</f>
        <v>0</v>
      </c>
      <c r="D10" s="57" t="s">
        <v>434</v>
      </c>
      <c r="E10" s="59" t="n">
        <f aca="false">IFERROR(INDEX(Correspondance!$D$2:$D$3000,MATCH(A10,Correspondance!$A$2:$A$3000,0)),0)</f>
        <v>18</v>
      </c>
      <c r="F10" s="60" t="n">
        <f aca="false">C10*E10</f>
        <v>0</v>
      </c>
      <c r="G10" s="61"/>
      <c r="I10" s="63"/>
    </row>
    <row r="11" customFormat="false" ht="15.75" hidden="false" customHeight="false" outlineLevel="0" collapsed="false">
      <c r="A11" s="57"/>
      <c r="B11" s="57"/>
      <c r="C11" s="58" t="n">
        <f aca="false">B11/B$22*B$24</f>
        <v>0</v>
      </c>
      <c r="D11" s="57"/>
      <c r="E11" s="65" t="n">
        <f aca="false">IFERROR(INDEX(Correspondance!$D$2:$D$3000,MATCH(A11,Correspondance!$A$2:$A$3000,0)),0)</f>
        <v>0</v>
      </c>
      <c r="F11" s="60" t="n">
        <f aca="false">C11*E11</f>
        <v>0</v>
      </c>
      <c r="G11" s="61"/>
      <c r="I11" s="63"/>
    </row>
    <row r="12" customFormat="false" ht="18.75" hidden="false" customHeight="true" outlineLevel="0" collapsed="false">
      <c r="A12" s="57"/>
      <c r="B12" s="64"/>
      <c r="C12" s="58" t="n">
        <f aca="false">B12/B$22*B$24</f>
        <v>0</v>
      </c>
      <c r="D12" s="57"/>
      <c r="E12" s="65" t="n">
        <f aca="false">IFERROR(INDEX(Correspondance!$D$2:$D$3000,MATCH(A12,Correspondance!$A$2:$A$3000,0)),0)</f>
        <v>0</v>
      </c>
      <c r="F12" s="60" t="n">
        <f aca="false">C12*E12</f>
        <v>0</v>
      </c>
      <c r="G12" s="61"/>
      <c r="I12" s="63"/>
    </row>
    <row r="13" customFormat="false" ht="18.75" hidden="false" customHeight="true" outlineLevel="0" collapsed="false">
      <c r="A13" s="57"/>
      <c r="B13" s="64"/>
      <c r="C13" s="58" t="n">
        <f aca="false">B13/B$22*B$24</f>
        <v>0</v>
      </c>
      <c r="D13" s="57"/>
      <c r="E13" s="65" t="n">
        <f aca="false">IFERROR(INDEX(Correspondance!$D$2:$D$3000,MATCH(A13,Correspondance!$A$2:$A$3000,0)),0)</f>
        <v>0</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42.1421679098556</v>
      </c>
      <c r="G19" s="61"/>
      <c r="I19" s="63"/>
    </row>
    <row r="20" customFormat="false" ht="18.75" hidden="false" customHeight="true" outlineLevel="0" collapsed="false">
      <c r="A20" s="68" t="s">
        <v>2628</v>
      </c>
      <c r="B20" s="69" t="n">
        <f aca="false">F19/B24</f>
        <v>0.383110617362323</v>
      </c>
      <c r="C20" s="70"/>
      <c r="G20" s="61"/>
      <c r="I20" s="63"/>
    </row>
    <row r="21" customFormat="false" ht="15.75" hidden="false" customHeight="false" outlineLevel="0" collapsed="false">
      <c r="A21" s="71" t="s">
        <v>2629</v>
      </c>
      <c r="B21" s="71" t="n">
        <f aca="false">SUM(B3:B18)</f>
        <v>12.602</v>
      </c>
      <c r="C21" s="66"/>
      <c r="G21" s="61"/>
      <c r="I21" s="63"/>
    </row>
    <row r="22" customFormat="false" ht="15.75" hidden="false" customHeight="false" outlineLevel="0" collapsed="false">
      <c r="A22" s="0" t="s">
        <v>2630</v>
      </c>
      <c r="B22" s="72" t="n">
        <f aca="false">B21/B23</f>
        <v>70.0111111111111</v>
      </c>
      <c r="C22" s="66"/>
      <c r="G22" s="61"/>
      <c r="I22" s="63"/>
    </row>
    <row r="23" customFormat="false" ht="15.75" hidden="false" customHeight="false" outlineLevel="0" collapsed="false">
      <c r="A23" s="0" t="s">
        <v>2631</v>
      </c>
      <c r="B23" s="0" t="n">
        <v>0.18</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347</v>
      </c>
      <c r="B1" s="50"/>
      <c r="C1" s="50"/>
      <c r="D1" s="50"/>
      <c r="E1" s="51" t="s">
        <v>2619</v>
      </c>
      <c r="F1" s="51"/>
      <c r="G1" s="52" t="s">
        <v>3038</v>
      </c>
    </row>
    <row r="2" customFormat="false" ht="24.75" hidden="false" customHeight="true" outlineLevel="0" collapsed="false">
      <c r="A2" s="50"/>
      <c r="B2" s="50"/>
      <c r="C2" s="50"/>
      <c r="D2" s="50"/>
      <c r="E2" s="53" t="s">
        <v>2636</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1838</v>
      </c>
      <c r="B4" s="57" t="n">
        <v>8.68</v>
      </c>
      <c r="C4" s="58" t="n">
        <f aca="false">B4/B$22*B$24</f>
        <v>13.6507255700908</v>
      </c>
      <c r="D4" s="57" t="s">
        <v>434</v>
      </c>
      <c r="E4" s="59" t="n">
        <f aca="false">IFERROR(INDEX(Correspondance!$D$2:$D$3000,MATCH(A4,Correspondance!$A$2:$A$3000,0)),0)</f>
        <v>2.2</v>
      </c>
      <c r="F4" s="60" t="n">
        <f aca="false">C4*E4</f>
        <v>30.0315962541997</v>
      </c>
      <c r="G4" s="61" t="s">
        <v>3039</v>
      </c>
    </row>
    <row r="5" customFormat="false" ht="15.75" hidden="false" customHeight="false" outlineLevel="0" collapsed="false">
      <c r="A5" s="57" t="s">
        <v>1003</v>
      </c>
      <c r="B5" s="57" t="n">
        <v>1.3</v>
      </c>
      <c r="C5" s="58" t="n">
        <f aca="false">B5/B$22*B$24</f>
        <v>2.04446350704125</v>
      </c>
      <c r="D5" s="57" t="s">
        <v>434</v>
      </c>
      <c r="E5" s="59" t="n">
        <f aca="false">IFERROR(INDEX(Correspondance!$D$2:$D$3000,MATCH(A5,Correspondance!$A$2:$A$3000,0)),0)</f>
        <v>1.9</v>
      </c>
      <c r="F5" s="60" t="n">
        <f aca="false">C5*E5</f>
        <v>3.88448066337837</v>
      </c>
      <c r="G5" s="61"/>
      <c r="I5" s="62"/>
    </row>
    <row r="6" customFormat="false" ht="15.75" hidden="false" customHeight="false" outlineLevel="0" collapsed="false">
      <c r="A6" s="57" t="s">
        <v>1056</v>
      </c>
      <c r="B6" s="57" t="n">
        <v>0.087</v>
      </c>
      <c r="C6" s="58" t="n">
        <f aca="false">B6/B$22*B$24</f>
        <v>0.136821788548145</v>
      </c>
      <c r="D6" s="57" t="s">
        <v>434</v>
      </c>
      <c r="E6" s="59" t="n">
        <f aca="false">IFERROR(INDEX(Correspondance!$D$2:$D$3000,MATCH(A6,Correspondance!$A$2:$A$3000,0)),0)</f>
        <v>9</v>
      </c>
      <c r="F6" s="60" t="n">
        <f aca="false">C6*E6</f>
        <v>1.2313960969333</v>
      </c>
      <c r="G6" s="61"/>
      <c r="I6" s="63"/>
    </row>
    <row r="7" customFormat="false" ht="15.75" hidden="false" customHeight="false" outlineLevel="0" collapsed="false">
      <c r="A7" s="57" t="s">
        <v>1459</v>
      </c>
      <c r="B7" s="57" t="n">
        <v>3.47</v>
      </c>
      <c r="C7" s="58" t="n">
        <f aca="false">B7/B$22*B$24</f>
        <v>5.45714489956395</v>
      </c>
      <c r="D7" s="57" t="s">
        <v>682</v>
      </c>
      <c r="E7" s="59" t="n">
        <f aca="false">IFERROR(INDEX(Correspondance!$D$2:$D$3000,MATCH(A7,Correspondance!$A$2:$A$3000,0)),0)</f>
        <v>0</v>
      </c>
      <c r="F7" s="60" t="n">
        <f aca="false">C7*E7</f>
        <v>0</v>
      </c>
      <c r="G7" s="61"/>
      <c r="I7" s="63"/>
    </row>
    <row r="8" customFormat="false" ht="15.75" hidden="false" customHeight="false" outlineLevel="0" collapsed="false">
      <c r="A8" s="57" t="s">
        <v>1491</v>
      </c>
      <c r="B8" s="57" t="n">
        <v>0.261</v>
      </c>
      <c r="C8" s="58" t="n">
        <f aca="false">B8/B$22*B$24</f>
        <v>0.410465365644435</v>
      </c>
      <c r="D8" s="57" t="s">
        <v>434</v>
      </c>
      <c r="E8" s="59" t="n">
        <f aca="false">IFERROR(INDEX(Correspondance!$D$2:$D$3000,MATCH(A8,Correspondance!$A$2:$A$3000,0)),0)</f>
        <v>9</v>
      </c>
      <c r="F8" s="60" t="n">
        <f aca="false">C8*E8</f>
        <v>3.69418829079992</v>
      </c>
      <c r="G8" s="61"/>
      <c r="I8" s="63"/>
    </row>
    <row r="9" customFormat="false" ht="15.75" hidden="false" customHeight="false" outlineLevel="0" collapsed="false">
      <c r="A9" s="57" t="s">
        <v>1675</v>
      </c>
      <c r="B9" s="57" t="n">
        <v>0.087</v>
      </c>
      <c r="C9" s="58" t="n">
        <f aca="false">B9/B$22*B$24</f>
        <v>0.136821788548145</v>
      </c>
      <c r="D9" s="57" t="s">
        <v>682</v>
      </c>
      <c r="E9" s="59" t="n">
        <f aca="false">IFERROR(INDEX(Correspondance!$D$2:$D$3000,MATCH(A9,Correspondance!$A$2:$A$3000,0)),0)</f>
        <v>2.2</v>
      </c>
      <c r="F9" s="60" t="n">
        <f aca="false">C9*E9</f>
        <v>0.301007934805919</v>
      </c>
      <c r="G9" s="61"/>
      <c r="I9" s="63"/>
    </row>
    <row r="10" customFormat="false" ht="15.75" hidden="false" customHeight="false" outlineLevel="0" collapsed="false">
      <c r="A10" s="57" t="s">
        <v>894</v>
      </c>
      <c r="B10" s="57" t="n">
        <v>0.043</v>
      </c>
      <c r="C10" s="58" t="n">
        <f aca="false">B10/B$22*B$24</f>
        <v>0.0676245621559797</v>
      </c>
      <c r="D10" s="57" t="s">
        <v>434</v>
      </c>
      <c r="E10" s="59" t="n">
        <f aca="false">IFERROR(INDEX(Correspondance!$D$2:$D$3000,MATCH(A10,Correspondance!$A$2:$A$3000,0)),0)</f>
        <v>5.5</v>
      </c>
      <c r="F10" s="60" t="n">
        <f aca="false">C10*E10</f>
        <v>0.371935091857888</v>
      </c>
      <c r="G10" s="61"/>
      <c r="I10" s="63"/>
    </row>
    <row r="11" customFormat="false" ht="15.75" hidden="false" customHeight="false" outlineLevel="0" collapsed="false">
      <c r="A11" s="57" t="s">
        <v>1919</v>
      </c>
      <c r="B11" s="57" t="n">
        <v>0.061</v>
      </c>
      <c r="C11" s="58" t="n">
        <f aca="false">B11/B$22*B$24</f>
        <v>0.09593251840732</v>
      </c>
      <c r="D11" s="57" t="s">
        <v>434</v>
      </c>
      <c r="E11" s="59" t="n">
        <f aca="false">IFERROR(INDEX(Correspondance!$D$2:$D$3000,MATCH(A11,Correspondance!$A$2:$A$3000,0)),0)</f>
        <v>2</v>
      </c>
      <c r="F11" s="60" t="n">
        <f aca="false">C11*E11</f>
        <v>0.19186503681464</v>
      </c>
      <c r="G11" s="61"/>
      <c r="I11" s="63"/>
    </row>
    <row r="12" customFormat="false" ht="18.75" hidden="false" customHeight="true" outlineLevel="0" collapsed="false">
      <c r="A12" s="57" t="s">
        <v>1814</v>
      </c>
      <c r="B12" s="64"/>
      <c r="C12" s="58" t="n">
        <f aca="false">B12/B$22*B$24</f>
        <v>0</v>
      </c>
      <c r="D12" s="57" t="s">
        <v>434</v>
      </c>
      <c r="E12" s="59" t="n">
        <f aca="false">IFERROR(INDEX(Correspondance!$D$2:$D$3000,MATCH(A12,Correspondance!$A$2:$A$3000,0)),0)</f>
        <v>18</v>
      </c>
      <c r="F12" s="60" t="n">
        <f aca="false">C12*E12</f>
        <v>0</v>
      </c>
      <c r="G12" s="61"/>
      <c r="I12" s="63"/>
    </row>
    <row r="13" customFormat="false" ht="18.75" hidden="false" customHeight="true" outlineLevel="0" collapsed="false">
      <c r="A13" s="57" t="s">
        <v>1948</v>
      </c>
      <c r="B13" s="64"/>
      <c r="C13" s="58" t="n">
        <f aca="false">B13/B$22*B$24</f>
        <v>0</v>
      </c>
      <c r="D13" s="57" t="s">
        <v>434</v>
      </c>
      <c r="E13" s="59" t="n">
        <f aca="false">IFERROR(INDEX(Correspondance!$D$2:$D$3000,MATCH(A13,Correspondance!$A$2:$A$3000,0)),0)</f>
        <v>16</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39.7064693687898</v>
      </c>
      <c r="G19" s="61"/>
      <c r="I19" s="63"/>
    </row>
    <row r="20" customFormat="false" ht="18.75" hidden="false" customHeight="true" outlineLevel="0" collapsed="false">
      <c r="A20" s="68" t="s">
        <v>2628</v>
      </c>
      <c r="B20" s="69" t="n">
        <f aca="false">F19/B24</f>
        <v>0.360967903352634</v>
      </c>
      <c r="C20" s="70"/>
      <c r="G20" s="61"/>
      <c r="I20" s="63"/>
    </row>
    <row r="21" customFormat="false" ht="15.75" hidden="false" customHeight="false" outlineLevel="0" collapsed="false">
      <c r="A21" s="71" t="s">
        <v>2629</v>
      </c>
      <c r="B21" s="71" t="n">
        <f aca="false">SUM(B3:B18)</f>
        <v>13.989</v>
      </c>
      <c r="C21" s="66"/>
      <c r="G21" s="61"/>
      <c r="I21" s="63"/>
    </row>
    <row r="22" customFormat="false" ht="15.75" hidden="false" customHeight="false" outlineLevel="0" collapsed="false">
      <c r="A22" s="0" t="s">
        <v>2630</v>
      </c>
      <c r="B22" s="72" t="n">
        <f aca="false">B21/B23</f>
        <v>69.945</v>
      </c>
      <c r="C22" s="66"/>
      <c r="G22" s="61"/>
      <c r="I22" s="63"/>
    </row>
    <row r="23" customFormat="false" ht="15.75" hidden="false" customHeight="false" outlineLevel="0" collapsed="false">
      <c r="A23" s="0" t="s">
        <v>2631</v>
      </c>
      <c r="B23" s="0" t="n">
        <v>0.2</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349</v>
      </c>
      <c r="B1" s="50"/>
      <c r="C1" s="50"/>
      <c r="D1" s="50"/>
      <c r="E1" s="51" t="s">
        <v>2619</v>
      </c>
      <c r="F1" s="51"/>
      <c r="G1" s="52" t="s">
        <v>3040</v>
      </c>
    </row>
    <row r="2" customFormat="false" ht="24.75" hidden="false" customHeight="true" outlineLevel="0" collapsed="false">
      <c r="A2" s="50"/>
      <c r="B2" s="50"/>
      <c r="C2" s="50"/>
      <c r="D2" s="50"/>
      <c r="E2" s="53" t="s">
        <v>2636</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1830</v>
      </c>
      <c r="B4" s="57" t="n">
        <v>9.87</v>
      </c>
      <c r="C4" s="58" t="n">
        <f aca="false">B4/B$22*B$24</f>
        <v>15.5055698371894</v>
      </c>
      <c r="D4" s="57" t="s">
        <v>434</v>
      </c>
      <c r="E4" s="59" t="n">
        <f aca="false">IFERROR(INDEX(Correspondance!$D$2:$D$3000,MATCH(A4,Correspondance!$A$2:$A$3000,0)),0)</f>
        <v>2</v>
      </c>
      <c r="F4" s="60" t="n">
        <f aca="false">C4*E4</f>
        <v>31.0111396743787</v>
      </c>
      <c r="G4" s="61" t="s">
        <v>3041</v>
      </c>
    </row>
    <row r="5" customFormat="false" ht="15.75" hidden="false" customHeight="false" outlineLevel="0" collapsed="false">
      <c r="A5" s="57" t="s">
        <v>1695</v>
      </c>
      <c r="B5" s="57" t="n">
        <v>2.96</v>
      </c>
      <c r="C5" s="58" t="n">
        <f aca="false">B5/B$22*B$24</f>
        <v>4.65009997143673</v>
      </c>
      <c r="D5" s="57" t="s">
        <v>682</v>
      </c>
      <c r="E5" s="59" t="n">
        <f aca="false">IFERROR(INDEX(Correspondance!$D$2:$D$3000,MATCH(A5,Correspondance!$A$2:$A$3000,0)),0)</f>
        <v>2.5</v>
      </c>
      <c r="F5" s="60" t="n">
        <f aca="false">C5*E5</f>
        <v>11.6252499285918</v>
      </c>
      <c r="G5" s="61"/>
      <c r="I5" s="62"/>
    </row>
    <row r="6" customFormat="false" ht="15.75" hidden="false" customHeight="false" outlineLevel="0" collapsed="false">
      <c r="A6" s="57" t="s">
        <v>1491</v>
      </c>
      <c r="B6" s="57" t="n">
        <v>0.592</v>
      </c>
      <c r="C6" s="58" t="n">
        <f aca="false">B6/B$22*B$24</f>
        <v>0.930019994287347</v>
      </c>
      <c r="D6" s="57" t="s">
        <v>434</v>
      </c>
      <c r="E6" s="59" t="n">
        <f aca="false">IFERROR(INDEX(Correspondance!$D$2:$D$3000,MATCH(A6,Correspondance!$A$2:$A$3000,0)),0)</f>
        <v>9</v>
      </c>
      <c r="F6" s="60" t="n">
        <f aca="false">C6*E6</f>
        <v>8.37017994858612</v>
      </c>
      <c r="G6" s="61"/>
      <c r="I6" s="63"/>
    </row>
    <row r="7" customFormat="false" ht="15.75" hidden="false" customHeight="false" outlineLevel="0" collapsed="false">
      <c r="A7" s="57" t="s">
        <v>1576</v>
      </c>
      <c r="B7" s="57" t="n">
        <v>0.493</v>
      </c>
      <c r="C7" s="58" t="n">
        <f aca="false">B7/B$22*B$24</f>
        <v>0.774493001999429</v>
      </c>
      <c r="D7" s="57" t="s">
        <v>434</v>
      </c>
      <c r="E7" s="59" t="n">
        <f aca="false">IFERROR(INDEX(Correspondance!$D$2:$D$3000,MATCH(A7,Correspondance!$A$2:$A$3000,0)),0)</f>
        <v>5.5</v>
      </c>
      <c r="F7" s="60" t="n">
        <f aca="false">C7*E7</f>
        <v>4.25971151099686</v>
      </c>
      <c r="G7" s="61"/>
      <c r="I7" s="63"/>
    </row>
    <row r="8" customFormat="false" ht="15.75" hidden="false" customHeight="false" outlineLevel="0" collapsed="false">
      <c r="A8" s="57" t="s">
        <v>1919</v>
      </c>
      <c r="B8" s="57" t="n">
        <v>0.089</v>
      </c>
      <c r="C8" s="58" t="n">
        <f aca="false">B8/B$22*B$24</f>
        <v>0.139817195087118</v>
      </c>
      <c r="D8" s="57" t="s">
        <v>434</v>
      </c>
      <c r="E8" s="59" t="n">
        <f aca="false">IFERROR(INDEX(Correspondance!$D$2:$D$3000,MATCH(A8,Correspondance!$A$2:$A$3000,0)),0)</f>
        <v>2</v>
      </c>
      <c r="F8" s="60" t="n">
        <f aca="false">C8*E8</f>
        <v>0.279634390174236</v>
      </c>
      <c r="G8" s="61"/>
      <c r="I8" s="63"/>
    </row>
    <row r="9" customFormat="false" ht="15.75" hidden="false" customHeight="false" outlineLevel="0" collapsed="false">
      <c r="A9" s="57" t="s">
        <v>1811</v>
      </c>
      <c r="B9" s="57"/>
      <c r="C9" s="58" t="n">
        <f aca="false">B9/B$22*B$24</f>
        <v>0</v>
      </c>
      <c r="D9" s="57" t="s">
        <v>434</v>
      </c>
      <c r="E9" s="59" t="n">
        <f aca="false">IFERROR(INDEX(Correspondance!$D$2:$D$3000,MATCH(A9,Correspondance!$A$2:$A$3000,0)),0)</f>
        <v>22</v>
      </c>
      <c r="F9" s="60" t="n">
        <f aca="false">C9*E9</f>
        <v>0</v>
      </c>
      <c r="G9" s="61"/>
      <c r="I9" s="63"/>
    </row>
    <row r="10" customFormat="false" ht="15.75" hidden="false" customHeight="false" outlineLevel="0" collapsed="false">
      <c r="A10" s="57" t="s">
        <v>1732</v>
      </c>
      <c r="B10" s="57"/>
      <c r="C10" s="58" t="n">
        <f aca="false">B10/B$22*B$24</f>
        <v>0</v>
      </c>
      <c r="D10" s="57" t="s">
        <v>434</v>
      </c>
      <c r="E10" s="59" t="n">
        <f aca="false">IFERROR(INDEX(Correspondance!$D$2:$D$3000,MATCH(A10,Correspondance!$A$2:$A$3000,0)),0)</f>
        <v>30</v>
      </c>
      <c r="F10" s="60" t="n">
        <f aca="false">C10*E10</f>
        <v>0</v>
      </c>
      <c r="G10" s="61"/>
      <c r="I10" s="63"/>
    </row>
    <row r="11" customFormat="false" ht="15.75" hidden="false" customHeight="false" outlineLevel="0" collapsed="false">
      <c r="A11" s="57"/>
      <c r="B11" s="57"/>
      <c r="C11" s="58" t="n">
        <f aca="false">B11/B$22*B$24</f>
        <v>0</v>
      </c>
      <c r="D11" s="57"/>
      <c r="E11" s="65" t="n">
        <f aca="false">IFERROR(INDEX(Correspondance!$D$2:$D$3000,MATCH(A11,Correspondance!$A$2:$A$3000,0)),0)</f>
        <v>0</v>
      </c>
      <c r="F11" s="60" t="n">
        <f aca="false">C11*E11</f>
        <v>0</v>
      </c>
      <c r="G11" s="61"/>
      <c r="I11" s="63"/>
    </row>
    <row r="12" customFormat="false" ht="18.75" hidden="false" customHeight="true" outlineLevel="0" collapsed="false">
      <c r="A12" s="57"/>
      <c r="B12" s="64"/>
      <c r="C12" s="58" t="n">
        <f aca="false">B12/B$22*B$24</f>
        <v>0</v>
      </c>
      <c r="D12" s="57"/>
      <c r="E12" s="65" t="n">
        <f aca="false">IFERROR(INDEX(Correspondance!$D$2:$D$3000,MATCH(A12,Correspondance!$A$2:$A$3000,0)),0)</f>
        <v>0</v>
      </c>
      <c r="F12" s="60" t="n">
        <f aca="false">C12*E12</f>
        <v>0</v>
      </c>
      <c r="G12" s="61"/>
      <c r="I12" s="63"/>
    </row>
    <row r="13" customFormat="false" ht="18.75" hidden="false" customHeight="true" outlineLevel="0" collapsed="false">
      <c r="A13" s="57"/>
      <c r="B13" s="64"/>
      <c r="C13" s="58" t="n">
        <f aca="false">B13/B$22*B$24</f>
        <v>0</v>
      </c>
      <c r="D13" s="57"/>
      <c r="E13" s="65" t="n">
        <f aca="false">IFERROR(INDEX(Correspondance!$D$2:$D$3000,MATCH(A13,Correspondance!$A$2:$A$3000,0)),0)</f>
        <v>0</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55.5459154527278</v>
      </c>
      <c r="G19" s="61"/>
      <c r="I19" s="63"/>
    </row>
    <row r="20" customFormat="false" ht="18.75" hidden="false" customHeight="true" outlineLevel="0" collapsed="false">
      <c r="A20" s="68" t="s">
        <v>2628</v>
      </c>
      <c r="B20" s="69" t="n">
        <f aca="false">F19/B24</f>
        <v>0.504962867752071</v>
      </c>
      <c r="C20" s="70"/>
      <c r="G20" s="61"/>
      <c r="I20" s="63"/>
    </row>
    <row r="21" customFormat="false" ht="15.75" hidden="false" customHeight="false" outlineLevel="0" collapsed="false">
      <c r="A21" s="71" t="s">
        <v>2629</v>
      </c>
      <c r="B21" s="71" t="n">
        <f aca="false">SUM(B3:B18)</f>
        <v>14.004</v>
      </c>
      <c r="C21" s="66"/>
      <c r="G21" s="61"/>
      <c r="I21" s="63"/>
    </row>
    <row r="22" customFormat="false" ht="15.75" hidden="false" customHeight="false" outlineLevel="0" collapsed="false">
      <c r="A22" s="0" t="s">
        <v>2630</v>
      </c>
      <c r="B22" s="72" t="n">
        <f aca="false">B21/B23</f>
        <v>70.02</v>
      </c>
      <c r="C22" s="66"/>
      <c r="G22" s="61"/>
      <c r="I22" s="63"/>
    </row>
    <row r="23" customFormat="false" ht="15.75" hidden="false" customHeight="false" outlineLevel="0" collapsed="false">
      <c r="A23" s="0" t="s">
        <v>2631</v>
      </c>
      <c r="B23" s="0" t="n">
        <v>0.2</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351</v>
      </c>
      <c r="B1" s="50"/>
      <c r="C1" s="50"/>
      <c r="D1" s="50"/>
      <c r="E1" s="51" t="s">
        <v>2619</v>
      </c>
      <c r="F1" s="51"/>
      <c r="G1" s="52" t="s">
        <v>3040</v>
      </c>
    </row>
    <row r="2" customFormat="false" ht="24.75" hidden="false" customHeight="true" outlineLevel="0" collapsed="false">
      <c r="A2" s="50"/>
      <c r="B2" s="50"/>
      <c r="C2" s="50"/>
      <c r="D2" s="50"/>
      <c r="E2" s="53" t="s">
        <v>2636</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1828</v>
      </c>
      <c r="B4" s="57" t="n">
        <v>5.55</v>
      </c>
      <c r="C4" s="58" t="n">
        <f aca="false">B4/B$22*B$24</f>
        <v>8.72974261201144</v>
      </c>
      <c r="D4" s="57" t="s">
        <v>434</v>
      </c>
      <c r="E4" s="59" t="n">
        <f aca="false">IFERROR(INDEX(Correspondance!$D$2:$D$3000,MATCH(A4,Correspondance!$A$2:$A$3000,0)),0)</f>
        <v>2</v>
      </c>
      <c r="F4" s="60" t="n">
        <f aca="false">C4*E4</f>
        <v>17.4594852240229</v>
      </c>
      <c r="G4" s="61" t="s">
        <v>3042</v>
      </c>
    </row>
    <row r="5" customFormat="false" ht="15.75" hidden="false" customHeight="false" outlineLevel="0" collapsed="false">
      <c r="A5" s="57" t="s">
        <v>1538</v>
      </c>
      <c r="B5" s="57" t="n">
        <v>3.7</v>
      </c>
      <c r="C5" s="58" t="n">
        <f aca="false">B5/B$22*B$24</f>
        <v>5.81982840800763</v>
      </c>
      <c r="D5" s="57" t="s">
        <v>434</v>
      </c>
      <c r="E5" s="59" t="n">
        <f aca="false">IFERROR(INDEX(Correspondance!$D$2:$D$3000,MATCH(A5,Correspondance!$A$2:$A$3000,0)),0)</f>
        <v>9.5</v>
      </c>
      <c r="F5" s="60" t="n">
        <f aca="false">C5*E5</f>
        <v>55.2883698760725</v>
      </c>
      <c r="G5" s="61"/>
      <c r="I5" s="62"/>
    </row>
    <row r="6" customFormat="false" ht="15.75" hidden="false" customHeight="false" outlineLevel="0" collapsed="false">
      <c r="A6" s="57" t="s">
        <v>1695</v>
      </c>
      <c r="B6" s="57" t="n">
        <v>2.31</v>
      </c>
      <c r="C6" s="58" t="n">
        <f aca="false">B6/B$22*B$24</f>
        <v>3.63346043851287</v>
      </c>
      <c r="D6" s="57" t="s">
        <v>682</v>
      </c>
      <c r="E6" s="59" t="n">
        <f aca="false">IFERROR(INDEX(Correspondance!$D$2:$D$3000,MATCH(A6,Correspondance!$A$2:$A$3000,0)),0)</f>
        <v>2.5</v>
      </c>
      <c r="F6" s="60" t="n">
        <f aca="false">C6*E6</f>
        <v>9.08365109628217</v>
      </c>
      <c r="G6" s="61"/>
      <c r="I6" s="63"/>
    </row>
    <row r="7" customFormat="false" ht="15.75" hidden="false" customHeight="false" outlineLevel="0" collapsed="false">
      <c r="A7" s="57" t="s">
        <v>1491</v>
      </c>
      <c r="B7" s="57" t="n">
        <v>0.463</v>
      </c>
      <c r="C7" s="58" t="n">
        <f aca="false">B7/B$22*B$24</f>
        <v>0.728265014299333</v>
      </c>
      <c r="D7" s="57" t="s">
        <v>434</v>
      </c>
      <c r="E7" s="59" t="n">
        <f aca="false">IFERROR(INDEX(Correspondance!$D$2:$D$3000,MATCH(A7,Correspondance!$A$2:$A$3000,0)),0)</f>
        <v>9</v>
      </c>
      <c r="F7" s="60" t="n">
        <f aca="false">C7*E7</f>
        <v>6.55438512869399</v>
      </c>
      <c r="G7" s="61"/>
      <c r="I7" s="63"/>
    </row>
    <row r="8" customFormat="false" ht="15.75" hidden="false" customHeight="false" outlineLevel="0" collapsed="false">
      <c r="A8" s="57" t="s">
        <v>1576</v>
      </c>
      <c r="B8" s="57" t="n">
        <v>0.463</v>
      </c>
      <c r="C8" s="58" t="n">
        <f aca="false">B8/B$22*B$24</f>
        <v>0.728265014299333</v>
      </c>
      <c r="D8" s="57" t="s">
        <v>434</v>
      </c>
      <c r="E8" s="59" t="n">
        <f aca="false">IFERROR(INDEX(Correspondance!$D$2:$D$3000,MATCH(A8,Correspondance!$A$2:$A$3000,0)),0)</f>
        <v>5.5</v>
      </c>
      <c r="F8" s="60" t="n">
        <f aca="false">C8*E8</f>
        <v>4.00545757864633</v>
      </c>
      <c r="G8" s="61"/>
      <c r="I8" s="63"/>
    </row>
    <row r="9" customFormat="false" ht="15.75" hidden="false" customHeight="false" outlineLevel="0" collapsed="false">
      <c r="A9" s="57" t="s">
        <v>1056</v>
      </c>
      <c r="B9" s="57" t="n">
        <v>0.028</v>
      </c>
      <c r="C9" s="58" t="n">
        <f aca="false">B9/B$22*B$24</f>
        <v>0.0440419447092469</v>
      </c>
      <c r="D9" s="57" t="s">
        <v>434</v>
      </c>
      <c r="E9" s="59" t="n">
        <f aca="false">IFERROR(INDEX(Correspondance!$D$2:$D$3000,MATCH(A9,Correspondance!$A$2:$A$3000,0)),0)</f>
        <v>9</v>
      </c>
      <c r="F9" s="60" t="n">
        <f aca="false">C9*E9</f>
        <v>0.396377502383222</v>
      </c>
      <c r="G9" s="61"/>
      <c r="I9" s="63"/>
    </row>
    <row r="10" customFormat="false" ht="15.75" hidden="false" customHeight="false" outlineLevel="0" collapsed="false">
      <c r="A10" s="57" t="s">
        <v>1919</v>
      </c>
      <c r="B10" s="57" t="n">
        <v>0.074</v>
      </c>
      <c r="C10" s="58" t="n">
        <f aca="false">B10/B$22*B$24</f>
        <v>0.116396568160153</v>
      </c>
      <c r="D10" s="57" t="s">
        <v>434</v>
      </c>
      <c r="E10" s="59" t="n">
        <f aca="false">IFERROR(INDEX(Correspondance!$D$2:$D$3000,MATCH(A10,Correspondance!$A$2:$A$3000,0)),0)</f>
        <v>2</v>
      </c>
      <c r="F10" s="60" t="n">
        <f aca="false">C10*E10</f>
        <v>0.232793136320305</v>
      </c>
      <c r="G10" s="61"/>
      <c r="I10" s="63"/>
    </row>
    <row r="11" customFormat="false" ht="15.75" hidden="false" customHeight="false" outlineLevel="0" collapsed="false">
      <c r="A11" s="57" t="s">
        <v>1814</v>
      </c>
      <c r="B11" s="57"/>
      <c r="C11" s="58" t="n">
        <f aca="false">B11/B$22*B$24</f>
        <v>0</v>
      </c>
      <c r="D11" s="57" t="s">
        <v>434</v>
      </c>
      <c r="E11" s="59" t="n">
        <f aca="false">IFERROR(INDEX(Correspondance!$D$2:$D$3000,MATCH(A11,Correspondance!$A$2:$A$3000,0)),0)</f>
        <v>18</v>
      </c>
      <c r="F11" s="60" t="n">
        <f aca="false">C11*E11</f>
        <v>0</v>
      </c>
      <c r="G11" s="61"/>
      <c r="I11" s="63"/>
    </row>
    <row r="12" customFormat="false" ht="18.75" hidden="false" customHeight="true" outlineLevel="0" collapsed="false">
      <c r="A12" s="57" t="s">
        <v>1732</v>
      </c>
      <c r="B12" s="64"/>
      <c r="C12" s="58" t="n">
        <f aca="false">B12/B$22*B$24</f>
        <v>0</v>
      </c>
      <c r="D12" s="57" t="s">
        <v>434</v>
      </c>
      <c r="E12" s="59" t="n">
        <f aca="false">IFERROR(INDEX(Correspondance!$D$2:$D$3000,MATCH(A12,Correspondance!$A$2:$A$3000,0)),0)</f>
        <v>30</v>
      </c>
      <c r="F12" s="60" t="n">
        <f aca="false">C12*E12</f>
        <v>0</v>
      </c>
      <c r="G12" s="61"/>
      <c r="I12" s="63"/>
    </row>
    <row r="13" customFormat="false" ht="18.75" hidden="false" customHeight="true" outlineLevel="0" collapsed="false">
      <c r="A13" s="57"/>
      <c r="B13" s="64"/>
      <c r="C13" s="58" t="n">
        <f aca="false">B13/B$22*B$24</f>
        <v>0</v>
      </c>
      <c r="D13" s="57"/>
      <c r="E13" s="65" t="n">
        <f aca="false">IFERROR(INDEX(Correspondance!$D$2:$D$3000,MATCH(A13,Correspondance!$A$2:$A$3000,0)),0)</f>
        <v>0</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93.0205195424214</v>
      </c>
      <c r="G19" s="61"/>
      <c r="I19" s="63"/>
    </row>
    <row r="20" customFormat="false" ht="18.75" hidden="false" customHeight="true" outlineLevel="0" collapsed="false">
      <c r="A20" s="68" t="s">
        <v>2628</v>
      </c>
      <c r="B20" s="69" t="n">
        <f aca="false">F19/B24</f>
        <v>0.845641086749285</v>
      </c>
      <c r="C20" s="70"/>
      <c r="G20" s="61"/>
      <c r="I20" s="63"/>
    </row>
    <row r="21" customFormat="false" ht="15.75" hidden="false" customHeight="false" outlineLevel="0" collapsed="false">
      <c r="A21" s="71" t="s">
        <v>2629</v>
      </c>
      <c r="B21" s="71" t="n">
        <f aca="false">SUM(B3:B18)</f>
        <v>12.588</v>
      </c>
      <c r="C21" s="66"/>
      <c r="G21" s="61"/>
      <c r="I21" s="63"/>
    </row>
    <row r="22" customFormat="false" ht="15.75" hidden="false" customHeight="false" outlineLevel="0" collapsed="false">
      <c r="A22" s="0" t="s">
        <v>2630</v>
      </c>
      <c r="B22" s="72" t="n">
        <f aca="false">B21/B23</f>
        <v>69.9333333333333</v>
      </c>
      <c r="C22" s="66"/>
      <c r="G22" s="61"/>
      <c r="I22" s="63"/>
    </row>
    <row r="23" customFormat="false" ht="15.75" hidden="false" customHeight="false" outlineLevel="0" collapsed="false">
      <c r="A23" s="0" t="s">
        <v>2631</v>
      </c>
      <c r="B23" s="0" t="n">
        <v>0.18</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353</v>
      </c>
      <c r="B1" s="50"/>
      <c r="C1" s="50"/>
      <c r="D1" s="50"/>
      <c r="E1" s="51" t="s">
        <v>2619</v>
      </c>
      <c r="F1" s="51"/>
      <c r="G1" s="52" t="s">
        <v>3043</v>
      </c>
    </row>
    <row r="2" customFormat="false" ht="24.75" hidden="false" customHeight="true" outlineLevel="0" collapsed="false">
      <c r="A2" s="50"/>
      <c r="B2" s="50"/>
      <c r="C2" s="50"/>
      <c r="D2" s="50"/>
      <c r="E2" s="53" t="s">
        <v>2636</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1852</v>
      </c>
      <c r="B4" s="57" t="n">
        <v>7.76</v>
      </c>
      <c r="C4" s="58" t="n">
        <f aca="false">B4/B$22*B$24</f>
        <v>12.1942857142857</v>
      </c>
      <c r="D4" s="57" t="s">
        <v>434</v>
      </c>
      <c r="E4" s="59" t="n">
        <f aca="false">IFERROR(INDEX(Correspondance!$D$2:$D$3000,MATCH(A4,Correspondance!$A$2:$A$3000,0)),0)</f>
        <v>2.4</v>
      </c>
      <c r="F4" s="60" t="n">
        <f aca="false">C4*E4</f>
        <v>29.2662857142857</v>
      </c>
      <c r="G4" s="61" t="s">
        <v>3044</v>
      </c>
    </row>
    <row r="5" customFormat="false" ht="15.75" hidden="false" customHeight="false" outlineLevel="0" collapsed="false">
      <c r="A5" s="57" t="s">
        <v>1828</v>
      </c>
      <c r="B5" s="57" t="n">
        <v>2.91</v>
      </c>
      <c r="C5" s="58" t="n">
        <f aca="false">B5/B$22*B$24</f>
        <v>4.57285714285714</v>
      </c>
      <c r="D5" s="57" t="s">
        <v>434</v>
      </c>
      <c r="E5" s="59" t="n">
        <f aca="false">IFERROR(INDEX(Correspondance!$D$2:$D$3000,MATCH(A5,Correspondance!$A$2:$A$3000,0)),0)</f>
        <v>2</v>
      </c>
      <c r="F5" s="60" t="n">
        <f aca="false">C5*E5</f>
        <v>9.14571428571429</v>
      </c>
      <c r="G5" s="61"/>
      <c r="I5" s="62"/>
    </row>
    <row r="6" customFormat="false" ht="15.75" hidden="false" customHeight="false" outlineLevel="0" collapsed="false">
      <c r="A6" s="57" t="s">
        <v>1001</v>
      </c>
      <c r="B6" s="57" t="n">
        <v>0.485</v>
      </c>
      <c r="C6" s="58" t="n">
        <f aca="false">B6/B$22*B$24</f>
        <v>0.762142857142857</v>
      </c>
      <c r="D6" s="57" t="s">
        <v>434</v>
      </c>
      <c r="E6" s="59" t="n">
        <f aca="false">IFERROR(INDEX(Correspondance!$D$2:$D$3000,MATCH(A6,Correspondance!$A$2:$A$3000,0)),0)</f>
        <v>1.8</v>
      </c>
      <c r="F6" s="60" t="n">
        <f aca="false">C6*E6</f>
        <v>1.37185714285714</v>
      </c>
      <c r="G6" s="61"/>
      <c r="I6" s="63"/>
    </row>
    <row r="7" customFormat="false" ht="15.75" hidden="false" customHeight="false" outlineLevel="0" collapsed="false">
      <c r="A7" s="57" t="s">
        <v>1576</v>
      </c>
      <c r="B7" s="57" t="n">
        <v>0.97</v>
      </c>
      <c r="C7" s="58" t="n">
        <f aca="false">B7/B$22*B$24</f>
        <v>1.52428571428571</v>
      </c>
      <c r="D7" s="57" t="s">
        <v>434</v>
      </c>
      <c r="E7" s="59" t="n">
        <f aca="false">IFERROR(INDEX(Correspondance!$D$2:$D$3000,MATCH(A7,Correspondance!$A$2:$A$3000,0)),0)</f>
        <v>5.5</v>
      </c>
      <c r="F7" s="60" t="n">
        <f aca="false">C7*E7</f>
        <v>8.38357142857143</v>
      </c>
      <c r="G7" s="61"/>
      <c r="I7" s="63"/>
    </row>
    <row r="8" customFormat="false" ht="15.75" hidden="false" customHeight="false" outlineLevel="0" collapsed="false">
      <c r="A8" s="57" t="s">
        <v>1491</v>
      </c>
      <c r="B8" s="57" t="n">
        <v>0.291</v>
      </c>
      <c r="C8" s="58" t="n">
        <f aca="false">B8/B$22*B$24</f>
        <v>0.457285714285714</v>
      </c>
      <c r="D8" s="57" t="s">
        <v>434</v>
      </c>
      <c r="E8" s="59" t="n">
        <f aca="false">IFERROR(INDEX(Correspondance!$D$2:$D$3000,MATCH(A8,Correspondance!$A$2:$A$3000,0)),0)</f>
        <v>9</v>
      </c>
      <c r="F8" s="60" t="n">
        <f aca="false">C8*E8</f>
        <v>4.11557142857143</v>
      </c>
      <c r="G8" s="61"/>
      <c r="I8" s="63"/>
    </row>
    <row r="9" customFormat="false" ht="15.75" hidden="false" customHeight="false" outlineLevel="0" collapsed="false">
      <c r="A9" s="57" t="s">
        <v>1084</v>
      </c>
      <c r="B9" s="57" t="n">
        <v>0.097</v>
      </c>
      <c r="C9" s="58" t="n">
        <f aca="false">B9/B$22*B$24</f>
        <v>0.152428571428571</v>
      </c>
      <c r="D9" s="57" t="s">
        <v>434</v>
      </c>
      <c r="E9" s="59" t="n">
        <f aca="false">IFERROR(INDEX(Correspondance!$D$2:$D$3000,MATCH(A9,Correspondance!$A$2:$A$3000,0)),0)</f>
        <v>2.2</v>
      </c>
      <c r="F9" s="60" t="n">
        <f aca="false">C9*E9</f>
        <v>0.335342857142857</v>
      </c>
      <c r="G9" s="61"/>
      <c r="I9" s="63"/>
    </row>
    <row r="10" customFormat="false" ht="15.75" hidden="false" customHeight="false" outlineLevel="0" collapsed="false">
      <c r="A10" s="57" t="s">
        <v>1919</v>
      </c>
      <c r="B10" s="57" t="n">
        <v>0.087</v>
      </c>
      <c r="C10" s="58" t="n">
        <f aca="false">B10/B$22*B$24</f>
        <v>0.136714285714286</v>
      </c>
      <c r="D10" s="57" t="s">
        <v>434</v>
      </c>
      <c r="E10" s="59" t="n">
        <f aca="false">IFERROR(INDEX(Correspondance!$D$2:$D$3000,MATCH(A10,Correspondance!$A$2:$A$3000,0)),0)</f>
        <v>2</v>
      </c>
      <c r="F10" s="60" t="n">
        <f aca="false">C10*E10</f>
        <v>0.273428571428571</v>
      </c>
      <c r="G10" s="61"/>
      <c r="I10" s="63"/>
    </row>
    <row r="11" customFormat="false" ht="15.75" hidden="false" customHeight="false" outlineLevel="0" collapsed="false">
      <c r="A11" s="57" t="s">
        <v>1814</v>
      </c>
      <c r="B11" s="57"/>
      <c r="C11" s="58" t="n">
        <f aca="false">B11/B$22*B$24</f>
        <v>0</v>
      </c>
      <c r="D11" s="57" t="s">
        <v>434</v>
      </c>
      <c r="E11" s="59" t="n">
        <f aca="false">IFERROR(INDEX(Correspondance!$D$2:$D$3000,MATCH(A11,Correspondance!$A$2:$A$3000,0)),0)</f>
        <v>18</v>
      </c>
      <c r="F11" s="60" t="n">
        <f aca="false">C11*E11</f>
        <v>0</v>
      </c>
      <c r="G11" s="61"/>
      <c r="I11" s="63"/>
    </row>
    <row r="12" customFormat="false" ht="18.75" hidden="false" customHeight="true" outlineLevel="0" collapsed="false">
      <c r="A12" s="57" t="s">
        <v>1732</v>
      </c>
      <c r="B12" s="64"/>
      <c r="C12" s="58" t="n">
        <f aca="false">B12/B$22*B$24</f>
        <v>0</v>
      </c>
      <c r="D12" s="57" t="s">
        <v>434</v>
      </c>
      <c r="E12" s="59" t="n">
        <f aca="false">IFERROR(INDEX(Correspondance!$D$2:$D$3000,MATCH(A12,Correspondance!$A$2:$A$3000,0)),0)</f>
        <v>30</v>
      </c>
      <c r="F12" s="60" t="n">
        <f aca="false">C12*E12</f>
        <v>0</v>
      </c>
      <c r="G12" s="61"/>
      <c r="I12" s="63"/>
    </row>
    <row r="13" customFormat="false" ht="18.75" hidden="false" customHeight="true" outlineLevel="0" collapsed="false">
      <c r="A13" s="57"/>
      <c r="B13" s="64"/>
      <c r="C13" s="58" t="n">
        <f aca="false">B13/B$22*B$24</f>
        <v>0</v>
      </c>
      <c r="D13" s="57"/>
      <c r="E13" s="65" t="n">
        <f aca="false">IFERROR(INDEX(Correspondance!$D$2:$D$3000,MATCH(A13,Correspondance!$A$2:$A$3000,0)),0)</f>
        <v>0</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52.8917714285714</v>
      </c>
      <c r="G19" s="61"/>
      <c r="I19" s="63"/>
    </row>
    <row r="20" customFormat="false" ht="18.75" hidden="false" customHeight="true" outlineLevel="0" collapsed="false">
      <c r="A20" s="68" t="s">
        <v>2628</v>
      </c>
      <c r="B20" s="69" t="n">
        <f aca="false">F19/B24</f>
        <v>0.480834285714286</v>
      </c>
      <c r="C20" s="70"/>
      <c r="G20" s="61"/>
      <c r="I20" s="63"/>
    </row>
    <row r="21" customFormat="false" ht="15.75" hidden="false" customHeight="false" outlineLevel="0" collapsed="false">
      <c r="A21" s="71" t="s">
        <v>2629</v>
      </c>
      <c r="B21" s="71" t="n">
        <f aca="false">SUM(B3:B18)</f>
        <v>12.6</v>
      </c>
      <c r="C21" s="66"/>
      <c r="G21" s="61"/>
      <c r="I21" s="63"/>
    </row>
    <row r="22" customFormat="false" ht="15.75" hidden="false" customHeight="false" outlineLevel="0" collapsed="false">
      <c r="A22" s="0" t="s">
        <v>2630</v>
      </c>
      <c r="B22" s="72" t="n">
        <f aca="false">B21/B23</f>
        <v>70</v>
      </c>
      <c r="C22" s="66"/>
      <c r="G22" s="61"/>
      <c r="I22" s="63"/>
    </row>
    <row r="23" customFormat="false" ht="15.75" hidden="false" customHeight="false" outlineLevel="0" collapsed="false">
      <c r="A23" s="0" t="s">
        <v>2631</v>
      </c>
      <c r="B23" s="0" t="n">
        <v>0.18</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355</v>
      </c>
      <c r="B1" s="50"/>
      <c r="C1" s="50"/>
      <c r="D1" s="50"/>
      <c r="E1" s="51" t="s">
        <v>2619</v>
      </c>
      <c r="F1" s="51"/>
      <c r="G1" s="52" t="s">
        <v>3045</v>
      </c>
    </row>
    <row r="2" customFormat="false" ht="24.75" hidden="false" customHeight="true" outlineLevel="0" collapsed="false">
      <c r="A2" s="50"/>
      <c r="B2" s="50"/>
      <c r="C2" s="50"/>
      <c r="D2" s="50"/>
      <c r="E2" s="53" t="s">
        <v>2636</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1767</v>
      </c>
      <c r="B4" s="57" t="n">
        <v>7.76</v>
      </c>
      <c r="C4" s="58" t="n">
        <f aca="false">B4/B$22*B$24</f>
        <v>12.1933179906357</v>
      </c>
      <c r="D4" s="57" t="s">
        <v>434</v>
      </c>
      <c r="E4" s="59" t="n">
        <f aca="false">IFERROR(INDEX(Correspondance!$D$2:$D$3000,MATCH(A4,Correspondance!$A$2:$A$3000,0)),0)</f>
        <v>3.2</v>
      </c>
      <c r="F4" s="60" t="n">
        <f aca="false">C4*E4</f>
        <v>39.0186175700341</v>
      </c>
      <c r="G4" s="61" t="s">
        <v>3046</v>
      </c>
    </row>
    <row r="5" customFormat="false" ht="15.75" hidden="false" customHeight="false" outlineLevel="0" collapsed="false">
      <c r="A5" s="57" t="s">
        <v>1828</v>
      </c>
      <c r="B5" s="57" t="n">
        <v>1.94</v>
      </c>
      <c r="C5" s="58" t="n">
        <f aca="false">B5/B$22*B$24</f>
        <v>3.04832949765892</v>
      </c>
      <c r="D5" s="57" t="s">
        <v>434</v>
      </c>
      <c r="E5" s="59" t="n">
        <f aca="false">IFERROR(INDEX(Correspondance!$D$2:$D$3000,MATCH(A5,Correspondance!$A$2:$A$3000,0)),0)</f>
        <v>2</v>
      </c>
      <c r="F5" s="60" t="n">
        <f aca="false">C5*E5</f>
        <v>6.09665899531783</v>
      </c>
      <c r="G5" s="61"/>
      <c r="I5" s="62"/>
    </row>
    <row r="6" customFormat="false" ht="15.75" hidden="false" customHeight="false" outlineLevel="0" collapsed="false">
      <c r="A6" s="57" t="s">
        <v>1695</v>
      </c>
      <c r="B6" s="57" t="n">
        <v>1.94</v>
      </c>
      <c r="C6" s="58" t="n">
        <f aca="false">B6/B$22*B$24</f>
        <v>3.04832949765892</v>
      </c>
      <c r="D6" s="57" t="s">
        <v>682</v>
      </c>
      <c r="E6" s="59" t="n">
        <f aca="false">IFERROR(INDEX(Correspondance!$D$2:$D$3000,MATCH(A6,Correspondance!$A$2:$A$3000,0)),0)</f>
        <v>2.5</v>
      </c>
      <c r="F6" s="60" t="n">
        <f aca="false">C6*E6</f>
        <v>7.62082374414729</v>
      </c>
      <c r="G6" s="61"/>
      <c r="I6" s="63"/>
    </row>
    <row r="7" customFormat="false" ht="15.75" hidden="false" customHeight="false" outlineLevel="0" collapsed="false">
      <c r="A7" s="57" t="s">
        <v>1491</v>
      </c>
      <c r="B7" s="57" t="n">
        <v>0.388</v>
      </c>
      <c r="C7" s="58" t="n">
        <f aca="false">B7/B$22*B$24</f>
        <v>0.609665899531783</v>
      </c>
      <c r="D7" s="57" t="s">
        <v>434</v>
      </c>
      <c r="E7" s="59" t="n">
        <f aca="false">IFERROR(INDEX(Correspondance!$D$2:$D$3000,MATCH(A7,Correspondance!$A$2:$A$3000,0)),0)</f>
        <v>9</v>
      </c>
      <c r="F7" s="60" t="n">
        <f aca="false">C7*E7</f>
        <v>5.48699309578605</v>
      </c>
      <c r="G7" s="61"/>
      <c r="I7" s="63"/>
    </row>
    <row r="8" customFormat="false" ht="15.75" hidden="false" customHeight="false" outlineLevel="0" collapsed="false">
      <c r="A8" s="57" t="s">
        <v>1576</v>
      </c>
      <c r="B8" s="57" t="n">
        <v>0.485</v>
      </c>
      <c r="C8" s="58" t="n">
        <f aca="false">B8/B$22*B$24</f>
        <v>0.762082374414729</v>
      </c>
      <c r="D8" s="57" t="s">
        <v>434</v>
      </c>
      <c r="E8" s="59" t="n">
        <f aca="false">IFERROR(INDEX(Correspondance!$D$2:$D$3000,MATCH(A8,Correspondance!$A$2:$A$3000,0)),0)</f>
        <v>5.5</v>
      </c>
      <c r="F8" s="60" t="n">
        <f aca="false">C8*E8</f>
        <v>4.19145305928101</v>
      </c>
      <c r="G8" s="61"/>
      <c r="I8" s="63"/>
    </row>
    <row r="9" customFormat="false" ht="15.75" hidden="false" customHeight="false" outlineLevel="0" collapsed="false">
      <c r="A9" s="57" t="s">
        <v>1919</v>
      </c>
      <c r="B9" s="57" t="n">
        <v>0.078</v>
      </c>
      <c r="C9" s="58" t="n">
        <f aca="false">B9/B$22*B$24</f>
        <v>0.122561701452266</v>
      </c>
      <c r="D9" s="57" t="s">
        <v>434</v>
      </c>
      <c r="E9" s="59" t="n">
        <f aca="false">IFERROR(INDEX(Correspondance!$D$2:$D$3000,MATCH(A9,Correspondance!$A$2:$A$3000,0)),0)</f>
        <v>2</v>
      </c>
      <c r="F9" s="60" t="n">
        <f aca="false">C9*E9</f>
        <v>0.245123402904531</v>
      </c>
      <c r="G9" s="61"/>
      <c r="I9" s="63"/>
    </row>
    <row r="10" customFormat="false" ht="15.75" hidden="false" customHeight="false" outlineLevel="0" collapsed="false">
      <c r="A10" s="57" t="s">
        <v>1592</v>
      </c>
      <c r="B10" s="57" t="n">
        <v>0.01</v>
      </c>
      <c r="C10" s="58" t="n">
        <f aca="false">B10/B$22*B$24</f>
        <v>0.0157130386477264</v>
      </c>
      <c r="D10" s="57" t="s">
        <v>434</v>
      </c>
      <c r="E10" s="59" t="n">
        <f aca="false">IFERROR(INDEX(Correspondance!$D$2:$D$3000,MATCH(A10,Correspondance!$A$2:$A$3000,0)),0)</f>
        <v>13</v>
      </c>
      <c r="F10" s="60" t="n">
        <f aca="false">C10*E10</f>
        <v>0.204269502420443</v>
      </c>
      <c r="G10" s="61"/>
      <c r="I10" s="63"/>
    </row>
    <row r="11" customFormat="false" ht="15.75" hidden="false" customHeight="false" outlineLevel="0" collapsed="false">
      <c r="A11" s="57" t="s">
        <v>1814</v>
      </c>
      <c r="B11" s="57"/>
      <c r="C11" s="58" t="n">
        <f aca="false">B11/B$22*B$24</f>
        <v>0</v>
      </c>
      <c r="D11" s="57" t="s">
        <v>434</v>
      </c>
      <c r="E11" s="59" t="n">
        <f aca="false">IFERROR(INDEX(Correspondance!$D$2:$D$3000,MATCH(A11,Correspondance!$A$2:$A$3000,0)),0)</f>
        <v>18</v>
      </c>
      <c r="F11" s="60" t="n">
        <f aca="false">C11*E11</f>
        <v>0</v>
      </c>
      <c r="G11" s="61"/>
      <c r="I11" s="63"/>
    </row>
    <row r="12" customFormat="false" ht="18.75" hidden="false" customHeight="true" outlineLevel="0" collapsed="false">
      <c r="A12" s="57" t="s">
        <v>1732</v>
      </c>
      <c r="B12" s="64"/>
      <c r="C12" s="58" t="n">
        <f aca="false">B12/B$22*B$24</f>
        <v>0</v>
      </c>
      <c r="D12" s="57" t="s">
        <v>434</v>
      </c>
      <c r="E12" s="59" t="n">
        <f aca="false">IFERROR(INDEX(Correspondance!$D$2:$D$3000,MATCH(A12,Correspondance!$A$2:$A$3000,0)),0)</f>
        <v>30</v>
      </c>
      <c r="F12" s="60" t="n">
        <f aca="false">C12*E12</f>
        <v>0</v>
      </c>
      <c r="G12" s="61"/>
      <c r="I12" s="63"/>
    </row>
    <row r="13" customFormat="false" ht="18.75" hidden="false" customHeight="true" outlineLevel="0" collapsed="false">
      <c r="A13" s="57"/>
      <c r="B13" s="64"/>
      <c r="C13" s="58" t="n">
        <f aca="false">B13/B$22*B$24</f>
        <v>0</v>
      </c>
      <c r="D13" s="57"/>
      <c r="E13" s="65" t="n">
        <f aca="false">IFERROR(INDEX(Correspondance!$D$2:$D$3000,MATCH(A13,Correspondance!$A$2:$A$3000,0)),0)</f>
        <v>0</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62.8639393698913</v>
      </c>
      <c r="G19" s="61"/>
      <c r="I19" s="63"/>
    </row>
    <row r="20" customFormat="false" ht="18.75" hidden="false" customHeight="true" outlineLevel="0" collapsed="false">
      <c r="A20" s="68" t="s">
        <v>2628</v>
      </c>
      <c r="B20" s="69" t="n">
        <f aca="false">F19/B24</f>
        <v>0.571490357908103</v>
      </c>
      <c r="C20" s="70"/>
      <c r="G20" s="61"/>
      <c r="I20" s="63"/>
    </row>
    <row r="21" customFormat="false" ht="15.75" hidden="false" customHeight="false" outlineLevel="0" collapsed="false">
      <c r="A21" s="71" t="s">
        <v>2629</v>
      </c>
      <c r="B21" s="71" t="n">
        <f aca="false">SUM(B3:B18)</f>
        <v>12.601</v>
      </c>
      <c r="C21" s="66"/>
      <c r="G21" s="61"/>
      <c r="I21" s="63"/>
    </row>
    <row r="22" customFormat="false" ht="15.75" hidden="false" customHeight="false" outlineLevel="0" collapsed="false">
      <c r="A22" s="0" t="s">
        <v>2630</v>
      </c>
      <c r="B22" s="72" t="n">
        <f aca="false">B21/B23</f>
        <v>70.0055555555556</v>
      </c>
      <c r="C22" s="66"/>
      <c r="G22" s="61"/>
      <c r="I22" s="63"/>
    </row>
    <row r="23" customFormat="false" ht="15.75" hidden="false" customHeight="false" outlineLevel="0" collapsed="false">
      <c r="A23" s="0" t="s">
        <v>2631</v>
      </c>
      <c r="B23" s="0" t="n">
        <v>0.18</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356</v>
      </c>
      <c r="B1" s="50"/>
      <c r="C1" s="50"/>
      <c r="D1" s="50"/>
      <c r="E1" s="51" t="s">
        <v>2619</v>
      </c>
      <c r="F1" s="51"/>
      <c r="G1" s="52" t="s">
        <v>3047</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929</v>
      </c>
      <c r="B4" s="57" t="n">
        <v>8.74</v>
      </c>
      <c r="C4" s="58" t="n">
        <f aca="false">B4/B$22*B$24</f>
        <v>13.738210917405</v>
      </c>
      <c r="D4" s="57" t="s">
        <v>434</v>
      </c>
      <c r="E4" s="59" t="n">
        <f aca="false">IFERROR(INDEX(Correspondance!$D$2:$D$3000,MATCH(A4,Correspondance!$A$2:$A$3000,0)),0)</f>
        <v>2.6</v>
      </c>
      <c r="F4" s="60" t="n">
        <f aca="false">C4*E4</f>
        <v>35.7193483852529</v>
      </c>
      <c r="G4" s="61" t="s">
        <v>3048</v>
      </c>
    </row>
    <row r="5" customFormat="false" ht="15.75" hidden="false" customHeight="false" outlineLevel="0" collapsed="false">
      <c r="A5" s="57" t="s">
        <v>1701</v>
      </c>
      <c r="B5" s="57" t="n">
        <v>0.874</v>
      </c>
      <c r="C5" s="58" t="n">
        <f aca="false">B5/B$22*B$24</f>
        <v>1.3738210917405</v>
      </c>
      <c r="D5" s="57" t="s">
        <v>434</v>
      </c>
      <c r="E5" s="59" t="n">
        <f aca="false">IFERROR(INDEX(Correspondance!$D$2:$D$3000,MATCH(A5,Correspondance!$A$2:$A$3000,0)),0)</f>
        <v>8</v>
      </c>
      <c r="F5" s="60" t="n">
        <f aca="false">C5*E5</f>
        <v>10.990568733924</v>
      </c>
      <c r="G5" s="61"/>
      <c r="I5" s="62"/>
    </row>
    <row r="6" customFormat="false" ht="15.75" hidden="false" customHeight="false" outlineLevel="0" collapsed="false">
      <c r="A6" s="57" t="s">
        <v>1001</v>
      </c>
      <c r="B6" s="57" t="n">
        <v>0.437</v>
      </c>
      <c r="C6" s="58" t="n">
        <f aca="false">B6/B$22*B$24</f>
        <v>0.686910545870249</v>
      </c>
      <c r="D6" s="57" t="s">
        <v>434</v>
      </c>
      <c r="E6" s="59" t="n">
        <f aca="false">IFERROR(INDEX(Correspondance!$D$2:$D$3000,MATCH(A6,Correspondance!$A$2:$A$3000,0)),0)</f>
        <v>1.8</v>
      </c>
      <c r="F6" s="60" t="n">
        <f aca="false">C6*E6</f>
        <v>1.23643898256645</v>
      </c>
      <c r="G6" s="61"/>
      <c r="I6" s="63"/>
    </row>
    <row r="7" customFormat="false" ht="15.75" hidden="false" customHeight="false" outlineLevel="0" collapsed="false">
      <c r="A7" s="57" t="s">
        <v>1491</v>
      </c>
      <c r="B7" s="57" t="n">
        <v>0.35</v>
      </c>
      <c r="C7" s="58" t="n">
        <f aca="false">B7/B$22*B$24</f>
        <v>0.550157187767934</v>
      </c>
      <c r="D7" s="57" t="s">
        <v>434</v>
      </c>
      <c r="E7" s="59" t="n">
        <f aca="false">IFERROR(INDEX(Correspondance!$D$2:$D$3000,MATCH(A7,Correspondance!$A$2:$A$3000,0)),0)</f>
        <v>9</v>
      </c>
      <c r="F7" s="60" t="n">
        <f aca="false">C7*E7</f>
        <v>4.9514146899114</v>
      </c>
      <c r="G7" s="61"/>
      <c r="I7" s="63"/>
    </row>
    <row r="8" customFormat="false" ht="15.75" hidden="false" customHeight="false" outlineLevel="0" collapsed="false">
      <c r="A8" s="57" t="s">
        <v>1919</v>
      </c>
      <c r="B8" s="57" t="n">
        <v>0.052</v>
      </c>
      <c r="C8" s="58" t="n">
        <f aca="false">B8/B$22*B$24</f>
        <v>0.0817376393255216</v>
      </c>
      <c r="D8" s="57" t="s">
        <v>434</v>
      </c>
      <c r="E8" s="59" t="n">
        <f aca="false">IFERROR(INDEX(Correspondance!$D$2:$D$3000,MATCH(A8,Correspondance!$A$2:$A$3000,0)),0)</f>
        <v>2</v>
      </c>
      <c r="F8" s="60" t="n">
        <f aca="false">C8*E8</f>
        <v>0.163475278651043</v>
      </c>
      <c r="G8" s="61"/>
      <c r="I8" s="63"/>
    </row>
    <row r="9" customFormat="false" ht="15.75" hidden="false" customHeight="false" outlineLevel="0" collapsed="false">
      <c r="A9" s="57" t="s">
        <v>1007</v>
      </c>
      <c r="B9" s="57" t="n">
        <v>0.044</v>
      </c>
      <c r="C9" s="58" t="n">
        <f aca="false">B9/B$22*B$24</f>
        <v>0.0691626178908259</v>
      </c>
      <c r="D9" s="57" t="s">
        <v>434</v>
      </c>
      <c r="E9" s="59" t="n">
        <f aca="false">IFERROR(INDEX(Correspondance!$D$2:$D$3000,MATCH(A9,Correspondance!$A$2:$A$3000,0)),0)</f>
        <v>8</v>
      </c>
      <c r="F9" s="60" t="n">
        <f aca="false">C9*E9</f>
        <v>0.553300943126608</v>
      </c>
      <c r="G9" s="61"/>
      <c r="I9" s="63"/>
    </row>
    <row r="10" customFormat="false" ht="15.75" hidden="false" customHeight="false" outlineLevel="0" collapsed="false">
      <c r="A10" s="57" t="s">
        <v>1814</v>
      </c>
      <c r="B10" s="57"/>
      <c r="C10" s="58" t="n">
        <f aca="false">B10/B$22*B$24</f>
        <v>0</v>
      </c>
      <c r="D10" s="57" t="s">
        <v>434</v>
      </c>
      <c r="E10" s="59" t="n">
        <f aca="false">IFERROR(INDEX(Correspondance!$D$2:$D$3000,MATCH(A10,Correspondance!$A$2:$A$3000,0)),0)</f>
        <v>18</v>
      </c>
      <c r="F10" s="60" t="n">
        <f aca="false">C10*E10</f>
        <v>0</v>
      </c>
      <c r="G10" s="61"/>
      <c r="I10" s="63"/>
    </row>
    <row r="11" customFormat="false" ht="15.75" hidden="false" customHeight="false" outlineLevel="0" collapsed="false">
      <c r="A11" s="57" t="s">
        <v>1732</v>
      </c>
      <c r="B11" s="57"/>
      <c r="C11" s="58" t="n">
        <f aca="false">B11/B$22*B$24</f>
        <v>0</v>
      </c>
      <c r="D11" s="57" t="s">
        <v>434</v>
      </c>
      <c r="E11" s="59" t="n">
        <f aca="false">IFERROR(INDEX(Correspondance!$D$2:$D$3000,MATCH(A11,Correspondance!$A$2:$A$3000,0)),0)</f>
        <v>30</v>
      </c>
      <c r="F11" s="60" t="n">
        <f aca="false">C11*E11</f>
        <v>0</v>
      </c>
      <c r="G11" s="61"/>
      <c r="I11" s="63"/>
    </row>
    <row r="12" customFormat="false" ht="18.75" hidden="false" customHeight="true" outlineLevel="0" collapsed="false">
      <c r="A12" s="57"/>
      <c r="B12" s="64"/>
      <c r="C12" s="58" t="n">
        <f aca="false">B12/B$22*B$24</f>
        <v>0</v>
      </c>
      <c r="D12" s="57"/>
      <c r="E12" s="65" t="n">
        <f aca="false">IFERROR(INDEX(Correspondance!$D$2:$D$3000,MATCH(A12,Correspondance!$A$2:$A$3000,0)),0)</f>
        <v>0</v>
      </c>
      <c r="F12" s="60" t="n">
        <f aca="false">C12*E12</f>
        <v>0</v>
      </c>
      <c r="G12" s="61"/>
      <c r="I12" s="63"/>
    </row>
    <row r="13" customFormat="false" ht="18.75" hidden="false" customHeight="true" outlineLevel="0" collapsed="false">
      <c r="A13" s="57"/>
      <c r="B13" s="64"/>
      <c r="C13" s="58" t="n">
        <f aca="false">B13/B$22*B$24</f>
        <v>0</v>
      </c>
      <c r="D13" s="57"/>
      <c r="E13" s="65" t="n">
        <f aca="false">IFERROR(INDEX(Correspondance!$D$2:$D$3000,MATCH(A13,Correspondance!$A$2:$A$3000,0)),0)</f>
        <v>0</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53.6145470134324</v>
      </c>
      <c r="G19" s="61"/>
      <c r="I19" s="63"/>
    </row>
    <row r="20" customFormat="false" ht="18.75" hidden="false" customHeight="true" outlineLevel="0" collapsed="false">
      <c r="A20" s="68" t="s">
        <v>2628</v>
      </c>
      <c r="B20" s="69" t="n">
        <f aca="false">F19/B24</f>
        <v>0.487404972849386</v>
      </c>
      <c r="C20" s="70"/>
      <c r="G20" s="61"/>
      <c r="I20" s="63"/>
    </row>
    <row r="21" customFormat="false" ht="15.75" hidden="false" customHeight="false" outlineLevel="0" collapsed="false">
      <c r="A21" s="71" t="s">
        <v>2629</v>
      </c>
      <c r="B21" s="71" t="n">
        <f aca="false">SUM(B3:B18)</f>
        <v>10.497</v>
      </c>
      <c r="C21" s="66"/>
      <c r="G21" s="61"/>
      <c r="I21" s="63"/>
    </row>
    <row r="22" customFormat="false" ht="15.75" hidden="false" customHeight="false" outlineLevel="0" collapsed="false">
      <c r="A22" s="0" t="s">
        <v>2630</v>
      </c>
      <c r="B22" s="72" t="n">
        <f aca="false">B21/B23</f>
        <v>69.98</v>
      </c>
      <c r="C22" s="66"/>
      <c r="G22" s="61"/>
      <c r="I22" s="63"/>
    </row>
    <row r="23" customFormat="false" ht="15.75" hidden="false" customHeight="false" outlineLevel="0" collapsed="false">
      <c r="A23" s="0" t="s">
        <v>2631</v>
      </c>
      <c r="B23" s="0" t="n">
        <v>0.15</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358</v>
      </c>
      <c r="B1" s="50"/>
      <c r="C1" s="50"/>
      <c r="D1" s="50"/>
      <c r="E1" s="51" t="s">
        <v>2619</v>
      </c>
      <c r="F1" s="51"/>
      <c r="G1" s="52" t="s">
        <v>3049</v>
      </c>
    </row>
    <row r="2" customFormat="false" ht="24.75" hidden="false" customHeight="true" outlineLevel="0" collapsed="false">
      <c r="A2" s="50"/>
      <c r="B2" s="50"/>
      <c r="C2" s="50"/>
      <c r="D2" s="50"/>
      <c r="E2" s="53" t="s">
        <v>2636</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1792</v>
      </c>
      <c r="B4" s="57" t="n">
        <v>9.45</v>
      </c>
      <c r="C4" s="58" t="n">
        <f aca="false">B4/B$22*B$24</f>
        <v>14.8523575170662</v>
      </c>
      <c r="D4" s="57" t="s">
        <v>434</v>
      </c>
      <c r="E4" s="59" t="n">
        <f aca="false">IFERROR(INDEX(Correspondance!$D$2:$D$3000,MATCH(A4,Correspondance!$A$2:$A$3000,0)),0)</f>
        <v>2.6</v>
      </c>
      <c r="F4" s="60" t="n">
        <f aca="false">C4*E4</f>
        <v>38.6161295443721</v>
      </c>
      <c r="G4" s="61" t="s">
        <v>3050</v>
      </c>
    </row>
    <row r="5" customFormat="false" ht="15.75" hidden="false" customHeight="false" outlineLevel="0" collapsed="false">
      <c r="A5" s="57" t="s">
        <v>1001</v>
      </c>
      <c r="B5" s="57" t="n">
        <v>0.453</v>
      </c>
      <c r="C5" s="58" t="n">
        <f aca="false">B5/B$22*B$24</f>
        <v>0.711970153992697</v>
      </c>
      <c r="D5" s="57" t="s">
        <v>434</v>
      </c>
      <c r="E5" s="59" t="n">
        <f aca="false">IFERROR(INDEX(Correspondance!$D$2:$D$3000,MATCH(A5,Correspondance!$A$2:$A$3000,0)),0)</f>
        <v>1.8</v>
      </c>
      <c r="F5" s="60" t="n">
        <f aca="false">C5*E5</f>
        <v>1.28154627718686</v>
      </c>
      <c r="G5" s="61"/>
      <c r="I5" s="62"/>
    </row>
    <row r="6" customFormat="false" ht="15.75" hidden="false" customHeight="false" outlineLevel="0" collapsed="false">
      <c r="A6" s="57" t="s">
        <v>1491</v>
      </c>
      <c r="B6" s="57" t="n">
        <v>0.402</v>
      </c>
      <c r="C6" s="58" t="n">
        <f aca="false">B6/B$22*B$24</f>
        <v>0.631814573741864</v>
      </c>
      <c r="D6" s="57" t="s">
        <v>434</v>
      </c>
      <c r="E6" s="59" t="n">
        <f aca="false">IFERROR(INDEX(Correspondance!$D$2:$D$3000,MATCH(A6,Correspondance!$A$2:$A$3000,0)),0)</f>
        <v>9</v>
      </c>
      <c r="F6" s="60" t="n">
        <f aca="false">C6*E6</f>
        <v>5.68633116367678</v>
      </c>
      <c r="G6" s="61"/>
      <c r="I6" s="63"/>
    </row>
    <row r="7" customFormat="false" ht="15.75" hidden="false" customHeight="false" outlineLevel="0" collapsed="false">
      <c r="A7" s="57" t="s">
        <v>1973</v>
      </c>
      <c r="B7" s="57" t="n">
        <v>0.302</v>
      </c>
      <c r="C7" s="58" t="n">
        <f aca="false">B7/B$22*B$24</f>
        <v>0.474646769328465</v>
      </c>
      <c r="D7" s="57" t="s">
        <v>682</v>
      </c>
      <c r="E7" s="59" t="n">
        <f aca="false">IFERROR(INDEX(Correspondance!$D$2:$D$3000,MATCH(A7,Correspondance!$A$2:$A$3000,0)),0)</f>
        <v>2</v>
      </c>
      <c r="F7" s="60" t="n">
        <f aca="false">C7*E7</f>
        <v>0.94929353865693</v>
      </c>
      <c r="G7" s="61"/>
      <c r="I7" s="63"/>
    </row>
    <row r="8" customFormat="false" ht="15.75" hidden="false" customHeight="false" outlineLevel="0" collapsed="false">
      <c r="A8" s="57" t="s">
        <v>1576</v>
      </c>
      <c r="B8" s="57" t="n">
        <v>1.81</v>
      </c>
      <c r="C8" s="58" t="n">
        <f aca="false">B8/B$22*B$24</f>
        <v>2.84473725988252</v>
      </c>
      <c r="D8" s="57" t="s">
        <v>682</v>
      </c>
      <c r="E8" s="59" t="n">
        <f aca="false">IFERROR(INDEX(Correspondance!$D$2:$D$3000,MATCH(A8,Correspondance!$A$2:$A$3000,0)),0)</f>
        <v>5.5</v>
      </c>
      <c r="F8" s="60" t="n">
        <f aca="false">C8*E8</f>
        <v>15.6460549293539</v>
      </c>
      <c r="G8" s="61"/>
      <c r="I8" s="63"/>
    </row>
    <row r="9" customFormat="false" ht="15.75" hidden="false" customHeight="false" outlineLevel="0" collapsed="false">
      <c r="A9" s="57" t="s">
        <v>1084</v>
      </c>
      <c r="B9" s="57" t="n">
        <v>0.101</v>
      </c>
      <c r="C9" s="58" t="n">
        <f aca="false">B9/B$22*B$24</f>
        <v>0.158739482457533</v>
      </c>
      <c r="D9" s="57" t="s">
        <v>434</v>
      </c>
      <c r="E9" s="59" t="n">
        <f aca="false">IFERROR(INDEX(Correspondance!$D$2:$D$3000,MATCH(A9,Correspondance!$A$2:$A$3000,0)),0)</f>
        <v>2.2</v>
      </c>
      <c r="F9" s="60" t="n">
        <f aca="false">C9*E9</f>
        <v>0.349226861406573</v>
      </c>
      <c r="G9" s="61"/>
      <c r="I9" s="63"/>
    </row>
    <row r="10" customFormat="false" ht="15.75" hidden="false" customHeight="false" outlineLevel="0" collapsed="false">
      <c r="A10" s="57" t="s">
        <v>1919</v>
      </c>
      <c r="B10" s="57" t="n">
        <v>0.08</v>
      </c>
      <c r="C10" s="58" t="n">
        <f aca="false">B10/B$22*B$24</f>
        <v>0.125734243530719</v>
      </c>
      <c r="D10" s="57" t="s">
        <v>434</v>
      </c>
      <c r="E10" s="59" t="n">
        <f aca="false">IFERROR(INDEX(Correspondance!$D$2:$D$3000,MATCH(A10,Correspondance!$A$2:$A$3000,0)),0)</f>
        <v>2</v>
      </c>
      <c r="F10" s="60" t="n">
        <f aca="false">C10*E10</f>
        <v>0.251468487061438</v>
      </c>
      <c r="G10" s="61"/>
      <c r="I10" s="63"/>
    </row>
    <row r="11" customFormat="false" ht="15.75" hidden="false" customHeight="false" outlineLevel="0" collapsed="false">
      <c r="A11" s="57" t="s">
        <v>1811</v>
      </c>
      <c r="B11" s="57"/>
      <c r="C11" s="58" t="n">
        <f aca="false">B11/B$22*B$24</f>
        <v>0</v>
      </c>
      <c r="D11" s="57" t="s">
        <v>434</v>
      </c>
      <c r="E11" s="59" t="n">
        <f aca="false">IFERROR(INDEX(Correspondance!$D$2:$D$3000,MATCH(A11,Correspondance!$A$2:$A$3000,0)),0)</f>
        <v>22</v>
      </c>
      <c r="F11" s="60" t="n">
        <f aca="false">C11*E11</f>
        <v>0</v>
      </c>
      <c r="G11" s="61"/>
      <c r="I11" s="63"/>
    </row>
    <row r="12" customFormat="false" ht="18.75" hidden="false" customHeight="true" outlineLevel="0" collapsed="false">
      <c r="A12" s="57" t="s">
        <v>1732</v>
      </c>
      <c r="B12" s="64"/>
      <c r="C12" s="58" t="n">
        <f aca="false">B12/B$22*B$24</f>
        <v>0</v>
      </c>
      <c r="D12" s="57" t="s">
        <v>434</v>
      </c>
      <c r="E12" s="59" t="n">
        <f aca="false">IFERROR(INDEX(Correspondance!$D$2:$D$3000,MATCH(A12,Correspondance!$A$2:$A$3000,0)),0)</f>
        <v>30</v>
      </c>
      <c r="F12" s="60" t="n">
        <f aca="false">C12*E12</f>
        <v>0</v>
      </c>
      <c r="G12" s="61"/>
      <c r="I12" s="63"/>
    </row>
    <row r="13" customFormat="false" ht="18.75" hidden="false" customHeight="true" outlineLevel="0" collapsed="false">
      <c r="A13" s="57"/>
      <c r="B13" s="64"/>
      <c r="C13" s="58" t="n">
        <f aca="false">B13/B$22*B$24</f>
        <v>0</v>
      </c>
      <c r="D13" s="57"/>
      <c r="E13" s="65" t="n">
        <f aca="false">IFERROR(INDEX(Correspondance!$D$2:$D$3000,MATCH(A13,Correspondance!$A$2:$A$3000,0)),0)</f>
        <v>0</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62.7800508017146</v>
      </c>
      <c r="G19" s="61"/>
      <c r="I19" s="63"/>
    </row>
    <row r="20" customFormat="false" ht="18.75" hidden="false" customHeight="true" outlineLevel="0" collapsed="false">
      <c r="A20" s="68" t="s">
        <v>2628</v>
      </c>
      <c r="B20" s="69" t="n">
        <f aca="false">F19/B24</f>
        <v>0.570727734561042</v>
      </c>
      <c r="C20" s="70"/>
      <c r="G20" s="61"/>
      <c r="I20" s="63"/>
    </row>
    <row r="21" customFormat="false" ht="15.75" hidden="false" customHeight="false" outlineLevel="0" collapsed="false">
      <c r="A21" s="71" t="s">
        <v>2629</v>
      </c>
      <c r="B21" s="71" t="n">
        <f aca="false">SUM(B3:B18)</f>
        <v>12.598</v>
      </c>
      <c r="C21" s="66"/>
      <c r="G21" s="61"/>
      <c r="I21" s="63"/>
    </row>
    <row r="22" customFormat="false" ht="15.75" hidden="false" customHeight="false" outlineLevel="0" collapsed="false">
      <c r="A22" s="0" t="s">
        <v>2630</v>
      </c>
      <c r="B22" s="72" t="n">
        <f aca="false">B21/B23</f>
        <v>69.9888888888889</v>
      </c>
      <c r="C22" s="66"/>
      <c r="G22" s="61"/>
      <c r="I22" s="63"/>
    </row>
    <row r="23" customFormat="false" ht="15.75" hidden="false" customHeight="false" outlineLevel="0" collapsed="false">
      <c r="A23" s="0" t="s">
        <v>2631</v>
      </c>
      <c r="B23" s="0" t="n">
        <v>0.18</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359</v>
      </c>
      <c r="B1" s="50"/>
      <c r="C1" s="50"/>
      <c r="D1" s="50"/>
      <c r="E1" s="51" t="s">
        <v>2619</v>
      </c>
      <c r="F1" s="51"/>
      <c r="G1" s="52" t="s">
        <v>3051</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1993</v>
      </c>
      <c r="B4" s="57" t="n">
        <v>7.74</v>
      </c>
      <c r="C4" s="58" t="n">
        <f aca="false">B4/B$22*B$24</f>
        <v>12.166333238068</v>
      </c>
      <c r="D4" s="57" t="s">
        <v>434</v>
      </c>
      <c r="E4" s="59" t="n">
        <f aca="false">IFERROR(INDEX(Correspondance!$D$2:$D$3000,MATCH(A4,Correspondance!$A$2:$A$3000,0)),0)</f>
        <v>2.4</v>
      </c>
      <c r="F4" s="60" t="n">
        <f aca="false">C4*E4</f>
        <v>29.1991997713632</v>
      </c>
      <c r="G4" s="61" t="s">
        <v>3052</v>
      </c>
    </row>
    <row r="5" customFormat="false" ht="15.75" hidden="false" customHeight="false" outlineLevel="0" collapsed="false">
      <c r="A5" s="57" t="s">
        <v>1576</v>
      </c>
      <c r="B5" s="57" t="n">
        <v>1.55</v>
      </c>
      <c r="C5" s="58" t="n">
        <f aca="false">B5/B$22*B$24</f>
        <v>2.43641040297228</v>
      </c>
      <c r="D5" s="57" t="s">
        <v>434</v>
      </c>
      <c r="E5" s="59" t="n">
        <f aca="false">IFERROR(INDEX(Correspondance!$D$2:$D$3000,MATCH(A5,Correspondance!$A$2:$A$3000,0)),0)</f>
        <v>5.5</v>
      </c>
      <c r="F5" s="60" t="n">
        <f aca="false">C5*E5</f>
        <v>13.4002572163475</v>
      </c>
      <c r="G5" s="61"/>
      <c r="I5" s="62"/>
    </row>
    <row r="6" customFormat="false" ht="15.75" hidden="false" customHeight="false" outlineLevel="0" collapsed="false">
      <c r="A6" s="57" t="s">
        <v>1695</v>
      </c>
      <c r="B6" s="57" t="n">
        <v>0.774</v>
      </c>
      <c r="C6" s="58" t="n">
        <f aca="false">B6/B$22*B$24</f>
        <v>1.2166333238068</v>
      </c>
      <c r="D6" s="57" t="s">
        <v>682</v>
      </c>
      <c r="E6" s="59" t="n">
        <f aca="false">IFERROR(INDEX(Correspondance!$D$2:$D$3000,MATCH(A6,Correspondance!$A$2:$A$3000,0)),0)</f>
        <v>2.5</v>
      </c>
      <c r="F6" s="60" t="n">
        <f aca="false">C6*E6</f>
        <v>3.041583309517</v>
      </c>
      <c r="G6" s="61"/>
      <c r="I6" s="63"/>
    </row>
    <row r="7" customFormat="false" ht="15.75" hidden="false" customHeight="false" outlineLevel="0" collapsed="false">
      <c r="A7" s="57" t="s">
        <v>1491</v>
      </c>
      <c r="B7" s="57" t="n">
        <v>0.232</v>
      </c>
      <c r="C7" s="58" t="n">
        <f aca="false">B7/B$22*B$24</f>
        <v>0.364675621606173</v>
      </c>
      <c r="D7" s="57" t="s">
        <v>434</v>
      </c>
      <c r="E7" s="59" t="n">
        <f aca="false">IFERROR(INDEX(Correspondance!$D$2:$D$3000,MATCH(A7,Correspondance!$A$2:$A$3000,0)),0)</f>
        <v>9</v>
      </c>
      <c r="F7" s="60" t="n">
        <f aca="false">C7*E7</f>
        <v>3.28208059445556</v>
      </c>
      <c r="G7" s="61"/>
      <c r="I7" s="63"/>
    </row>
    <row r="8" customFormat="false" ht="15.75" hidden="false" customHeight="false" outlineLevel="0" collapsed="false">
      <c r="A8" s="57" t="s">
        <v>1616</v>
      </c>
      <c r="B8" s="57" t="n">
        <v>0.116</v>
      </c>
      <c r="C8" s="58" t="n">
        <f aca="false">B8/B$22*B$24</f>
        <v>0.182337810803087</v>
      </c>
      <c r="D8" s="57" t="s">
        <v>434</v>
      </c>
      <c r="E8" s="59" t="n">
        <f aca="false">IFERROR(INDEX(Correspondance!$D$2:$D$3000,MATCH(A8,Correspondance!$A$2:$A$3000,0)),0)</f>
        <v>0.85</v>
      </c>
      <c r="F8" s="60" t="n">
        <f aca="false">C8*E8</f>
        <v>0.154987139182624</v>
      </c>
      <c r="G8" s="61"/>
      <c r="I8" s="63"/>
    </row>
    <row r="9" customFormat="false" ht="15.75" hidden="false" customHeight="false" outlineLevel="0" collapsed="false">
      <c r="A9" s="57" t="s">
        <v>894</v>
      </c>
      <c r="B9" s="57" t="n">
        <v>0.023</v>
      </c>
      <c r="C9" s="58" t="n">
        <f aca="false">B9/B$22*B$24</f>
        <v>0.0361531866247499</v>
      </c>
      <c r="D9" s="57" t="s">
        <v>434</v>
      </c>
      <c r="E9" s="59" t="n">
        <f aca="false">IFERROR(INDEX(Correspondance!$D$2:$D$3000,MATCH(A9,Correspondance!$A$2:$A$3000,0)),0)</f>
        <v>5.5</v>
      </c>
      <c r="F9" s="60" t="n">
        <f aca="false">C9*E9</f>
        <v>0.198842526436125</v>
      </c>
      <c r="G9" s="61"/>
      <c r="I9" s="63"/>
    </row>
    <row r="10" customFormat="false" ht="15.75" hidden="false" customHeight="false" outlineLevel="0" collapsed="false">
      <c r="A10" s="57" t="s">
        <v>1919</v>
      </c>
      <c r="B10" s="57" t="n">
        <v>0.062</v>
      </c>
      <c r="C10" s="58" t="n">
        <f aca="false">B10/B$22*B$24</f>
        <v>0.0974564161188911</v>
      </c>
      <c r="D10" s="57" t="s">
        <v>434</v>
      </c>
      <c r="E10" s="59" t="n">
        <f aca="false">IFERROR(INDEX(Correspondance!$D$2:$D$3000,MATCH(A10,Correspondance!$A$2:$A$3000,0)),0)</f>
        <v>2</v>
      </c>
      <c r="F10" s="60" t="n">
        <f aca="false">C10*E10</f>
        <v>0.194912832237782</v>
      </c>
      <c r="G10" s="61"/>
      <c r="I10" s="63"/>
    </row>
    <row r="11" customFormat="false" ht="15.75" hidden="false" customHeight="false" outlineLevel="0" collapsed="false">
      <c r="A11" s="57" t="s">
        <v>1814</v>
      </c>
      <c r="B11" s="57"/>
      <c r="C11" s="58" t="n">
        <f aca="false">B11/B$22*B$24</f>
        <v>0</v>
      </c>
      <c r="D11" s="57" t="s">
        <v>434</v>
      </c>
      <c r="E11" s="59" t="n">
        <f aca="false">IFERROR(INDEX(Correspondance!$D$2:$D$3000,MATCH(A11,Correspondance!$A$2:$A$3000,0)),0)</f>
        <v>18</v>
      </c>
      <c r="F11" s="60" t="n">
        <f aca="false">C11*E11</f>
        <v>0</v>
      </c>
      <c r="G11" s="61"/>
      <c r="I11" s="63"/>
    </row>
    <row r="12" customFormat="false" ht="18.75" hidden="false" customHeight="true" outlineLevel="0" collapsed="false">
      <c r="A12" s="57" t="s">
        <v>1732</v>
      </c>
      <c r="B12" s="64"/>
      <c r="C12" s="58" t="n">
        <f aca="false">B12/B$22*B$24</f>
        <v>0</v>
      </c>
      <c r="D12" s="57" t="s">
        <v>434</v>
      </c>
      <c r="E12" s="59" t="n">
        <f aca="false">IFERROR(INDEX(Correspondance!$D$2:$D$3000,MATCH(A12,Correspondance!$A$2:$A$3000,0)),0)</f>
        <v>30</v>
      </c>
      <c r="F12" s="60" t="n">
        <f aca="false">C12*E12</f>
        <v>0</v>
      </c>
      <c r="G12" s="61"/>
      <c r="I12" s="63"/>
    </row>
    <row r="13" customFormat="false" ht="18.75" hidden="false" customHeight="true" outlineLevel="0" collapsed="false">
      <c r="A13" s="57"/>
      <c r="B13" s="64"/>
      <c r="C13" s="58" t="n">
        <f aca="false">B13/B$22*B$24</f>
        <v>0</v>
      </c>
      <c r="D13" s="57"/>
      <c r="E13" s="65" t="n">
        <f aca="false">IFERROR(INDEX(Correspondance!$D$2:$D$3000,MATCH(A13,Correspondance!$A$2:$A$3000,0)),0)</f>
        <v>0</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49.4718633895399</v>
      </c>
      <c r="G19" s="61"/>
      <c r="I19" s="63"/>
    </row>
    <row r="20" customFormat="false" ht="18.75" hidden="false" customHeight="true" outlineLevel="0" collapsed="false">
      <c r="A20" s="68" t="s">
        <v>2628</v>
      </c>
      <c r="B20" s="69" t="n">
        <f aca="false">F19/B24</f>
        <v>0.449744212632181</v>
      </c>
      <c r="C20" s="70"/>
      <c r="G20" s="61"/>
      <c r="I20" s="63"/>
    </row>
    <row r="21" customFormat="false" ht="15.75" hidden="false" customHeight="false" outlineLevel="0" collapsed="false">
      <c r="A21" s="71" t="s">
        <v>2629</v>
      </c>
      <c r="B21" s="71" t="n">
        <f aca="false">SUM(B3:B18)</f>
        <v>10.497</v>
      </c>
      <c r="C21" s="66"/>
      <c r="G21" s="61"/>
      <c r="I21" s="63"/>
    </row>
    <row r="22" customFormat="false" ht="15.75" hidden="false" customHeight="false" outlineLevel="0" collapsed="false">
      <c r="A22" s="0" t="s">
        <v>2630</v>
      </c>
      <c r="B22" s="72" t="n">
        <f aca="false">B21/B23</f>
        <v>69.98</v>
      </c>
      <c r="C22" s="66"/>
      <c r="G22" s="61"/>
      <c r="I22" s="63"/>
    </row>
    <row r="23" customFormat="false" ht="15.75" hidden="false" customHeight="false" outlineLevel="0" collapsed="false">
      <c r="A23" s="0" t="s">
        <v>2631</v>
      </c>
      <c r="B23" s="0" t="n">
        <v>0.15</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361</v>
      </c>
      <c r="B1" s="50"/>
      <c r="C1" s="50"/>
      <c r="D1" s="50"/>
      <c r="E1" s="51" t="s">
        <v>2619</v>
      </c>
      <c r="F1" s="51"/>
      <c r="G1" s="52" t="s">
        <v>3053</v>
      </c>
    </row>
    <row r="2" customFormat="false" ht="24.75" hidden="false" customHeight="true" outlineLevel="0" collapsed="false">
      <c r="A2" s="50"/>
      <c r="B2" s="50"/>
      <c r="C2" s="50"/>
      <c r="D2" s="50"/>
      <c r="E2" s="53" t="s">
        <v>2636</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1596</v>
      </c>
      <c r="B4" s="57" t="n">
        <v>9.11</v>
      </c>
      <c r="C4" s="58" t="n">
        <f aca="false">B4/B$22*B$24</f>
        <v>14.3191236008573</v>
      </c>
      <c r="D4" s="57" t="s">
        <v>434</v>
      </c>
      <c r="E4" s="59" t="n">
        <f aca="false">IFERROR(INDEX(Correspondance!$D$2:$D$3000,MATCH(A4,Correspondance!$A$2:$A$3000,0)),0)</f>
        <v>3</v>
      </c>
      <c r="F4" s="60" t="n">
        <f aca="false">C4*E4</f>
        <v>42.957370802572</v>
      </c>
      <c r="G4" s="61" t="s">
        <v>3054</v>
      </c>
    </row>
    <row r="5" customFormat="false" ht="15.75" hidden="false" customHeight="false" outlineLevel="0" collapsed="false">
      <c r="A5" s="57" t="s">
        <v>1291</v>
      </c>
      <c r="B5" s="57" t="n">
        <v>0.091</v>
      </c>
      <c r="C5" s="58" t="n">
        <f aca="false">B5/B$22*B$24</f>
        <v>0.143034055727554</v>
      </c>
      <c r="D5" s="57" t="s">
        <v>682</v>
      </c>
      <c r="E5" s="59" t="n">
        <f aca="false">IFERROR(INDEX(Correspondance!$D$2:$D$3000,MATCH(A5,Correspondance!$A$2:$A$3000,0)),0)</f>
        <v>2.5</v>
      </c>
      <c r="F5" s="60" t="n">
        <f aca="false">C5*E5</f>
        <v>0.357585139318885</v>
      </c>
      <c r="G5" s="61"/>
      <c r="I5" s="62"/>
    </row>
    <row r="6" customFormat="false" ht="15.75" hidden="false" customHeight="false" outlineLevel="0" collapsed="false">
      <c r="A6" s="57" t="s">
        <v>1056</v>
      </c>
      <c r="B6" s="57" t="n">
        <v>0.036</v>
      </c>
      <c r="C6" s="58" t="n">
        <f aca="false">B6/B$22*B$24</f>
        <v>0.0565849011669445</v>
      </c>
      <c r="D6" s="57" t="s">
        <v>434</v>
      </c>
      <c r="E6" s="59" t="n">
        <f aca="false">IFERROR(INDEX(Correspondance!$D$2:$D$3000,MATCH(A6,Correspondance!$A$2:$A$3000,0)),0)</f>
        <v>9</v>
      </c>
      <c r="F6" s="60" t="n">
        <f aca="false">C6*E6</f>
        <v>0.509264110502501</v>
      </c>
      <c r="G6" s="61"/>
      <c r="I6" s="63"/>
    </row>
    <row r="7" customFormat="false" ht="15.75" hidden="false" customHeight="false" outlineLevel="0" collapsed="false">
      <c r="A7" s="57" t="s">
        <v>1695</v>
      </c>
      <c r="B7" s="57" t="n">
        <v>1.82</v>
      </c>
      <c r="C7" s="58" t="n">
        <f aca="false">B7/B$22*B$24</f>
        <v>2.86068111455108</v>
      </c>
      <c r="D7" s="57" t="s">
        <v>682</v>
      </c>
      <c r="E7" s="59" t="n">
        <f aca="false">IFERROR(INDEX(Correspondance!$D$2:$D$3000,MATCH(A7,Correspondance!$A$2:$A$3000,0)),0)</f>
        <v>2.5</v>
      </c>
      <c r="F7" s="60" t="n">
        <f aca="false">C7*E7</f>
        <v>7.15170278637771</v>
      </c>
      <c r="G7" s="61"/>
      <c r="I7" s="63"/>
    </row>
    <row r="8" customFormat="false" ht="15.75" hidden="false" customHeight="false" outlineLevel="0" collapsed="false">
      <c r="A8" s="57" t="s">
        <v>1576</v>
      </c>
      <c r="B8" s="57" t="n">
        <v>0.911</v>
      </c>
      <c r="C8" s="58" t="n">
        <f aca="false">B8/B$22*B$24</f>
        <v>1.43191236008573</v>
      </c>
      <c r="D8" s="57" t="s">
        <v>434</v>
      </c>
      <c r="E8" s="59" t="n">
        <f aca="false">IFERROR(INDEX(Correspondance!$D$2:$D$3000,MATCH(A8,Correspondance!$A$2:$A$3000,0)),0)</f>
        <v>5.5</v>
      </c>
      <c r="F8" s="60" t="n">
        <f aca="false">C8*E8</f>
        <v>7.87551798047154</v>
      </c>
      <c r="G8" s="61"/>
      <c r="I8" s="63"/>
    </row>
    <row r="9" customFormat="false" ht="15.75" hidden="false" customHeight="false" outlineLevel="0" collapsed="false">
      <c r="A9" s="57" t="s">
        <v>1491</v>
      </c>
      <c r="B9" s="57" t="n">
        <v>0.364</v>
      </c>
      <c r="C9" s="58" t="n">
        <f aca="false">B9/B$22*B$24</f>
        <v>0.572136222910217</v>
      </c>
      <c r="D9" s="57" t="s">
        <v>434</v>
      </c>
      <c r="E9" s="59" t="n">
        <f aca="false">IFERROR(INDEX(Correspondance!$D$2:$D$3000,MATCH(A9,Correspondance!$A$2:$A$3000,0)),0)</f>
        <v>9</v>
      </c>
      <c r="F9" s="60" t="n">
        <f aca="false">C9*E9</f>
        <v>5.14922600619195</v>
      </c>
      <c r="G9" s="61"/>
      <c r="I9" s="63"/>
    </row>
    <row r="10" customFormat="false" ht="15.75" hidden="false" customHeight="false" outlineLevel="0" collapsed="false">
      <c r="A10" s="57" t="s">
        <v>1616</v>
      </c>
      <c r="B10" s="57" t="n">
        <v>0.137</v>
      </c>
      <c r="C10" s="58" t="n">
        <f aca="false">B10/B$22*B$24</f>
        <v>0.215336984996428</v>
      </c>
      <c r="D10" s="57" t="s">
        <v>434</v>
      </c>
      <c r="E10" s="59" t="n">
        <f aca="false">IFERROR(INDEX(Correspondance!$D$2:$D$3000,MATCH(A10,Correspondance!$A$2:$A$3000,0)),0)</f>
        <v>0.85</v>
      </c>
      <c r="F10" s="60" t="n">
        <f aca="false">C10*E10</f>
        <v>0.183036437246964</v>
      </c>
      <c r="G10" s="61"/>
      <c r="I10" s="63"/>
    </row>
    <row r="11" customFormat="false" ht="15.75" hidden="false" customHeight="false" outlineLevel="0" collapsed="false">
      <c r="A11" s="57" t="s">
        <v>1919</v>
      </c>
      <c r="B11" s="57" t="n">
        <v>0.082</v>
      </c>
      <c r="C11" s="58" t="n">
        <f aca="false">B11/B$22*B$24</f>
        <v>0.128887830435818</v>
      </c>
      <c r="D11" s="57" t="s">
        <v>434</v>
      </c>
      <c r="E11" s="59" t="n">
        <f aca="false">IFERROR(INDEX(Correspondance!$D$2:$D$3000,MATCH(A11,Correspondance!$A$2:$A$3000,0)),0)</f>
        <v>2</v>
      </c>
      <c r="F11" s="60" t="n">
        <f aca="false">C11*E11</f>
        <v>0.257775660871636</v>
      </c>
      <c r="G11" s="61"/>
      <c r="I11" s="63"/>
    </row>
    <row r="12" customFormat="false" ht="18.75" hidden="false" customHeight="true" outlineLevel="0" collapsed="false">
      <c r="A12" s="57" t="s">
        <v>1007</v>
      </c>
      <c r="B12" s="64" t="n">
        <v>0.046</v>
      </c>
      <c r="C12" s="58" t="n">
        <f aca="false">B12/B$22*B$24</f>
        <v>0.0723029292688735</v>
      </c>
      <c r="D12" s="57" t="s">
        <v>434</v>
      </c>
      <c r="E12" s="59" t="n">
        <f aca="false">IFERROR(INDEX(Correspondance!$D$2:$D$3000,MATCH(A12,Correspondance!$A$2:$A$3000,0)),0)</f>
        <v>8</v>
      </c>
      <c r="F12" s="60" t="n">
        <f aca="false">C12*E12</f>
        <v>0.578423434150988</v>
      </c>
      <c r="G12" s="61"/>
      <c r="I12" s="63"/>
    </row>
    <row r="13" customFormat="false" ht="18.75" hidden="false" customHeight="true" outlineLevel="0" collapsed="false">
      <c r="A13" s="57" t="s">
        <v>1814</v>
      </c>
      <c r="B13" s="64"/>
      <c r="C13" s="58" t="n">
        <f aca="false">B13/B$22*B$24</f>
        <v>0</v>
      </c>
      <c r="D13" s="57" t="s">
        <v>434</v>
      </c>
      <c r="E13" s="59" t="n">
        <f aca="false">IFERROR(INDEX(Correspondance!$D$2:$D$3000,MATCH(A13,Correspondance!$A$2:$A$3000,0)),0)</f>
        <v>18</v>
      </c>
      <c r="F13" s="60" t="n">
        <f aca="false">C13*E13</f>
        <v>0</v>
      </c>
      <c r="G13" s="61"/>
      <c r="I13" s="63"/>
    </row>
    <row r="14" customFormat="false" ht="15.75" hidden="false" customHeight="false" outlineLevel="0" collapsed="false">
      <c r="A14" s="57" t="s">
        <v>1732</v>
      </c>
      <c r="B14" s="57"/>
      <c r="C14" s="58" t="n">
        <f aca="false">B14/B$22*B$24</f>
        <v>0</v>
      </c>
      <c r="D14" s="57" t="s">
        <v>434</v>
      </c>
      <c r="E14" s="59" t="n">
        <f aca="false">IFERROR(INDEX(Correspondance!$D$2:$D$3000,MATCH(A14,Correspondance!$A$2:$A$3000,0)),0)</f>
        <v>30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65.0199023577042</v>
      </c>
      <c r="G19" s="61"/>
      <c r="I19" s="63"/>
    </row>
    <row r="20" customFormat="false" ht="18.75" hidden="false" customHeight="true" outlineLevel="0" collapsed="false">
      <c r="A20" s="68" t="s">
        <v>2628</v>
      </c>
      <c r="B20" s="69" t="n">
        <f aca="false">F19/B24</f>
        <v>0.591090021433675</v>
      </c>
      <c r="C20" s="70"/>
      <c r="G20" s="61"/>
      <c r="I20" s="63"/>
    </row>
    <row r="21" customFormat="false" ht="15.75" hidden="false" customHeight="false" outlineLevel="0" collapsed="false">
      <c r="A21" s="71" t="s">
        <v>2629</v>
      </c>
      <c r="B21" s="71" t="n">
        <f aca="false">SUM(B3:B18)</f>
        <v>12.597</v>
      </c>
      <c r="C21" s="66"/>
      <c r="G21" s="61"/>
      <c r="I21" s="63"/>
    </row>
    <row r="22" customFormat="false" ht="15.75" hidden="false" customHeight="false" outlineLevel="0" collapsed="false">
      <c r="A22" s="0" t="s">
        <v>2630</v>
      </c>
      <c r="B22" s="72" t="n">
        <f aca="false">B21/B23</f>
        <v>69.9833333333333</v>
      </c>
      <c r="C22" s="66"/>
      <c r="G22" s="61"/>
      <c r="I22" s="63"/>
    </row>
    <row r="23" customFormat="false" ht="15.75" hidden="false" customHeight="false" outlineLevel="0" collapsed="false">
      <c r="A23" s="0" t="s">
        <v>2631</v>
      </c>
      <c r="B23" s="0" t="n">
        <v>0.18</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362</v>
      </c>
      <c r="B1" s="50"/>
      <c r="C1" s="50"/>
      <c r="D1" s="50"/>
      <c r="E1" s="51" t="s">
        <v>2619</v>
      </c>
      <c r="F1" s="51"/>
      <c r="G1" s="52" t="s">
        <v>3055</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1962</v>
      </c>
      <c r="B4" s="57" t="n">
        <v>9.18</v>
      </c>
      <c r="C4" s="58" t="n">
        <f aca="false">B4/B$22*B$24</f>
        <v>14.4229670538945</v>
      </c>
      <c r="D4" s="57" t="s">
        <v>434</v>
      </c>
      <c r="E4" s="59" t="n">
        <f aca="false">IFERROR(INDEX(Correspondance!$D$2:$D$3000,MATCH(A4,Correspondance!$A$2:$A$3000,0)),0)</f>
        <v>2.4</v>
      </c>
      <c r="F4" s="60" t="n">
        <f aca="false">C4*E4</f>
        <v>34.6151209293468</v>
      </c>
      <c r="G4" s="61" t="s">
        <v>3056</v>
      </c>
    </row>
    <row r="5" customFormat="false" ht="15.75" hidden="false" customHeight="false" outlineLevel="0" collapsed="false">
      <c r="A5" s="57" t="s">
        <v>1070</v>
      </c>
      <c r="B5" s="57" t="n">
        <v>0.551</v>
      </c>
      <c r="C5" s="58" t="n">
        <f aca="false">B5/B$22*B$24</f>
        <v>0.86569224909541</v>
      </c>
      <c r="D5" s="57" t="s">
        <v>434</v>
      </c>
      <c r="E5" s="59" t="n">
        <f aca="false">IFERROR(INDEX(Correspondance!$D$2:$D$3000,MATCH(A5,Correspondance!$A$2:$A$3000,0)),0)</f>
        <v>2</v>
      </c>
      <c r="F5" s="60" t="n">
        <f aca="false">C5*E5</f>
        <v>1.73138449819082</v>
      </c>
      <c r="G5" s="61"/>
      <c r="I5" s="62"/>
    </row>
    <row r="6" customFormat="false" ht="15.75" hidden="false" customHeight="false" outlineLevel="0" collapsed="false">
      <c r="A6" s="57" t="s">
        <v>1007</v>
      </c>
      <c r="B6" s="57" t="n">
        <v>0.092</v>
      </c>
      <c r="C6" s="58" t="n">
        <f aca="false">B6/B$22*B$24</f>
        <v>0.144543896400686</v>
      </c>
      <c r="D6" s="57" t="s">
        <v>434</v>
      </c>
      <c r="E6" s="59" t="n">
        <f aca="false">IFERROR(INDEX(Correspondance!$D$2:$D$3000,MATCH(A6,Correspondance!$A$2:$A$3000,0)),0)</f>
        <v>8</v>
      </c>
      <c r="F6" s="60" t="n">
        <f aca="false">C6*E6</f>
        <v>1.15635117120548</v>
      </c>
      <c r="G6" s="61"/>
      <c r="I6" s="63"/>
    </row>
    <row r="7" customFormat="false" ht="15.75" hidden="false" customHeight="false" outlineLevel="0" collapsed="false">
      <c r="A7" s="57" t="s">
        <v>894</v>
      </c>
      <c r="B7" s="57" t="n">
        <v>0.073</v>
      </c>
      <c r="C7" s="58" t="n">
        <f aca="false">B7/B$22*B$24</f>
        <v>0.114692439535327</v>
      </c>
      <c r="D7" s="57" t="s">
        <v>434</v>
      </c>
      <c r="E7" s="59" t="n">
        <f aca="false">IFERROR(INDEX(Correspondance!$D$2:$D$3000,MATCH(A7,Correspondance!$A$2:$A$3000,0)),0)</f>
        <v>5.5</v>
      </c>
      <c r="F7" s="60" t="n">
        <f aca="false">C7*E7</f>
        <v>0.630808417444296</v>
      </c>
      <c r="G7" s="61"/>
      <c r="I7" s="63"/>
    </row>
    <row r="8" customFormat="false" ht="15.75" hidden="false" customHeight="false" outlineLevel="0" collapsed="false">
      <c r="A8" s="57" t="s">
        <v>1989</v>
      </c>
      <c r="B8" s="57" t="n">
        <v>0.184</v>
      </c>
      <c r="C8" s="58" t="n">
        <f aca="false">B8/B$22*B$24</f>
        <v>0.289087792801371</v>
      </c>
      <c r="D8" s="57" t="s">
        <v>434</v>
      </c>
      <c r="E8" s="59" t="n">
        <f aca="false">IFERROR(INDEX(Correspondance!$D$2:$D$3000,MATCH(A8,Correspondance!$A$2:$A$3000,0)),0)</f>
        <v>4.5</v>
      </c>
      <c r="F8" s="60" t="n">
        <f aca="false">C8*E8</f>
        <v>1.30089506760617</v>
      </c>
      <c r="G8" s="61"/>
      <c r="I8" s="63"/>
    </row>
    <row r="9" customFormat="false" ht="15.75" hidden="false" customHeight="false" outlineLevel="0" collapsed="false">
      <c r="A9" s="57" t="s">
        <v>1120</v>
      </c>
      <c r="B9" s="57" t="n">
        <v>0.367</v>
      </c>
      <c r="C9" s="58" t="n">
        <f aca="false">B9/B$22*B$24</f>
        <v>0.576604456294039</v>
      </c>
      <c r="D9" s="57" t="s">
        <v>682</v>
      </c>
      <c r="E9" s="59" t="n">
        <f aca="false">IFERROR(INDEX(Correspondance!$D$2:$D$3000,MATCH(A9,Correspondance!$A$2:$A$3000,0)),0)</f>
        <v>7.5</v>
      </c>
      <c r="F9" s="60" t="n">
        <f aca="false">C9*E9</f>
        <v>4.32453342220529</v>
      </c>
      <c r="G9" s="61"/>
      <c r="I9" s="63"/>
    </row>
    <row r="10" customFormat="false" ht="15.75" hidden="false" customHeight="false" outlineLevel="0" collapsed="false">
      <c r="A10" s="57" t="s">
        <v>1919</v>
      </c>
      <c r="B10" s="57" t="n">
        <v>0.055</v>
      </c>
      <c r="C10" s="58" t="n">
        <f aca="false">B10/B$22*B$24</f>
        <v>0.0864121119786707</v>
      </c>
      <c r="D10" s="57" t="s">
        <v>434</v>
      </c>
      <c r="E10" s="59" t="n">
        <f aca="false">IFERROR(INDEX(Correspondance!$D$2:$D$3000,MATCH(A10,Correspondance!$A$2:$A$3000,0)),0)</f>
        <v>2</v>
      </c>
      <c r="F10" s="60" t="n">
        <f aca="false">C10*E10</f>
        <v>0.172824223957341</v>
      </c>
      <c r="G10" s="61"/>
      <c r="I10" s="63"/>
    </row>
    <row r="11" customFormat="false" ht="15.75" hidden="false" customHeight="false" outlineLevel="0" collapsed="false">
      <c r="A11" s="57" t="s">
        <v>1814</v>
      </c>
      <c r="B11" s="57"/>
      <c r="C11" s="58" t="n">
        <f aca="false">B11/B$22*B$24</f>
        <v>0</v>
      </c>
      <c r="D11" s="57" t="s">
        <v>434</v>
      </c>
      <c r="E11" s="59" t="n">
        <f aca="false">IFERROR(INDEX(Correspondance!$D$2:$D$3000,MATCH(A11,Correspondance!$A$2:$A$3000,0)),0)</f>
        <v>18</v>
      </c>
      <c r="F11" s="60" t="n">
        <f aca="false">C11*E11</f>
        <v>0</v>
      </c>
      <c r="G11" s="61"/>
      <c r="I11" s="63"/>
    </row>
    <row r="12" customFormat="false" ht="18.75" hidden="false" customHeight="true" outlineLevel="0" collapsed="false">
      <c r="A12" s="57" t="s">
        <v>1664</v>
      </c>
      <c r="B12" s="64"/>
      <c r="C12" s="58" t="n">
        <f aca="false">B12/B$22*B$24</f>
        <v>0</v>
      </c>
      <c r="D12" s="57" t="s">
        <v>434</v>
      </c>
      <c r="E12" s="59" t="n">
        <f aca="false">IFERROR(INDEX(Correspondance!$D$2:$D$3000,MATCH(A12,Correspondance!$A$2:$A$3000,0)),0)</f>
        <v>11</v>
      </c>
      <c r="F12" s="60" t="n">
        <f aca="false">C12*E12</f>
        <v>0</v>
      </c>
      <c r="G12" s="61"/>
      <c r="I12" s="63"/>
    </row>
    <row r="13" customFormat="false" ht="18.75" hidden="false" customHeight="true" outlineLevel="0" collapsed="false">
      <c r="A13" s="57"/>
      <c r="B13" s="64"/>
      <c r="C13" s="58" t="n">
        <f aca="false">B13/B$22*B$24</f>
        <v>0</v>
      </c>
      <c r="D13" s="57"/>
      <c r="E13" s="65" t="n">
        <f aca="false">IFERROR(INDEX(Correspondance!$D$2:$D$3000,MATCH(A13,Correspondance!$A$2:$A$3000,0)),0)</f>
        <v>0</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43.9319177299562</v>
      </c>
      <c r="G19" s="61"/>
      <c r="I19" s="63"/>
    </row>
    <row r="20" customFormat="false" ht="18.75" hidden="false" customHeight="true" outlineLevel="0" collapsed="false">
      <c r="A20" s="68" t="s">
        <v>2628</v>
      </c>
      <c r="B20" s="69" t="n">
        <f aca="false">F19/B24</f>
        <v>0.399381070272329</v>
      </c>
      <c r="C20" s="70"/>
      <c r="G20" s="61"/>
      <c r="I20" s="63"/>
    </row>
    <row r="21" customFormat="false" ht="15.75" hidden="false" customHeight="false" outlineLevel="0" collapsed="false">
      <c r="A21" s="71" t="s">
        <v>2629</v>
      </c>
      <c r="B21" s="71" t="n">
        <f aca="false">SUM(B3:B18)</f>
        <v>10.502</v>
      </c>
      <c r="C21" s="66"/>
      <c r="G21" s="61"/>
      <c r="I21" s="63"/>
    </row>
    <row r="22" customFormat="false" ht="15.75" hidden="false" customHeight="false" outlineLevel="0" collapsed="false">
      <c r="A22" s="0" t="s">
        <v>2630</v>
      </c>
      <c r="B22" s="72" t="n">
        <f aca="false">B21/B23</f>
        <v>70.0133333333333</v>
      </c>
      <c r="C22" s="66"/>
      <c r="G22" s="61"/>
      <c r="I22" s="63"/>
    </row>
    <row r="23" customFormat="false" ht="15.75" hidden="false" customHeight="false" outlineLevel="0" collapsed="false">
      <c r="A23" s="0" t="s">
        <v>2631</v>
      </c>
      <c r="B23" s="0" t="n">
        <v>0.15</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363</v>
      </c>
      <c r="B1" s="50"/>
      <c r="C1" s="50"/>
      <c r="D1" s="50"/>
      <c r="E1" s="51" t="s">
        <v>2619</v>
      </c>
      <c r="F1" s="51"/>
      <c r="G1" s="52" t="s">
        <v>3057</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927</v>
      </c>
      <c r="B4" s="57" t="n">
        <v>9.75</v>
      </c>
      <c r="C4" s="58" t="n">
        <f aca="false">B4/B$22*B$24</f>
        <v>15.3214285714286</v>
      </c>
      <c r="D4" s="57" t="s">
        <v>434</v>
      </c>
      <c r="E4" s="59" t="n">
        <f aca="false">IFERROR(INDEX(Correspondance!$D$2:$D$3000,MATCH(A4,Correspondance!$A$2:$A$3000,0)),0)</f>
        <v>2.2</v>
      </c>
      <c r="F4" s="60" t="n">
        <f aca="false">C4*E4</f>
        <v>33.7071428571429</v>
      </c>
      <c r="G4" s="61" t="s">
        <v>3058</v>
      </c>
    </row>
    <row r="5" customFormat="false" ht="15.75" hidden="false" customHeight="false" outlineLevel="0" collapsed="false">
      <c r="A5" s="57" t="s">
        <v>1491</v>
      </c>
      <c r="B5" s="57" t="n">
        <v>0.487</v>
      </c>
      <c r="C5" s="58" t="n">
        <f aca="false">B5/B$22*B$24</f>
        <v>0.765285714285714</v>
      </c>
      <c r="D5" s="57" t="s">
        <v>434</v>
      </c>
      <c r="E5" s="59" t="n">
        <f aca="false">IFERROR(INDEX(Correspondance!$D$2:$D$3000,MATCH(A5,Correspondance!$A$2:$A$3000,0)),0)</f>
        <v>9</v>
      </c>
      <c r="F5" s="60" t="n">
        <f aca="false">C5*E5</f>
        <v>6.88757142857143</v>
      </c>
      <c r="G5" s="61"/>
      <c r="I5" s="62"/>
    </row>
    <row r="6" customFormat="false" ht="15.75" hidden="false" customHeight="false" outlineLevel="0" collapsed="false">
      <c r="A6" s="57" t="s">
        <v>1007</v>
      </c>
      <c r="B6" s="57" t="n">
        <v>0.097</v>
      </c>
      <c r="C6" s="58" t="n">
        <f aca="false">B6/B$22*B$24</f>
        <v>0.152428571428571</v>
      </c>
      <c r="D6" s="57" t="s">
        <v>434</v>
      </c>
      <c r="E6" s="59" t="n">
        <f aca="false">IFERROR(INDEX(Correspondance!$D$2:$D$3000,MATCH(A6,Correspondance!$A$2:$A$3000,0)),0)</f>
        <v>8</v>
      </c>
      <c r="F6" s="60" t="n">
        <f aca="false">C6*E6</f>
        <v>1.21942857142857</v>
      </c>
      <c r="G6" s="61"/>
      <c r="I6" s="63"/>
    </row>
    <row r="7" customFormat="false" ht="15.75" hidden="false" customHeight="false" outlineLevel="0" collapsed="false">
      <c r="A7" s="57" t="s">
        <v>894</v>
      </c>
      <c r="B7" s="57" t="n">
        <v>0.049</v>
      </c>
      <c r="C7" s="58" t="n">
        <f aca="false">B7/B$22*B$24</f>
        <v>0.077</v>
      </c>
      <c r="D7" s="57" t="s">
        <v>434</v>
      </c>
      <c r="E7" s="59" t="n">
        <f aca="false">IFERROR(INDEX(Correspondance!$D$2:$D$3000,MATCH(A7,Correspondance!$A$2:$A$3000,0)),0)</f>
        <v>5.5</v>
      </c>
      <c r="F7" s="60" t="n">
        <f aca="false">C7*E7</f>
        <v>0.4235</v>
      </c>
      <c r="G7" s="61"/>
      <c r="I7" s="63"/>
    </row>
    <row r="8" customFormat="false" ht="15.75" hidden="false" customHeight="false" outlineLevel="0" collapsed="false">
      <c r="A8" s="57" t="s">
        <v>1291</v>
      </c>
      <c r="B8" s="57" t="n">
        <v>0.049</v>
      </c>
      <c r="C8" s="58" t="n">
        <f aca="false">B8/B$22*B$24</f>
        <v>0.077</v>
      </c>
      <c r="D8" s="57" t="s">
        <v>682</v>
      </c>
      <c r="E8" s="59" t="n">
        <f aca="false">IFERROR(INDEX(Correspondance!$D$2:$D$3000,MATCH(A8,Correspondance!$A$2:$A$3000,0)),0)</f>
        <v>2.5</v>
      </c>
      <c r="F8" s="60" t="n">
        <f aca="false">C8*E8</f>
        <v>0.1925</v>
      </c>
      <c r="G8" s="61"/>
      <c r="I8" s="63"/>
    </row>
    <row r="9" customFormat="false" ht="15.75" hidden="false" customHeight="false" outlineLevel="0" collapsed="false">
      <c r="A9" s="57" t="s">
        <v>1919</v>
      </c>
      <c r="B9" s="57" t="n">
        <v>0.068</v>
      </c>
      <c r="C9" s="58" t="n">
        <f aca="false">B9/B$22*B$24</f>
        <v>0.106857142857143</v>
      </c>
      <c r="D9" s="57" t="s">
        <v>434</v>
      </c>
      <c r="E9" s="59" t="n">
        <f aca="false">IFERROR(INDEX(Correspondance!$D$2:$D$3000,MATCH(A9,Correspondance!$A$2:$A$3000,0)),0)</f>
        <v>2</v>
      </c>
      <c r="F9" s="60" t="n">
        <f aca="false">C9*E9</f>
        <v>0.213714285714286</v>
      </c>
      <c r="G9" s="61"/>
      <c r="I9" s="63"/>
    </row>
    <row r="10" customFormat="false" ht="15.75" hidden="false" customHeight="false" outlineLevel="0" collapsed="false">
      <c r="A10" s="57" t="s">
        <v>1814</v>
      </c>
      <c r="B10" s="57"/>
      <c r="C10" s="58" t="n">
        <f aca="false">B10/B$22*B$24</f>
        <v>0</v>
      </c>
      <c r="D10" s="57" t="s">
        <v>434</v>
      </c>
      <c r="E10" s="59" t="n">
        <f aca="false">IFERROR(INDEX(Correspondance!$D$2:$D$3000,MATCH(A10,Correspondance!$A$2:$A$3000,0)),0)</f>
        <v>18</v>
      </c>
      <c r="F10" s="60" t="n">
        <f aca="false">C10*E10</f>
        <v>0</v>
      </c>
      <c r="G10" s="61"/>
      <c r="I10" s="63"/>
    </row>
    <row r="11" customFormat="false" ht="15.75" hidden="false" customHeight="false" outlineLevel="0" collapsed="false">
      <c r="A11" s="57"/>
      <c r="B11" s="57"/>
      <c r="C11" s="58" t="n">
        <f aca="false">B11/B$22*B$24</f>
        <v>0</v>
      </c>
      <c r="D11" s="57"/>
      <c r="E11" s="65" t="n">
        <f aca="false">IFERROR(INDEX(Correspondance!$D$2:$D$3000,MATCH(A11,Correspondance!$A$2:$A$3000,0)),0)</f>
        <v>0</v>
      </c>
      <c r="F11" s="60" t="n">
        <f aca="false">C11*E11</f>
        <v>0</v>
      </c>
      <c r="G11" s="61"/>
      <c r="I11" s="63"/>
    </row>
    <row r="12" customFormat="false" ht="18.75" hidden="false" customHeight="true" outlineLevel="0" collapsed="false">
      <c r="A12" s="57"/>
      <c r="B12" s="64"/>
      <c r="C12" s="58" t="n">
        <f aca="false">B12/B$22*B$24</f>
        <v>0</v>
      </c>
      <c r="D12" s="57"/>
      <c r="E12" s="65" t="n">
        <f aca="false">IFERROR(INDEX(Correspondance!$D$2:$D$3000,MATCH(A12,Correspondance!$A$2:$A$3000,0)),0)</f>
        <v>0</v>
      </c>
      <c r="F12" s="60" t="n">
        <f aca="false">C12*E12</f>
        <v>0</v>
      </c>
      <c r="G12" s="61"/>
      <c r="I12" s="63"/>
    </row>
    <row r="13" customFormat="false" ht="18.75" hidden="false" customHeight="true" outlineLevel="0" collapsed="false">
      <c r="A13" s="57"/>
      <c r="B13" s="64"/>
      <c r="C13" s="58" t="n">
        <f aca="false">B13/B$22*B$24</f>
        <v>0</v>
      </c>
      <c r="D13" s="57"/>
      <c r="E13" s="65" t="n">
        <f aca="false">IFERROR(INDEX(Correspondance!$D$2:$D$3000,MATCH(A13,Correspondance!$A$2:$A$3000,0)),0)</f>
        <v>0</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42.6438571428572</v>
      </c>
      <c r="G19" s="61"/>
      <c r="I19" s="63"/>
    </row>
    <row r="20" customFormat="false" ht="18.75" hidden="false" customHeight="true" outlineLevel="0" collapsed="false">
      <c r="A20" s="68" t="s">
        <v>2628</v>
      </c>
      <c r="B20" s="69" t="n">
        <f aca="false">F19/B24</f>
        <v>0.387671428571429</v>
      </c>
      <c r="C20" s="70"/>
      <c r="G20" s="61"/>
      <c r="I20" s="63"/>
    </row>
    <row r="21" customFormat="false" ht="15.75" hidden="false" customHeight="false" outlineLevel="0" collapsed="false">
      <c r="A21" s="71" t="s">
        <v>2629</v>
      </c>
      <c r="B21" s="71" t="n">
        <f aca="false">SUM(B3:B18)</f>
        <v>10.5</v>
      </c>
      <c r="C21" s="66"/>
      <c r="G21" s="61"/>
      <c r="I21" s="63"/>
    </row>
    <row r="22" customFormat="false" ht="15.75" hidden="false" customHeight="false" outlineLevel="0" collapsed="false">
      <c r="A22" s="0" t="s">
        <v>2630</v>
      </c>
      <c r="B22" s="72" t="n">
        <f aca="false">B21/B23</f>
        <v>70</v>
      </c>
      <c r="C22" s="66"/>
      <c r="G22" s="61"/>
      <c r="I22" s="63"/>
    </row>
    <row r="23" customFormat="false" ht="15.75" hidden="false" customHeight="false" outlineLevel="0" collapsed="false">
      <c r="A23" s="0" t="s">
        <v>2631</v>
      </c>
      <c r="B23" s="0" t="n">
        <v>0.15</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364</v>
      </c>
      <c r="B1" s="50"/>
      <c r="C1" s="50"/>
      <c r="D1" s="50"/>
      <c r="E1" s="51" t="s">
        <v>2619</v>
      </c>
      <c r="F1" s="51"/>
      <c r="G1" s="52" t="s">
        <v>3059</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927</v>
      </c>
      <c r="B4" s="57" t="n">
        <v>8.65</v>
      </c>
      <c r="C4" s="58" t="n">
        <f aca="false">B4/B$22*B$24</f>
        <v>13.5957705222548</v>
      </c>
      <c r="D4" s="57" t="s">
        <v>434</v>
      </c>
      <c r="E4" s="59" t="n">
        <f aca="false">IFERROR(INDEX(Correspondance!$D$2:$D$3000,MATCH(A4,Correspondance!$A$2:$A$3000,0)),0)</f>
        <v>2.2</v>
      </c>
      <c r="F4" s="60" t="n">
        <f aca="false">C4*E4</f>
        <v>29.9106951489605</v>
      </c>
      <c r="G4" s="61" t="s">
        <v>3060</v>
      </c>
    </row>
    <row r="5" customFormat="false" ht="15.75" hidden="false" customHeight="false" outlineLevel="0" collapsed="false">
      <c r="A5" s="57" t="s">
        <v>1695</v>
      </c>
      <c r="B5" s="57" t="n">
        <v>3.46</v>
      </c>
      <c r="C5" s="58" t="n">
        <f aca="false">B5/B$22*B$24</f>
        <v>5.43830820890191</v>
      </c>
      <c r="D5" s="57" t="s">
        <v>682</v>
      </c>
      <c r="E5" s="59" t="n">
        <f aca="false">IFERROR(INDEX(Correspondance!$D$2:$D$3000,MATCH(A5,Correspondance!$A$2:$A$3000,0)),0)</f>
        <v>2.5</v>
      </c>
      <c r="F5" s="60" t="n">
        <f aca="false">C5*E5</f>
        <v>13.5957705222548</v>
      </c>
      <c r="G5" s="61"/>
      <c r="I5" s="62"/>
    </row>
    <row r="6" customFormat="false" ht="15.75" hidden="false" customHeight="false" outlineLevel="0" collapsed="false">
      <c r="A6" s="57" t="s">
        <v>1491</v>
      </c>
      <c r="B6" s="57" t="n">
        <v>0.26</v>
      </c>
      <c r="C6" s="58" t="n">
        <f aca="false">B6/B$22*B$24</f>
        <v>0.408658998356791</v>
      </c>
      <c r="D6" s="57" t="s">
        <v>434</v>
      </c>
      <c r="E6" s="59" t="n">
        <f aca="false">IFERROR(INDEX(Correspondance!$D$2:$D$3000,MATCH(A6,Correspondance!$A$2:$A$3000,0)),0)</f>
        <v>9</v>
      </c>
      <c r="F6" s="60" t="n">
        <f aca="false">C6*E6</f>
        <v>3.67793098521112</v>
      </c>
      <c r="G6" s="61"/>
      <c r="I6" s="63"/>
    </row>
    <row r="7" customFormat="false" ht="15.75" hidden="false" customHeight="false" outlineLevel="0" collapsed="false">
      <c r="A7" s="57" t="s">
        <v>1616</v>
      </c>
      <c r="B7" s="57" t="n">
        <v>0.26</v>
      </c>
      <c r="C7" s="58" t="n">
        <f aca="false">B7/B$22*B$24</f>
        <v>0.408658998356791</v>
      </c>
      <c r="D7" s="57" t="s">
        <v>434</v>
      </c>
      <c r="E7" s="59" t="n">
        <f aca="false">IFERROR(INDEX(Correspondance!$D$2:$D$3000,MATCH(A7,Correspondance!$A$2:$A$3000,0)),0)</f>
        <v>0.85</v>
      </c>
      <c r="F7" s="60" t="n">
        <f aca="false">C7*E7</f>
        <v>0.347360148603272</v>
      </c>
      <c r="G7" s="61"/>
      <c r="I7" s="63"/>
    </row>
    <row r="8" customFormat="false" ht="15.75" hidden="false" customHeight="false" outlineLevel="0" collapsed="false">
      <c r="A8" s="57" t="s">
        <v>1576</v>
      </c>
      <c r="B8" s="57" t="n">
        <v>0.433</v>
      </c>
      <c r="C8" s="58" t="n">
        <f aca="false">B8/B$22*B$24</f>
        <v>0.680574408801886</v>
      </c>
      <c r="D8" s="57" t="s">
        <v>434</v>
      </c>
      <c r="E8" s="59" t="n">
        <f aca="false">IFERROR(INDEX(Correspondance!$D$2:$D$3000,MATCH(A8,Correspondance!$A$2:$A$3000,0)),0)</f>
        <v>5.5</v>
      </c>
      <c r="F8" s="60" t="n">
        <f aca="false">C8*E8</f>
        <v>3.74315924841037</v>
      </c>
      <c r="G8" s="61"/>
      <c r="I8" s="63"/>
    </row>
    <row r="9" customFormat="false" ht="15.75" hidden="false" customHeight="false" outlineLevel="0" collapsed="false">
      <c r="A9" s="57" t="s">
        <v>706</v>
      </c>
      <c r="B9" s="57" t="n">
        <v>0.865</v>
      </c>
      <c r="C9" s="58" t="n">
        <f aca="false">B9/B$22*B$24</f>
        <v>1.35957705222548</v>
      </c>
      <c r="D9" s="57" t="s">
        <v>434</v>
      </c>
      <c r="E9" s="59" t="n">
        <f aca="false">IFERROR(INDEX(Correspondance!$D$2:$D$3000,MATCH(A9,Correspondance!$A$2:$A$3000,0)),0)</f>
        <v>7.5</v>
      </c>
      <c r="F9" s="60" t="n">
        <f aca="false">C9*E9</f>
        <v>10.1968278916911</v>
      </c>
      <c r="G9" s="61"/>
      <c r="I9" s="63"/>
    </row>
    <row r="10" customFormat="false" ht="15.75" hidden="false" customHeight="false" outlineLevel="0" collapsed="false">
      <c r="A10" s="57" t="s">
        <v>1919</v>
      </c>
      <c r="B10" s="57" t="n">
        <v>0.069</v>
      </c>
      <c r="C10" s="58" t="n">
        <f aca="false">B10/B$22*B$24</f>
        <v>0.108451811102379</v>
      </c>
      <c r="D10" s="57" t="s">
        <v>434</v>
      </c>
      <c r="E10" s="59" t="n">
        <f aca="false">IFERROR(INDEX(Correspondance!$D$2:$D$3000,MATCH(A10,Correspondance!$A$2:$A$3000,0)),0)</f>
        <v>2</v>
      </c>
      <c r="F10" s="60" t="n">
        <f aca="false">C10*E10</f>
        <v>0.216903622204758</v>
      </c>
      <c r="G10" s="61"/>
      <c r="I10" s="63"/>
    </row>
    <row r="11" customFormat="false" ht="15.75" hidden="false" customHeight="false" outlineLevel="0" collapsed="false">
      <c r="A11" s="57" t="s">
        <v>1814</v>
      </c>
      <c r="B11" s="57"/>
      <c r="C11" s="58" t="n">
        <f aca="false">B11/B$22*B$24</f>
        <v>0</v>
      </c>
      <c r="D11" s="57" t="s">
        <v>434</v>
      </c>
      <c r="E11" s="59" t="n">
        <f aca="false">IFERROR(INDEX(Correspondance!$D$2:$D$3000,MATCH(A11,Correspondance!$A$2:$A$3000,0)),0)</f>
        <v>18</v>
      </c>
      <c r="F11" s="60" t="n">
        <f aca="false">C11*E11</f>
        <v>0</v>
      </c>
      <c r="G11" s="61"/>
      <c r="I11" s="63"/>
    </row>
    <row r="12" customFormat="false" ht="18.75" hidden="false" customHeight="true" outlineLevel="0" collapsed="false">
      <c r="A12" s="57" t="s">
        <v>1732</v>
      </c>
      <c r="B12" s="64"/>
      <c r="C12" s="58" t="n">
        <f aca="false">B12/B$22*B$24</f>
        <v>0</v>
      </c>
      <c r="D12" s="57" t="s">
        <v>434</v>
      </c>
      <c r="E12" s="59" t="n">
        <f aca="false">IFERROR(INDEX(Correspondance!$D$2:$D$3000,MATCH(A12,Correspondance!$A$2:$A$3000,0)),0)</f>
        <v>30</v>
      </c>
      <c r="F12" s="60" t="n">
        <f aca="false">C12*E12</f>
        <v>0</v>
      </c>
      <c r="G12" s="61"/>
      <c r="I12" s="63"/>
    </row>
    <row r="13" customFormat="false" ht="18.75" hidden="false" customHeight="true" outlineLevel="0" collapsed="false">
      <c r="A13" s="57"/>
      <c r="B13" s="64"/>
      <c r="C13" s="58" t="n">
        <f aca="false">B13/B$22*B$24</f>
        <v>0</v>
      </c>
      <c r="D13" s="57"/>
      <c r="E13" s="65" t="n">
        <f aca="false">IFERROR(INDEX(Correspondance!$D$2:$D$3000,MATCH(A13,Correspondance!$A$2:$A$3000,0)),0)</f>
        <v>0</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61.6886475673359</v>
      </c>
      <c r="G19" s="61"/>
      <c r="I19" s="63"/>
    </row>
    <row r="20" customFormat="false" ht="18.75" hidden="false" customHeight="true" outlineLevel="0" collapsed="false">
      <c r="A20" s="68" t="s">
        <v>2628</v>
      </c>
      <c r="B20" s="69" t="n">
        <f aca="false">F19/B24</f>
        <v>0.560805886975781</v>
      </c>
      <c r="C20" s="70"/>
      <c r="G20" s="61"/>
      <c r="I20" s="63"/>
    </row>
    <row r="21" customFormat="false" ht="15.75" hidden="false" customHeight="false" outlineLevel="0" collapsed="false">
      <c r="A21" s="71" t="s">
        <v>2629</v>
      </c>
      <c r="B21" s="71" t="n">
        <f aca="false">SUM(B3:B18)</f>
        <v>13.997</v>
      </c>
      <c r="C21" s="66"/>
      <c r="G21" s="61"/>
      <c r="I21" s="63"/>
    </row>
    <row r="22" customFormat="false" ht="15.75" hidden="false" customHeight="false" outlineLevel="0" collapsed="false">
      <c r="A22" s="0" t="s">
        <v>2630</v>
      </c>
      <c r="B22" s="72" t="n">
        <f aca="false">B21/B23</f>
        <v>69.985</v>
      </c>
      <c r="C22" s="66"/>
      <c r="G22" s="61"/>
      <c r="I22" s="63"/>
    </row>
    <row r="23" customFormat="false" ht="15.75" hidden="false" customHeight="false" outlineLevel="0" collapsed="false">
      <c r="A23" s="0" t="s">
        <v>2631</v>
      </c>
      <c r="B23" s="0" t="n">
        <v>0.2</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366</v>
      </c>
      <c r="B1" s="50"/>
      <c r="C1" s="50"/>
      <c r="D1" s="50"/>
      <c r="E1" s="51" t="s">
        <v>2619</v>
      </c>
      <c r="F1" s="51"/>
      <c r="G1" s="52" t="s">
        <v>3061</v>
      </c>
    </row>
    <row r="2" customFormat="false" ht="24.75" hidden="false" customHeight="true" outlineLevel="0" collapsed="false">
      <c r="A2" s="50"/>
      <c r="B2" s="50"/>
      <c r="C2" s="50"/>
      <c r="D2" s="50"/>
      <c r="E2" s="53" t="s">
        <v>2636</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1829</v>
      </c>
      <c r="B4" s="57" t="n">
        <v>9.32</v>
      </c>
      <c r="C4" s="58" t="n">
        <f aca="false">B4/B$22*B$24</f>
        <v>14.6371601012395</v>
      </c>
      <c r="D4" s="57" t="s">
        <v>434</v>
      </c>
      <c r="E4" s="59" t="n">
        <f aca="false">IFERROR(INDEX(Correspondance!$D$2:$D$3000,MATCH(A4,Correspondance!$A$2:$A$3000,0)),0)</f>
        <v>2</v>
      </c>
      <c r="F4" s="60" t="n">
        <f aca="false">C4*E4</f>
        <v>29.2743202024791</v>
      </c>
      <c r="G4" s="61" t="s">
        <v>3062</v>
      </c>
    </row>
    <row r="5" customFormat="false" ht="15.75" hidden="false" customHeight="false" outlineLevel="0" collapsed="false">
      <c r="A5" s="57" t="s">
        <v>735</v>
      </c>
      <c r="B5" s="57" t="n">
        <v>3.73</v>
      </c>
      <c r="C5" s="58" t="n">
        <f aca="false">B5/B$22*B$24</f>
        <v>5.85800506197677</v>
      </c>
      <c r="D5" s="57" t="s">
        <v>434</v>
      </c>
      <c r="E5" s="59" t="n">
        <f aca="false">IFERROR(INDEX(Correspondance!$D$2:$D$3000,MATCH(A5,Correspondance!$A$2:$A$3000,0)),0)</f>
        <v>12</v>
      </c>
      <c r="F5" s="60" t="n">
        <f aca="false">C5*E5</f>
        <v>70.2960607437212</v>
      </c>
      <c r="G5" s="61"/>
      <c r="I5" s="62"/>
    </row>
    <row r="6" customFormat="false" ht="15.75" hidden="false" customHeight="false" outlineLevel="0" collapsed="false">
      <c r="A6" s="57" t="s">
        <v>1576</v>
      </c>
      <c r="B6" s="57" t="n">
        <v>0.932</v>
      </c>
      <c r="C6" s="58" t="n">
        <f aca="false">B6/B$22*B$24</f>
        <v>1.46371601012395</v>
      </c>
      <c r="D6" s="57" t="s">
        <v>434</v>
      </c>
      <c r="E6" s="59" t="n">
        <f aca="false">IFERROR(INDEX(Correspondance!$D$2:$D$3000,MATCH(A6,Correspondance!$A$2:$A$3000,0)),0)</f>
        <v>5.5</v>
      </c>
      <c r="F6" s="60" t="n">
        <f aca="false">C6*E6</f>
        <v>8.05043805568174</v>
      </c>
      <c r="G6" s="61"/>
      <c r="I6" s="63"/>
    </row>
    <row r="7" customFormat="false" ht="15.75" hidden="false" customHeight="false" outlineLevel="0" collapsed="false">
      <c r="A7" s="57" t="s">
        <v>1695</v>
      </c>
      <c r="B7" s="57" t="n">
        <v>0.932</v>
      </c>
      <c r="C7" s="58" t="n">
        <f aca="false">B7/B$22*B$24</f>
        <v>1.46371601012395</v>
      </c>
      <c r="D7" s="57" t="s">
        <v>682</v>
      </c>
      <c r="E7" s="59" t="n">
        <f aca="false">IFERROR(INDEX(Correspondance!$D$2:$D$3000,MATCH(A7,Correspondance!$A$2:$A$3000,0)),0)</f>
        <v>2.5</v>
      </c>
      <c r="F7" s="60" t="n">
        <f aca="false">C7*E7</f>
        <v>3.65929002530988</v>
      </c>
      <c r="G7" s="61"/>
      <c r="I7" s="63"/>
    </row>
    <row r="8" customFormat="false" ht="15.75" hidden="false" customHeight="false" outlineLevel="0" collapsed="false">
      <c r="A8" s="57" t="s">
        <v>1491</v>
      </c>
      <c r="B8" s="57" t="n">
        <v>0.373</v>
      </c>
      <c r="C8" s="58" t="n">
        <f aca="false">B8/B$22*B$24</f>
        <v>0.585800506197677</v>
      </c>
      <c r="D8" s="57" t="s">
        <v>434</v>
      </c>
      <c r="E8" s="59" t="n">
        <f aca="false">IFERROR(INDEX(Correspondance!$D$2:$D$3000,MATCH(A8,Correspondance!$A$2:$A$3000,0)),0)</f>
        <v>9</v>
      </c>
      <c r="F8" s="60" t="n">
        <f aca="false">C8*E8</f>
        <v>5.27220455577909</v>
      </c>
      <c r="G8" s="61"/>
      <c r="I8" s="63"/>
    </row>
    <row r="9" customFormat="false" ht="15.75" hidden="false" customHeight="false" outlineLevel="0" collapsed="false">
      <c r="A9" s="57" t="s">
        <v>894</v>
      </c>
      <c r="B9" s="57" t="n">
        <v>0.047</v>
      </c>
      <c r="C9" s="58" t="n">
        <f aca="false">B9/B$22*B$24</f>
        <v>0.0738140048023882</v>
      </c>
      <c r="D9" s="57" t="s">
        <v>434</v>
      </c>
      <c r="E9" s="59" t="n">
        <f aca="false">IFERROR(INDEX(Correspondance!$D$2:$D$3000,MATCH(A9,Correspondance!$A$2:$A$3000,0)),0)</f>
        <v>5.5</v>
      </c>
      <c r="F9" s="60" t="n">
        <f aca="false">C9*E9</f>
        <v>0.405977026413135</v>
      </c>
      <c r="G9" s="61"/>
      <c r="I9" s="63"/>
    </row>
    <row r="10" customFormat="false" ht="15.75" hidden="false" customHeight="false" outlineLevel="0" collapsed="false">
      <c r="A10" s="57" t="s">
        <v>1919</v>
      </c>
      <c r="B10" s="57" t="n">
        <v>0.075</v>
      </c>
      <c r="C10" s="58" t="n">
        <f aca="false">B10/B$22*B$24</f>
        <v>0.117788305535726</v>
      </c>
      <c r="D10" s="57" t="s">
        <v>434</v>
      </c>
      <c r="E10" s="59" t="n">
        <f aca="false">IFERROR(INDEX(Correspondance!$D$2:$D$3000,MATCH(A10,Correspondance!$A$2:$A$3000,0)),0)</f>
        <v>2</v>
      </c>
      <c r="F10" s="60" t="n">
        <f aca="false">C10*E10</f>
        <v>0.235576611071452</v>
      </c>
      <c r="G10" s="61"/>
      <c r="I10" s="63"/>
    </row>
    <row r="11" customFormat="false" ht="15.75" hidden="false" customHeight="false" outlineLevel="0" collapsed="false">
      <c r="A11" s="57" t="s">
        <v>1814</v>
      </c>
      <c r="B11" s="57"/>
      <c r="C11" s="58" t="n">
        <f aca="false">B11/B$22*B$24</f>
        <v>0</v>
      </c>
      <c r="D11" s="57" t="s">
        <v>434</v>
      </c>
      <c r="E11" s="59" t="n">
        <f aca="false">IFERROR(INDEX(Correspondance!$D$2:$D$3000,MATCH(A11,Correspondance!$A$2:$A$3000,0)),0)</f>
        <v>18</v>
      </c>
      <c r="F11" s="60" t="n">
        <f aca="false">C11*E11</f>
        <v>0</v>
      </c>
      <c r="G11" s="61"/>
      <c r="I11" s="63"/>
    </row>
    <row r="12" customFormat="false" ht="18.75" hidden="false" customHeight="true" outlineLevel="0" collapsed="false">
      <c r="A12" s="57"/>
      <c r="B12" s="64"/>
      <c r="C12" s="58" t="n">
        <f aca="false">B12/B$22*B$24</f>
        <v>0</v>
      </c>
      <c r="D12" s="57"/>
      <c r="E12" s="65" t="n">
        <f aca="false">IFERROR(INDEX(Correspondance!$D$2:$D$3000,MATCH(A12,Correspondance!$A$2:$A$3000,0)),0)</f>
        <v>0</v>
      </c>
      <c r="F12" s="60" t="n">
        <f aca="false">C12*E12</f>
        <v>0</v>
      </c>
      <c r="G12" s="61"/>
      <c r="I12" s="63"/>
    </row>
    <row r="13" customFormat="false" ht="18.75" hidden="false" customHeight="true" outlineLevel="0" collapsed="false">
      <c r="A13" s="57"/>
      <c r="B13" s="64"/>
      <c r="C13" s="58" t="n">
        <f aca="false">B13/B$22*B$24</f>
        <v>0</v>
      </c>
      <c r="D13" s="57"/>
      <c r="E13" s="65" t="n">
        <f aca="false">IFERROR(INDEX(Correspondance!$D$2:$D$3000,MATCH(A13,Correspondance!$A$2:$A$3000,0)),0)</f>
        <v>0</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117.193867220456</v>
      </c>
      <c r="G19" s="61"/>
      <c r="I19" s="63"/>
    </row>
    <row r="20" customFormat="false" ht="18.75" hidden="false" customHeight="true" outlineLevel="0" collapsed="false">
      <c r="A20" s="68" t="s">
        <v>2628</v>
      </c>
      <c r="B20" s="69" t="n">
        <f aca="false">F19/B24</f>
        <v>1.06539879291323</v>
      </c>
      <c r="C20" s="70"/>
      <c r="G20" s="61"/>
      <c r="I20" s="63"/>
    </row>
    <row r="21" customFormat="false" ht="15.75" hidden="false" customHeight="false" outlineLevel="0" collapsed="false">
      <c r="A21" s="71" t="s">
        <v>2629</v>
      </c>
      <c r="B21" s="71" t="n">
        <f aca="false">SUM(B3:B18)</f>
        <v>15.409</v>
      </c>
      <c r="C21" s="66"/>
      <c r="G21" s="61"/>
      <c r="I21" s="63"/>
    </row>
    <row r="22" customFormat="false" ht="15.75" hidden="false" customHeight="false" outlineLevel="0" collapsed="false">
      <c r="A22" s="0" t="s">
        <v>2630</v>
      </c>
      <c r="B22" s="72" t="n">
        <f aca="false">B21/B23</f>
        <v>70.0409090909091</v>
      </c>
      <c r="C22" s="66"/>
      <c r="G22" s="61"/>
      <c r="I22" s="63"/>
    </row>
    <row r="23" customFormat="false" ht="15.75" hidden="false" customHeight="false" outlineLevel="0" collapsed="false">
      <c r="A23" s="0" t="s">
        <v>2631</v>
      </c>
      <c r="B23" s="0" t="n">
        <v>0.22</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367</v>
      </c>
      <c r="B1" s="50"/>
      <c r="C1" s="50"/>
      <c r="D1" s="50"/>
      <c r="E1" s="51" t="s">
        <v>2619</v>
      </c>
      <c r="F1" s="51"/>
      <c r="G1" s="52" t="s">
        <v>3063</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1838</v>
      </c>
      <c r="B4" s="57" t="n">
        <v>8.94</v>
      </c>
      <c r="C4" s="58" t="n">
        <f aca="false">B4/B$22*B$24</f>
        <v>14.0505786540934</v>
      </c>
      <c r="D4" s="57" t="s">
        <v>434</v>
      </c>
      <c r="E4" s="59" t="n">
        <f aca="false">IFERROR(INDEX(Correspondance!$D$2:$D$3000,MATCH(A4,Correspondance!$A$2:$A$3000,0)),0)</f>
        <v>2.2</v>
      </c>
      <c r="F4" s="60" t="n">
        <f aca="false">C4*E4</f>
        <v>30.9112730390056</v>
      </c>
      <c r="G4" s="61" t="s">
        <v>3064</v>
      </c>
    </row>
    <row r="5" customFormat="false" ht="15.75" hidden="false" customHeight="false" outlineLevel="0" collapsed="false">
      <c r="A5" s="57" t="s">
        <v>1524</v>
      </c>
      <c r="B5" s="57" t="n">
        <v>2.68</v>
      </c>
      <c r="C5" s="58" t="n">
        <f aca="false">B5/B$22*B$24</f>
        <v>4.21203029004144</v>
      </c>
      <c r="D5" s="57" t="s">
        <v>434</v>
      </c>
      <c r="E5" s="59" t="n">
        <f aca="false">IFERROR(INDEX(Correspondance!$D$2:$D$3000,MATCH(A5,Correspondance!$A$2:$A$3000,0)),0)</f>
        <v>11</v>
      </c>
      <c r="F5" s="60" t="n">
        <f aca="false">C5*E5</f>
        <v>46.3323331904558</v>
      </c>
      <c r="G5" s="61"/>
      <c r="I5" s="62"/>
    </row>
    <row r="6" customFormat="false" ht="15.75" hidden="false" customHeight="false" outlineLevel="0" collapsed="false">
      <c r="A6" s="57" t="s">
        <v>587</v>
      </c>
      <c r="B6" s="57" t="n">
        <v>1.34</v>
      </c>
      <c r="C6" s="58" t="n">
        <f aca="false">B6/B$22*B$24</f>
        <v>2.10601514502072</v>
      </c>
      <c r="D6" s="57" t="s">
        <v>434</v>
      </c>
      <c r="E6" s="59" t="n">
        <f aca="false">IFERROR(INDEX(Correspondance!$D$2:$D$3000,MATCH(A6,Correspondance!$A$2:$A$3000,0)),0)</f>
        <v>8</v>
      </c>
      <c r="F6" s="60" t="n">
        <f aca="false">C6*E6</f>
        <v>16.8481211601657</v>
      </c>
      <c r="G6" s="61"/>
      <c r="I6" s="63"/>
    </row>
    <row r="7" customFormat="false" ht="15.75" hidden="false" customHeight="false" outlineLevel="0" collapsed="false">
      <c r="A7" s="57" t="s">
        <v>1003</v>
      </c>
      <c r="B7" s="57" t="n">
        <v>0.715</v>
      </c>
      <c r="C7" s="58" t="n">
        <f aca="false">B7/B$22*B$24</f>
        <v>1.12373196170882</v>
      </c>
      <c r="D7" s="57" t="s">
        <v>434</v>
      </c>
      <c r="E7" s="59" t="n">
        <f aca="false">IFERROR(INDEX(Correspondance!$D$2:$D$3000,MATCH(A7,Correspondance!$A$2:$A$3000,0)),0)</f>
        <v>1.9</v>
      </c>
      <c r="F7" s="60" t="n">
        <f aca="false">C7*E7</f>
        <v>2.13509072724675</v>
      </c>
      <c r="G7" s="61"/>
      <c r="I7" s="63"/>
    </row>
    <row r="8" customFormat="false" ht="15.75" hidden="false" customHeight="false" outlineLevel="0" collapsed="false">
      <c r="A8" s="57" t="s">
        <v>1675</v>
      </c>
      <c r="B8" s="57" t="n">
        <v>0.179</v>
      </c>
      <c r="C8" s="58" t="n">
        <f aca="false">B8/B$22*B$24</f>
        <v>0.281325903700529</v>
      </c>
      <c r="D8" s="57" t="s">
        <v>682</v>
      </c>
      <c r="E8" s="59" t="n">
        <f aca="false">IFERROR(INDEX(Correspondance!$D$2:$D$3000,MATCH(A8,Correspondance!$A$2:$A$3000,0)),0)</f>
        <v>2.2</v>
      </c>
      <c r="F8" s="60" t="n">
        <f aca="false">C8*E8</f>
        <v>0.618916988141163</v>
      </c>
      <c r="G8" s="61"/>
      <c r="I8" s="63"/>
    </row>
    <row r="9" customFormat="false" ht="15.75" hidden="false" customHeight="false" outlineLevel="0" collapsed="false">
      <c r="A9" s="57" t="s">
        <v>894</v>
      </c>
      <c r="B9" s="57" t="n">
        <v>0.045</v>
      </c>
      <c r="C9" s="58" t="n">
        <f aca="false">B9/B$22*B$24</f>
        <v>0.0707243891984569</v>
      </c>
      <c r="D9" s="57" t="s">
        <v>434</v>
      </c>
      <c r="E9" s="59" t="n">
        <f aca="false">IFERROR(INDEX(Correspondance!$D$2:$D$3000,MATCH(A9,Correspondance!$A$2:$A$3000,0)),0)</f>
        <v>5.5</v>
      </c>
      <c r="F9" s="60" t="n">
        <f aca="false">C9*E9</f>
        <v>0.388984140591513</v>
      </c>
      <c r="G9" s="61"/>
      <c r="I9" s="63"/>
    </row>
    <row r="10" customFormat="false" ht="15.75" hidden="false" customHeight="false" outlineLevel="0" collapsed="false">
      <c r="A10" s="57" t="s">
        <v>1919</v>
      </c>
      <c r="B10" s="57" t="n">
        <v>0.054</v>
      </c>
      <c r="C10" s="58" t="n">
        <f aca="false">B10/B$22*B$24</f>
        <v>0.0848692670381483</v>
      </c>
      <c r="D10" s="57" t="s">
        <v>434</v>
      </c>
      <c r="E10" s="59" t="n">
        <f aca="false">IFERROR(INDEX(Correspondance!$D$2:$D$3000,MATCH(A10,Correspondance!$A$2:$A$3000,0)),0)</f>
        <v>2</v>
      </c>
      <c r="F10" s="60" t="n">
        <f aca="false">C10*E10</f>
        <v>0.169738534076297</v>
      </c>
      <c r="G10" s="61"/>
      <c r="I10" s="63"/>
    </row>
    <row r="11" customFormat="false" ht="15.75" hidden="false" customHeight="false" outlineLevel="0" collapsed="false">
      <c r="A11" s="57" t="s">
        <v>1007</v>
      </c>
      <c r="B11" s="57" t="n">
        <v>0.045</v>
      </c>
      <c r="C11" s="58" t="n">
        <f aca="false">B11/B$22*B$24</f>
        <v>0.0707243891984569</v>
      </c>
      <c r="D11" s="57" t="s">
        <v>434</v>
      </c>
      <c r="E11" s="59" t="n">
        <f aca="false">IFERROR(INDEX(Correspondance!$D$2:$D$3000,MATCH(A11,Correspondance!$A$2:$A$3000,0)),0)</f>
        <v>8</v>
      </c>
      <c r="F11" s="60" t="n">
        <f aca="false">C11*E11</f>
        <v>0.565795113587655</v>
      </c>
      <c r="G11" s="61"/>
      <c r="I11" s="63"/>
    </row>
    <row r="12" customFormat="false" ht="18.75" hidden="false" customHeight="true" outlineLevel="0" collapsed="false">
      <c r="A12" s="57" t="s">
        <v>1814</v>
      </c>
      <c r="B12" s="64"/>
      <c r="C12" s="58" t="n">
        <f aca="false">B12/B$22*B$24</f>
        <v>0</v>
      </c>
      <c r="D12" s="57" t="s">
        <v>434</v>
      </c>
      <c r="E12" s="59" t="n">
        <f aca="false">IFERROR(INDEX(Correspondance!$D$2:$D$3000,MATCH(A12,Correspondance!$A$2:$A$3000,0)),0)</f>
        <v>18</v>
      </c>
      <c r="F12" s="60" t="n">
        <f aca="false">C12*E12</f>
        <v>0</v>
      </c>
      <c r="G12" s="61"/>
      <c r="I12" s="63"/>
    </row>
    <row r="13" customFormat="false" ht="18.75" hidden="false" customHeight="true" outlineLevel="0" collapsed="false">
      <c r="A13" s="57"/>
      <c r="B13" s="64"/>
      <c r="C13" s="58" t="n">
        <f aca="false">B13/B$22*B$24</f>
        <v>0</v>
      </c>
      <c r="D13" s="57"/>
      <c r="E13" s="65" t="n">
        <f aca="false">IFERROR(INDEX(Correspondance!$D$2:$D$3000,MATCH(A13,Correspondance!$A$2:$A$3000,0)),0)</f>
        <v>0</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97.9702528932705</v>
      </c>
      <c r="G19" s="61"/>
      <c r="I19" s="63"/>
    </row>
    <row r="20" customFormat="false" ht="18.75" hidden="false" customHeight="true" outlineLevel="0" collapsed="false">
      <c r="A20" s="68" t="s">
        <v>2628</v>
      </c>
      <c r="B20" s="69" t="n">
        <f aca="false">F19/B24</f>
        <v>0.890638662666095</v>
      </c>
      <c r="C20" s="70"/>
      <c r="G20" s="61"/>
      <c r="I20" s="63"/>
    </row>
    <row r="21" customFormat="false" ht="15.75" hidden="false" customHeight="false" outlineLevel="0" collapsed="false">
      <c r="A21" s="71" t="s">
        <v>2629</v>
      </c>
      <c r="B21" s="71" t="n">
        <f aca="false">SUM(B3:B18)</f>
        <v>13.998</v>
      </c>
      <c r="C21" s="66"/>
      <c r="G21" s="61"/>
      <c r="I21" s="63"/>
    </row>
    <row r="22" customFormat="false" ht="15.75" hidden="false" customHeight="false" outlineLevel="0" collapsed="false">
      <c r="A22" s="0" t="s">
        <v>2630</v>
      </c>
      <c r="B22" s="72" t="n">
        <f aca="false">B21/B23</f>
        <v>69.99</v>
      </c>
      <c r="C22" s="66"/>
      <c r="G22" s="61"/>
      <c r="I22" s="63"/>
    </row>
    <row r="23" customFormat="false" ht="15.75" hidden="false" customHeight="false" outlineLevel="0" collapsed="false">
      <c r="A23" s="0" t="s">
        <v>2631</v>
      </c>
      <c r="B23" s="0" t="n">
        <v>0.2</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368</v>
      </c>
      <c r="B1" s="50"/>
      <c r="C1" s="50"/>
      <c r="D1" s="50"/>
      <c r="E1" s="51" t="s">
        <v>2619</v>
      </c>
      <c r="F1" s="51"/>
      <c r="G1" s="52" t="s">
        <v>3065</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1854</v>
      </c>
      <c r="B4" s="57" t="n">
        <v>9.44</v>
      </c>
      <c r="C4" s="58" t="n">
        <f aca="false">B4/B$22*B$24</f>
        <v>14.8385252929408</v>
      </c>
      <c r="D4" s="57" t="s">
        <v>434</v>
      </c>
      <c r="E4" s="59" t="n">
        <f aca="false">IFERROR(INDEX(Correspondance!$D$2:$D$3000,MATCH(A4,Correspondance!$A$2:$A$3000,0)),0)</f>
        <v>3</v>
      </c>
      <c r="F4" s="60" t="n">
        <f aca="false">C4*E4</f>
        <v>44.5155758788225</v>
      </c>
      <c r="G4" s="61" t="s">
        <v>3066</v>
      </c>
    </row>
    <row r="5" customFormat="false" ht="15.75" hidden="false" customHeight="false" outlineLevel="0" collapsed="false">
      <c r="A5" s="57" t="s">
        <v>1001</v>
      </c>
      <c r="B5" s="57" t="n">
        <v>0.472</v>
      </c>
      <c r="C5" s="58" t="n">
        <f aca="false">B5/B$22*B$24</f>
        <v>0.741926264647042</v>
      </c>
      <c r="D5" s="57" t="s">
        <v>434</v>
      </c>
      <c r="E5" s="59" t="n">
        <f aca="false">IFERROR(INDEX(Correspondance!$D$2:$D$3000,MATCH(A5,Correspondance!$A$2:$A$3000,0)),0)</f>
        <v>1.8</v>
      </c>
      <c r="F5" s="60" t="n">
        <f aca="false">C5*E5</f>
        <v>1.33546727636468</v>
      </c>
      <c r="G5" s="61"/>
      <c r="I5" s="62"/>
    </row>
    <row r="6" customFormat="false" ht="15.75" hidden="false" customHeight="false" outlineLevel="0" collapsed="false">
      <c r="A6" s="57" t="s">
        <v>1120</v>
      </c>
      <c r="B6" s="57" t="n">
        <v>0.283</v>
      </c>
      <c r="C6" s="58" t="n">
        <f aca="false">B6/B$22*B$24</f>
        <v>0.444841383252358</v>
      </c>
      <c r="D6" s="57" t="s">
        <v>682</v>
      </c>
      <c r="E6" s="59" t="n">
        <f aca="false">IFERROR(INDEX(Correspondance!$D$2:$D$3000,MATCH(A6,Correspondance!$A$2:$A$3000,0)),0)</f>
        <v>7.5</v>
      </c>
      <c r="F6" s="60" t="n">
        <f aca="false">C6*E6</f>
        <v>3.33631037439268</v>
      </c>
      <c r="G6" s="61"/>
      <c r="I6" s="63"/>
    </row>
    <row r="7" customFormat="false" ht="15.75" hidden="false" customHeight="false" outlineLevel="0" collapsed="false">
      <c r="A7" s="57" t="s">
        <v>1491</v>
      </c>
      <c r="B7" s="57" t="n">
        <v>0.189</v>
      </c>
      <c r="C7" s="58" t="n">
        <f aca="false">B7/B$22*B$24</f>
        <v>0.297084881394684</v>
      </c>
      <c r="D7" s="57" t="s">
        <v>434</v>
      </c>
      <c r="E7" s="59" t="n">
        <f aca="false">IFERROR(INDEX(Correspondance!$D$2:$D$3000,MATCH(A7,Correspondance!$A$2:$A$3000,0)),0)</f>
        <v>9</v>
      </c>
      <c r="F7" s="60" t="n">
        <f aca="false">C7*E7</f>
        <v>2.67376393255216</v>
      </c>
      <c r="G7" s="61"/>
      <c r="I7" s="63"/>
    </row>
    <row r="8" customFormat="false" ht="15.75" hidden="false" customHeight="false" outlineLevel="0" collapsed="false">
      <c r="A8" s="57" t="s">
        <v>894</v>
      </c>
      <c r="B8" s="57" t="n">
        <v>0.047</v>
      </c>
      <c r="C8" s="58" t="n">
        <f aca="false">B8/B$22*B$24</f>
        <v>0.0738782509288368</v>
      </c>
      <c r="D8" s="57" t="s">
        <v>434</v>
      </c>
      <c r="E8" s="59" t="n">
        <f aca="false">IFERROR(INDEX(Correspondance!$D$2:$D$3000,MATCH(A8,Correspondance!$A$2:$A$3000,0)),0)</f>
        <v>5.5</v>
      </c>
      <c r="F8" s="60" t="n">
        <f aca="false">C8*E8</f>
        <v>0.406330380108602</v>
      </c>
      <c r="G8" s="61"/>
      <c r="I8" s="63"/>
    </row>
    <row r="9" customFormat="false" ht="15.75" hidden="false" customHeight="false" outlineLevel="0" collapsed="false">
      <c r="A9" s="57" t="s">
        <v>1919</v>
      </c>
      <c r="B9" s="57" t="n">
        <v>0.066</v>
      </c>
      <c r="C9" s="58" t="n">
        <f aca="false">B9/B$22*B$24</f>
        <v>0.103743926836239</v>
      </c>
      <c r="D9" s="57" t="s">
        <v>434</v>
      </c>
      <c r="E9" s="59" t="n">
        <f aca="false">IFERROR(INDEX(Correspondance!$D$2:$D$3000,MATCH(A9,Correspondance!$A$2:$A$3000,0)),0)</f>
        <v>2</v>
      </c>
      <c r="F9" s="60" t="n">
        <f aca="false">C9*E9</f>
        <v>0.207487853672478</v>
      </c>
      <c r="G9" s="61"/>
      <c r="I9" s="63"/>
    </row>
    <row r="10" customFormat="false" ht="15.75" hidden="false" customHeight="false" outlineLevel="0" collapsed="false">
      <c r="A10" s="57" t="s">
        <v>1814</v>
      </c>
      <c r="B10" s="57"/>
      <c r="C10" s="58" t="n">
        <f aca="false">B10/B$22*B$24</f>
        <v>0</v>
      </c>
      <c r="D10" s="57" t="s">
        <v>434</v>
      </c>
      <c r="E10" s="59" t="n">
        <f aca="false">IFERROR(INDEX(Correspondance!$D$2:$D$3000,MATCH(A10,Correspondance!$A$2:$A$3000,0)),0)</f>
        <v>18</v>
      </c>
      <c r="F10" s="60" t="n">
        <f aca="false">C10*E10</f>
        <v>0</v>
      </c>
      <c r="G10" s="61"/>
      <c r="I10" s="63"/>
    </row>
    <row r="11" customFormat="false" ht="15.75" hidden="false" customHeight="false" outlineLevel="0" collapsed="false">
      <c r="A11" s="57" t="s">
        <v>1664</v>
      </c>
      <c r="B11" s="57"/>
      <c r="C11" s="58" t="n">
        <f aca="false">B11/B$22*B$24</f>
        <v>0</v>
      </c>
      <c r="D11" s="57" t="s">
        <v>434</v>
      </c>
      <c r="E11" s="59" t="n">
        <f aca="false">IFERROR(INDEX(Correspondance!$D$2:$D$3000,MATCH(A11,Correspondance!$A$2:$A$3000,0)),0)</f>
        <v>11</v>
      </c>
      <c r="F11" s="60" t="n">
        <f aca="false">C11*E11</f>
        <v>0</v>
      </c>
      <c r="G11" s="61"/>
      <c r="I11" s="63"/>
    </row>
    <row r="12" customFormat="false" ht="18.75" hidden="false" customHeight="true" outlineLevel="0" collapsed="false">
      <c r="A12" s="57"/>
      <c r="B12" s="64"/>
      <c r="C12" s="58" t="n">
        <f aca="false">B12/B$22*B$24</f>
        <v>0</v>
      </c>
      <c r="D12" s="57"/>
      <c r="E12" s="65" t="n">
        <f aca="false">IFERROR(INDEX(Correspondance!$D$2:$D$3000,MATCH(A12,Correspondance!$A$2:$A$3000,0)),0)</f>
        <v>0</v>
      </c>
      <c r="F12" s="60" t="n">
        <f aca="false">C12*E12</f>
        <v>0</v>
      </c>
      <c r="G12" s="61"/>
      <c r="I12" s="63"/>
    </row>
    <row r="13" customFormat="false" ht="18.75" hidden="false" customHeight="true" outlineLevel="0" collapsed="false">
      <c r="A13" s="57"/>
      <c r="B13" s="64"/>
      <c r="C13" s="58" t="n">
        <f aca="false">B13/B$22*B$24</f>
        <v>0</v>
      </c>
      <c r="D13" s="57"/>
      <c r="E13" s="65" t="n">
        <f aca="false">IFERROR(INDEX(Correspondance!$D$2:$D$3000,MATCH(A13,Correspondance!$A$2:$A$3000,0)),0)</f>
        <v>0</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52.4749356959131</v>
      </c>
      <c r="G19" s="61"/>
      <c r="I19" s="63"/>
    </row>
    <row r="20" customFormat="false" ht="18.75" hidden="false" customHeight="true" outlineLevel="0" collapsed="false">
      <c r="A20" s="68" t="s">
        <v>2628</v>
      </c>
      <c r="B20" s="69" t="n">
        <f aca="false">F19/B24</f>
        <v>0.477044869962846</v>
      </c>
      <c r="C20" s="70"/>
      <c r="G20" s="61"/>
      <c r="I20" s="63"/>
    </row>
    <row r="21" customFormat="false" ht="15.75" hidden="false" customHeight="false" outlineLevel="0" collapsed="false">
      <c r="A21" s="71" t="s">
        <v>2629</v>
      </c>
      <c r="B21" s="71" t="n">
        <f aca="false">SUM(B3:B18)</f>
        <v>10.497</v>
      </c>
      <c r="C21" s="66"/>
      <c r="G21" s="61"/>
      <c r="I21" s="63"/>
    </row>
    <row r="22" customFormat="false" ht="15.75" hidden="false" customHeight="false" outlineLevel="0" collapsed="false">
      <c r="A22" s="0" t="s">
        <v>2630</v>
      </c>
      <c r="B22" s="72" t="n">
        <f aca="false">B21/B23</f>
        <v>69.98</v>
      </c>
      <c r="C22" s="66"/>
      <c r="G22" s="61"/>
      <c r="I22" s="63"/>
    </row>
    <row r="23" customFormat="false" ht="15.75" hidden="false" customHeight="false" outlineLevel="0" collapsed="false">
      <c r="A23" s="0" t="s">
        <v>2631</v>
      </c>
      <c r="B23" s="0" t="n">
        <v>0.15</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369</v>
      </c>
      <c r="B1" s="50"/>
      <c r="C1" s="50"/>
      <c r="D1" s="50"/>
      <c r="E1" s="51" t="s">
        <v>2619</v>
      </c>
      <c r="F1" s="51"/>
      <c r="G1" s="52" t="s">
        <v>3065</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1028</v>
      </c>
      <c r="B4" s="57" t="n">
        <v>6.07</v>
      </c>
      <c r="C4" s="58" t="n">
        <f aca="false">B4/B$22*B$24</f>
        <v>9.54235807860262</v>
      </c>
      <c r="D4" s="57" t="s">
        <v>434</v>
      </c>
      <c r="E4" s="59" t="n">
        <f aca="false">IFERROR(INDEX(Correspondance!$D$2:$D$3000,MATCH(A4,Correspondance!$A$2:$A$3000,0)),0)</f>
        <v>2.5</v>
      </c>
      <c r="F4" s="60" t="n">
        <f aca="false">C4*E4</f>
        <v>23.8558951965065</v>
      </c>
      <c r="G4" s="61" t="s">
        <v>3067</v>
      </c>
    </row>
    <row r="5" customFormat="false" ht="15.75" hidden="false" customHeight="false" outlineLevel="0" collapsed="false">
      <c r="A5" s="57" t="s">
        <v>1530</v>
      </c>
      <c r="B5" s="57" t="n">
        <v>2.02</v>
      </c>
      <c r="C5" s="58" t="n">
        <f aca="false">B5/B$22*B$24</f>
        <v>3.17554585152838</v>
      </c>
      <c r="D5" s="57" t="s">
        <v>434</v>
      </c>
      <c r="E5" s="59" t="n">
        <f aca="false">IFERROR(INDEX(Correspondance!$D$2:$D$3000,MATCH(A5,Correspondance!$A$2:$A$3000,0)),0)</f>
        <v>3.8</v>
      </c>
      <c r="F5" s="60" t="n">
        <f aca="false">C5*E5</f>
        <v>12.0670742358079</v>
      </c>
      <c r="G5" s="61"/>
      <c r="I5" s="62"/>
    </row>
    <row r="6" customFormat="false" ht="15.75" hidden="false" customHeight="false" outlineLevel="0" collapsed="false">
      <c r="A6" s="57" t="s">
        <v>977</v>
      </c>
      <c r="B6" s="57" t="n">
        <v>1.01</v>
      </c>
      <c r="C6" s="58" t="n">
        <f aca="false">B6/B$22*B$24</f>
        <v>1.58777292576419</v>
      </c>
      <c r="D6" s="57" t="s">
        <v>434</v>
      </c>
      <c r="E6" s="59" t="n">
        <f aca="false">IFERROR(INDEX(Correspondance!$D$2:$D$3000,MATCH(A6,Correspondance!$A$2:$A$3000,0)),0)</f>
        <v>2.2</v>
      </c>
      <c r="F6" s="60" t="n">
        <f aca="false">C6*E6</f>
        <v>3.49310043668122</v>
      </c>
      <c r="G6" s="61"/>
      <c r="I6" s="63"/>
    </row>
    <row r="7" customFormat="false" ht="15.75" hidden="false" customHeight="false" outlineLevel="0" collapsed="false">
      <c r="A7" s="57" t="s">
        <v>915</v>
      </c>
      <c r="B7" s="57" t="n">
        <v>1.01</v>
      </c>
      <c r="C7" s="58" t="n">
        <f aca="false">B7/B$22*B$24</f>
        <v>1.58777292576419</v>
      </c>
      <c r="D7" s="57" t="s">
        <v>434</v>
      </c>
      <c r="E7" s="59" t="n">
        <f aca="false">IFERROR(INDEX(Correspondance!$D$2:$D$3000,MATCH(A7,Correspondance!$A$2:$A$3000,0)),0)</f>
        <v>1.9</v>
      </c>
      <c r="F7" s="60" t="n">
        <f aca="false">C7*E7</f>
        <v>3.01676855895197</v>
      </c>
      <c r="G7" s="61"/>
      <c r="I7" s="63"/>
    </row>
    <row r="8" customFormat="false" ht="15.75" hidden="false" customHeight="false" outlineLevel="0" collapsed="false">
      <c r="A8" s="57" t="s">
        <v>587</v>
      </c>
      <c r="B8" s="57" t="n">
        <v>1.21</v>
      </c>
      <c r="C8" s="58" t="n">
        <f aca="false">B8/B$22*B$24</f>
        <v>1.90218340611354</v>
      </c>
      <c r="D8" s="57" t="s">
        <v>434</v>
      </c>
      <c r="E8" s="59" t="n">
        <f aca="false">IFERROR(INDEX(Correspondance!$D$2:$D$3000,MATCH(A8,Correspondance!$A$2:$A$3000,0)),0)</f>
        <v>8</v>
      </c>
      <c r="F8" s="60" t="n">
        <f aca="false">C8*E8</f>
        <v>15.2174672489083</v>
      </c>
      <c r="G8" s="61"/>
      <c r="I8" s="63"/>
    </row>
    <row r="9" customFormat="false" ht="15.75" hidden="false" customHeight="false" outlineLevel="0" collapsed="false">
      <c r="A9" s="57" t="s">
        <v>1003</v>
      </c>
      <c r="B9" s="57" t="n">
        <v>0.809</v>
      </c>
      <c r="C9" s="58" t="n">
        <f aca="false">B9/B$22*B$24</f>
        <v>1.2717903930131</v>
      </c>
      <c r="D9" s="57" t="s">
        <v>434</v>
      </c>
      <c r="E9" s="59" t="n">
        <f aca="false">IFERROR(INDEX(Correspondance!$D$2:$D$3000,MATCH(A9,Correspondance!$A$2:$A$3000,0)),0)</f>
        <v>1.9</v>
      </c>
      <c r="F9" s="60" t="n">
        <f aca="false">C9*E9</f>
        <v>2.41640174672489</v>
      </c>
      <c r="G9" s="61"/>
      <c r="I9" s="63"/>
    </row>
    <row r="10" customFormat="false" ht="15.75" hidden="false" customHeight="false" outlineLevel="0" collapsed="false">
      <c r="A10" s="57" t="s">
        <v>1675</v>
      </c>
      <c r="B10" s="57" t="n">
        <v>0.303</v>
      </c>
      <c r="C10" s="58" t="n">
        <f aca="false">B10/B$22*B$24</f>
        <v>0.476331877729258</v>
      </c>
      <c r="D10" s="57" t="s">
        <v>682</v>
      </c>
      <c r="E10" s="59" t="n">
        <f aca="false">IFERROR(INDEX(Correspondance!$D$2:$D$3000,MATCH(A10,Correspondance!$A$2:$A$3000,0)),0)</f>
        <v>2.2</v>
      </c>
      <c r="F10" s="60" t="n">
        <f aca="false">C10*E10</f>
        <v>1.04793013100437</v>
      </c>
      <c r="G10" s="61"/>
      <c r="I10" s="63"/>
    </row>
    <row r="11" customFormat="false" ht="15.75" hidden="false" customHeight="false" outlineLevel="0" collapsed="false">
      <c r="A11" s="57" t="s">
        <v>894</v>
      </c>
      <c r="B11" s="57" t="n">
        <v>0.051</v>
      </c>
      <c r="C11" s="58" t="n">
        <f aca="false">B11/B$22*B$24</f>
        <v>0.080174672489083</v>
      </c>
      <c r="D11" s="57" t="s">
        <v>434</v>
      </c>
      <c r="E11" s="59" t="n">
        <f aca="false">IFERROR(INDEX(Correspondance!$D$2:$D$3000,MATCH(A11,Correspondance!$A$2:$A$3000,0)),0)</f>
        <v>5.5</v>
      </c>
      <c r="F11" s="60" t="n">
        <f aca="false">C11*E11</f>
        <v>0.440960698689956</v>
      </c>
      <c r="G11" s="61"/>
      <c r="I11" s="63"/>
    </row>
    <row r="12" customFormat="false" ht="18.75" hidden="false" customHeight="true" outlineLevel="0" collapsed="false">
      <c r="A12" s="57" t="s">
        <v>1919</v>
      </c>
      <c r="B12" s="64" t="n">
        <v>0.061</v>
      </c>
      <c r="C12" s="58" t="n">
        <f aca="false">B12/B$22*B$24</f>
        <v>0.0958951965065502</v>
      </c>
      <c r="D12" s="57" t="s">
        <v>434</v>
      </c>
      <c r="E12" s="59" t="n">
        <f aca="false">IFERROR(INDEX(Correspondance!$D$2:$D$3000,MATCH(A12,Correspondance!$A$2:$A$3000,0)),0)</f>
        <v>2</v>
      </c>
      <c r="F12" s="60" t="n">
        <f aca="false">C12*E12</f>
        <v>0.1917903930131</v>
      </c>
      <c r="G12" s="61"/>
      <c r="I12" s="63"/>
    </row>
    <row r="13" customFormat="false" ht="18.75" hidden="false" customHeight="true" outlineLevel="0" collapsed="false">
      <c r="A13" s="57" t="s">
        <v>1007</v>
      </c>
      <c r="B13" s="64" t="n">
        <v>0.051</v>
      </c>
      <c r="C13" s="58" t="n">
        <f aca="false">B13/B$22*B$24</f>
        <v>0.080174672489083</v>
      </c>
      <c r="D13" s="57" t="s">
        <v>434</v>
      </c>
      <c r="E13" s="59" t="n">
        <f aca="false">IFERROR(INDEX(Correspondance!$D$2:$D$3000,MATCH(A13,Correspondance!$A$2:$A$3000,0)),0)</f>
        <v>8</v>
      </c>
      <c r="F13" s="60" t="n">
        <f aca="false">C13*E13</f>
        <v>0.641397379912664</v>
      </c>
      <c r="G13" s="61"/>
      <c r="I13" s="63"/>
    </row>
    <row r="14" customFormat="false" ht="15.75" hidden="false" customHeight="false" outlineLevel="0" collapsed="false">
      <c r="A14" s="57" t="s">
        <v>1814</v>
      </c>
      <c r="B14" s="57"/>
      <c r="C14" s="58" t="n">
        <f aca="false">B14/B$22*B$24</f>
        <v>0</v>
      </c>
      <c r="D14" s="57" t="s">
        <v>434</v>
      </c>
      <c r="E14" s="59" t="n">
        <f aca="false">IFERROR(INDEX(Correspondance!$D$2:$D$3000,MATCH(A14,Correspondance!$A$2:$A$3000,0)),0)</f>
        <v>18</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62.3887860262009</v>
      </c>
      <c r="G19" s="61"/>
      <c r="I19" s="63"/>
    </row>
    <row r="20" customFormat="false" ht="18.75" hidden="false" customHeight="true" outlineLevel="0" collapsed="false">
      <c r="A20" s="68" t="s">
        <v>2628</v>
      </c>
      <c r="B20" s="69" t="n">
        <f aca="false">F19/B24</f>
        <v>0.567170782056372</v>
      </c>
      <c r="C20" s="70"/>
      <c r="G20" s="61"/>
      <c r="I20" s="63"/>
    </row>
    <row r="21" customFormat="false" ht="15.75" hidden="false" customHeight="false" outlineLevel="0" collapsed="false">
      <c r="A21" s="71" t="s">
        <v>2629</v>
      </c>
      <c r="B21" s="71" t="n">
        <f aca="false">SUM(B3:B18)</f>
        <v>12.595</v>
      </c>
      <c r="C21" s="66"/>
      <c r="G21" s="61"/>
      <c r="I21" s="63"/>
    </row>
    <row r="22" customFormat="false" ht="15.75" hidden="false" customHeight="false" outlineLevel="0" collapsed="false">
      <c r="A22" s="0" t="s">
        <v>2630</v>
      </c>
      <c r="B22" s="72" t="n">
        <f aca="false">B21/B23</f>
        <v>69.9722222222222</v>
      </c>
      <c r="C22" s="66"/>
      <c r="G22" s="61"/>
      <c r="I22" s="63"/>
    </row>
    <row r="23" customFormat="false" ht="15.75" hidden="false" customHeight="false" outlineLevel="0" collapsed="false">
      <c r="A23" s="0" t="s">
        <v>2631</v>
      </c>
      <c r="B23" s="0" t="n">
        <v>0.18</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370</v>
      </c>
      <c r="B1" s="50"/>
      <c r="C1" s="50"/>
      <c r="D1" s="50"/>
      <c r="E1" s="51" t="s">
        <v>2619</v>
      </c>
      <c r="F1" s="51"/>
      <c r="G1" s="52" t="s">
        <v>3068</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921</v>
      </c>
      <c r="B4" s="57" t="n">
        <v>6.89</v>
      </c>
      <c r="C4" s="58" t="n">
        <f aca="false">B4/B$22*B$24</f>
        <v>10.824050271351</v>
      </c>
      <c r="D4" s="57" t="s">
        <v>434</v>
      </c>
      <c r="E4" s="59" t="n">
        <f aca="false">IFERROR(INDEX(Correspondance!$D$2:$D$3000,MATCH(A4,Correspondance!$A$2:$A$3000,0)),0)</f>
        <v>3.8</v>
      </c>
      <c r="F4" s="60" t="n">
        <f aca="false">C4*E4</f>
        <v>41.131391031134</v>
      </c>
      <c r="G4" s="61" t="s">
        <v>3069</v>
      </c>
    </row>
    <row r="5" customFormat="false" ht="15.75" hidden="false" customHeight="false" outlineLevel="0" collapsed="false">
      <c r="A5" s="57" t="s">
        <v>989</v>
      </c>
      <c r="B5" s="57" t="n">
        <v>1.72</v>
      </c>
      <c r="C5" s="58" t="n">
        <f aca="false">B5/B$22*B$24</f>
        <v>2.70208511853756</v>
      </c>
      <c r="D5" s="57" t="s">
        <v>434</v>
      </c>
      <c r="E5" s="59" t="n">
        <f aca="false">IFERROR(INDEX(Correspondance!$D$2:$D$3000,MATCH(A5,Correspondance!$A$2:$A$3000,0)),0)</f>
        <v>7.5</v>
      </c>
      <c r="F5" s="60" t="n">
        <f aca="false">C5*E5</f>
        <v>20.2656383890317</v>
      </c>
      <c r="G5" s="61"/>
      <c r="I5" s="62"/>
    </row>
    <row r="6" customFormat="false" ht="15.75" hidden="false" customHeight="false" outlineLevel="0" collapsed="false">
      <c r="A6" s="57" t="s">
        <v>1989</v>
      </c>
      <c r="B6" s="57" t="n">
        <v>0.344</v>
      </c>
      <c r="C6" s="58" t="n">
        <f aca="false">B6/B$22*B$24</f>
        <v>0.540417023707512</v>
      </c>
      <c r="D6" s="57" t="s">
        <v>434</v>
      </c>
      <c r="E6" s="59" t="n">
        <f aca="false">IFERROR(INDEX(Correspondance!$D$2:$D$3000,MATCH(A6,Correspondance!$A$2:$A$3000,0)),0)</f>
        <v>4.5</v>
      </c>
      <c r="F6" s="60" t="n">
        <f aca="false">C6*E6</f>
        <v>2.4318766066838</v>
      </c>
      <c r="G6" s="61"/>
      <c r="I6" s="63"/>
    </row>
    <row r="7" customFormat="false" ht="15.75" hidden="false" customHeight="false" outlineLevel="0" collapsed="false">
      <c r="A7" s="57" t="s">
        <v>1491</v>
      </c>
      <c r="B7" s="57" t="n">
        <v>0.344</v>
      </c>
      <c r="C7" s="58" t="n">
        <f aca="false">B7/B$22*B$24</f>
        <v>0.540417023707512</v>
      </c>
      <c r="D7" s="57" t="s">
        <v>434</v>
      </c>
      <c r="E7" s="59" t="n">
        <f aca="false">IFERROR(INDEX(Correspondance!$D$2:$D$3000,MATCH(A7,Correspondance!$A$2:$A$3000,0)),0)</f>
        <v>9</v>
      </c>
      <c r="F7" s="60" t="n">
        <f aca="false">C7*E7</f>
        <v>4.86375321336761</v>
      </c>
      <c r="G7" s="61"/>
      <c r="I7" s="63"/>
    </row>
    <row r="8" customFormat="false" ht="15.75" hidden="false" customHeight="false" outlineLevel="0" collapsed="false">
      <c r="A8" s="57" t="s">
        <v>1675</v>
      </c>
      <c r="B8" s="57" t="n">
        <v>0.172</v>
      </c>
      <c r="C8" s="58" t="n">
        <f aca="false">B8/B$22*B$24</f>
        <v>0.270208511853756</v>
      </c>
      <c r="D8" s="57" t="s">
        <v>682</v>
      </c>
      <c r="E8" s="59" t="n">
        <f aca="false">IFERROR(INDEX(Correspondance!$D$2:$D$3000,MATCH(A8,Correspondance!$A$2:$A$3000,0)),0)</f>
        <v>2.2</v>
      </c>
      <c r="F8" s="60" t="n">
        <f aca="false">C8*E8</f>
        <v>0.594458726078263</v>
      </c>
      <c r="G8" s="61"/>
      <c r="I8" s="63"/>
    </row>
    <row r="9" customFormat="false" ht="15.75" hidden="false" customHeight="false" outlineLevel="0" collapsed="false">
      <c r="A9" s="57" t="s">
        <v>894</v>
      </c>
      <c r="B9" s="57" t="n">
        <v>0.043</v>
      </c>
      <c r="C9" s="58" t="n">
        <f aca="false">B9/B$22*B$24</f>
        <v>0.067552127963439</v>
      </c>
      <c r="D9" s="57" t="s">
        <v>434</v>
      </c>
      <c r="E9" s="59" t="n">
        <f aca="false">IFERROR(INDEX(Correspondance!$D$2:$D$3000,MATCH(A9,Correspondance!$A$2:$A$3000,0)),0)</f>
        <v>5.5</v>
      </c>
      <c r="F9" s="60" t="n">
        <f aca="false">C9*E9</f>
        <v>0.371536703798915</v>
      </c>
      <c r="G9" s="61"/>
      <c r="I9" s="63"/>
    </row>
    <row r="10" customFormat="false" ht="15.75" hidden="false" customHeight="false" outlineLevel="0" collapsed="false">
      <c r="A10" s="57" t="s">
        <v>1577</v>
      </c>
      <c r="B10" s="57" t="n">
        <v>0.861</v>
      </c>
      <c r="C10" s="58" t="n">
        <f aca="false">B10/B$22*B$24</f>
        <v>1.35261353898886</v>
      </c>
      <c r="D10" s="57" t="s">
        <v>434</v>
      </c>
      <c r="E10" s="59" t="n">
        <f aca="false">IFERROR(INDEX(Correspondance!$D$2:$D$3000,MATCH(A10,Correspondance!$A$2:$A$3000,0)),0)</f>
        <v>5.5</v>
      </c>
      <c r="F10" s="60" t="n">
        <f aca="false">C10*E10</f>
        <v>7.43937446443873</v>
      </c>
      <c r="G10" s="61"/>
      <c r="I10" s="63"/>
    </row>
    <row r="11" customFormat="false" ht="15.75" hidden="false" customHeight="false" outlineLevel="0" collapsed="false">
      <c r="A11" s="57" t="s">
        <v>1007</v>
      </c>
      <c r="B11" s="57" t="n">
        <v>0.069</v>
      </c>
      <c r="C11" s="58" t="n">
        <f aca="false">B11/B$22*B$24</f>
        <v>0.108397600685518</v>
      </c>
      <c r="D11" s="57" t="s">
        <v>434</v>
      </c>
      <c r="E11" s="59" t="n">
        <f aca="false">IFERROR(INDEX(Correspondance!$D$2:$D$3000,MATCH(A11,Correspondance!$A$2:$A$3000,0)),0)</f>
        <v>8</v>
      </c>
      <c r="F11" s="60" t="n">
        <f aca="false">C11*E11</f>
        <v>0.867180805484147</v>
      </c>
      <c r="G11" s="61"/>
      <c r="I11" s="63"/>
    </row>
    <row r="12" customFormat="false" ht="18.75" hidden="false" customHeight="true" outlineLevel="0" collapsed="false">
      <c r="A12" s="57" t="s">
        <v>1919</v>
      </c>
      <c r="B12" s="64" t="n">
        <v>0.06</v>
      </c>
      <c r="C12" s="58" t="n">
        <f aca="false">B12/B$22*B$24</f>
        <v>0.0942587832047986</v>
      </c>
      <c r="D12" s="57" t="s">
        <v>434</v>
      </c>
      <c r="E12" s="59" t="n">
        <f aca="false">IFERROR(INDEX(Correspondance!$D$2:$D$3000,MATCH(A12,Correspondance!$A$2:$A$3000,0)),0)</f>
        <v>2</v>
      </c>
      <c r="F12" s="60" t="n">
        <f aca="false">C12*E12</f>
        <v>0.188517566409597</v>
      </c>
      <c r="G12" s="61"/>
      <c r="I12" s="63"/>
    </row>
    <row r="13" customFormat="false" ht="18.75" hidden="false" customHeight="true" outlineLevel="0" collapsed="false">
      <c r="A13" s="57" t="s">
        <v>1814</v>
      </c>
      <c r="B13" s="64"/>
      <c r="C13" s="58" t="n">
        <f aca="false">B13/B$22*B$24</f>
        <v>0</v>
      </c>
      <c r="D13" s="57" t="s">
        <v>434</v>
      </c>
      <c r="E13" s="59" t="n">
        <f aca="false">IFERROR(INDEX(Correspondance!$D$2:$D$3000,MATCH(A13,Correspondance!$A$2:$A$3000,0)),0)</f>
        <v>18</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78.1537275064267</v>
      </c>
      <c r="G19" s="61"/>
      <c r="I19" s="63"/>
    </row>
    <row r="20" customFormat="false" ht="18.75" hidden="false" customHeight="true" outlineLevel="0" collapsed="false">
      <c r="A20" s="68" t="s">
        <v>2628</v>
      </c>
      <c r="B20" s="69" t="n">
        <f aca="false">F19/B24</f>
        <v>0.710488431876607</v>
      </c>
      <c r="C20" s="70"/>
      <c r="G20" s="61"/>
      <c r="I20" s="63"/>
    </row>
    <row r="21" customFormat="false" ht="15.75" hidden="false" customHeight="false" outlineLevel="0" collapsed="false">
      <c r="A21" s="71" t="s">
        <v>2629</v>
      </c>
      <c r="B21" s="71" t="n">
        <f aca="false">SUM(B3:B18)</f>
        <v>10.503</v>
      </c>
      <c r="C21" s="66"/>
      <c r="G21" s="61"/>
      <c r="I21" s="63"/>
    </row>
    <row r="22" customFormat="false" ht="15.75" hidden="false" customHeight="false" outlineLevel="0" collapsed="false">
      <c r="A22" s="0" t="s">
        <v>2630</v>
      </c>
      <c r="B22" s="72" t="n">
        <f aca="false">B21/B23</f>
        <v>70.02</v>
      </c>
      <c r="C22" s="66"/>
      <c r="G22" s="61"/>
      <c r="I22" s="63"/>
    </row>
    <row r="23" customFormat="false" ht="15.75" hidden="false" customHeight="false" outlineLevel="0" collapsed="false">
      <c r="A23" s="0" t="s">
        <v>2631</v>
      </c>
      <c r="B23" s="0" t="n">
        <v>0.15</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371</v>
      </c>
      <c r="B1" s="50"/>
      <c r="C1" s="50"/>
      <c r="D1" s="50"/>
      <c r="E1" s="51" t="s">
        <v>2619</v>
      </c>
      <c r="F1" s="51"/>
      <c r="G1" s="52" t="s">
        <v>3051</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1686</v>
      </c>
      <c r="B4" s="57" t="n">
        <v>8.68</v>
      </c>
      <c r="C4" s="58" t="n">
        <f aca="false">B4/B$22*B$24</f>
        <v>13.6490993995997</v>
      </c>
      <c r="D4" s="57" t="s">
        <v>434</v>
      </c>
      <c r="E4" s="59" t="n">
        <f aca="false">IFERROR(INDEX(Correspondance!$D$2:$D$3000,MATCH(A4,Correspondance!$A$2:$A$3000,0)),0)</f>
        <v>2.4</v>
      </c>
      <c r="F4" s="60" t="n">
        <f aca="false">C4*E4</f>
        <v>32.7578385590394</v>
      </c>
      <c r="G4" s="61" t="s">
        <v>3070</v>
      </c>
    </row>
    <row r="5" customFormat="false" ht="15.75" hidden="false" customHeight="false" outlineLevel="0" collapsed="false">
      <c r="A5" s="57" t="s">
        <v>1491</v>
      </c>
      <c r="B5" s="57" t="n">
        <v>0.347</v>
      </c>
      <c r="C5" s="58" t="n">
        <f aca="false">B5/B$22*B$24</f>
        <v>0.545649480606118</v>
      </c>
      <c r="D5" s="57" t="s">
        <v>434</v>
      </c>
      <c r="E5" s="59" t="n">
        <f aca="false">IFERROR(INDEX(Correspondance!$D$2:$D$3000,MATCH(A5,Correspondance!$A$2:$A$3000,0)),0)</f>
        <v>9</v>
      </c>
      <c r="F5" s="60" t="n">
        <f aca="false">C5*E5</f>
        <v>4.91084532545507</v>
      </c>
      <c r="G5" s="61"/>
      <c r="I5" s="62"/>
    </row>
    <row r="6" customFormat="false" ht="15.75" hidden="false" customHeight="false" outlineLevel="0" collapsed="false">
      <c r="A6" s="57" t="s">
        <v>1001</v>
      </c>
      <c r="B6" s="57" t="n">
        <v>0.434</v>
      </c>
      <c r="C6" s="58" t="n">
        <f aca="false">B6/B$22*B$24</f>
        <v>0.682454969979987</v>
      </c>
      <c r="D6" s="57" t="s">
        <v>434</v>
      </c>
      <c r="E6" s="59" t="n">
        <f aca="false">IFERROR(INDEX(Correspondance!$D$2:$D$3000,MATCH(A6,Correspondance!$A$2:$A$3000,0)),0)</f>
        <v>1.8</v>
      </c>
      <c r="F6" s="60" t="n">
        <f aca="false">C6*E6</f>
        <v>1.22841894596398</v>
      </c>
      <c r="G6" s="61"/>
      <c r="I6" s="63"/>
    </row>
    <row r="7" customFormat="false" ht="15.75" hidden="false" customHeight="false" outlineLevel="0" collapsed="false">
      <c r="A7" s="57" t="s">
        <v>1056</v>
      </c>
      <c r="B7" s="57" t="n">
        <v>0.043</v>
      </c>
      <c r="C7" s="58" t="n">
        <f aca="false">B7/B$22*B$24</f>
        <v>0.0676165062422567</v>
      </c>
      <c r="D7" s="57" t="s">
        <v>434</v>
      </c>
      <c r="E7" s="59" t="n">
        <f aca="false">IFERROR(INDEX(Correspondance!$D$2:$D$3000,MATCH(A7,Correspondance!$A$2:$A$3000,0)),0)</f>
        <v>9</v>
      </c>
      <c r="F7" s="60" t="n">
        <f aca="false">C7*E7</f>
        <v>0.608548556180311</v>
      </c>
      <c r="G7" s="61"/>
      <c r="I7" s="63"/>
    </row>
    <row r="8" customFormat="false" ht="15.75" hidden="false" customHeight="false" outlineLevel="0" collapsed="false">
      <c r="A8" s="57" t="s">
        <v>1459</v>
      </c>
      <c r="B8" s="57" t="n">
        <v>0.868</v>
      </c>
      <c r="C8" s="58" t="n">
        <f aca="false">B8/B$22*B$24</f>
        <v>1.36490993995997</v>
      </c>
      <c r="D8" s="57" t="s">
        <v>682</v>
      </c>
      <c r="E8" s="59" t="n">
        <f aca="false">IFERROR(INDEX(Correspondance!$D$2:$D$3000,MATCH(A8,Correspondance!$A$2:$A$3000,0)),0)</f>
        <v>0</v>
      </c>
      <c r="F8" s="60" t="n">
        <f aca="false">C8*E8</f>
        <v>0</v>
      </c>
      <c r="G8" s="61"/>
      <c r="I8" s="63"/>
    </row>
    <row r="9" customFormat="false" ht="15.75" hidden="false" customHeight="false" outlineLevel="0" collapsed="false">
      <c r="A9" s="57" t="s">
        <v>1937</v>
      </c>
      <c r="B9" s="57" t="n">
        <v>0.026</v>
      </c>
      <c r="C9" s="58" t="n">
        <f aca="false">B9/B$22*B$24</f>
        <v>0.040884399123225</v>
      </c>
      <c r="D9" s="57" t="s">
        <v>434</v>
      </c>
      <c r="E9" s="59" t="n">
        <f aca="false">IFERROR(INDEX(Correspondance!$D$2:$D$3000,MATCH(A9,Correspondance!$A$2:$A$3000,0)),0)</f>
        <v>1.3</v>
      </c>
      <c r="F9" s="60" t="n">
        <f aca="false">C9*E9</f>
        <v>0.0531497188601925</v>
      </c>
      <c r="G9" s="61"/>
      <c r="I9" s="63"/>
    </row>
    <row r="10" customFormat="false" ht="15.75" hidden="false" customHeight="false" outlineLevel="0" collapsed="false">
      <c r="A10" s="57" t="s">
        <v>1919</v>
      </c>
      <c r="B10" s="57" t="n">
        <v>0.052</v>
      </c>
      <c r="C10" s="58" t="n">
        <f aca="false">B10/B$22*B$24</f>
        <v>0.08176879824645</v>
      </c>
      <c r="D10" s="57" t="s">
        <v>434</v>
      </c>
      <c r="E10" s="59" t="n">
        <f aca="false">IFERROR(INDEX(Correspondance!$D$2:$D$3000,MATCH(A10,Correspondance!$A$2:$A$3000,0)),0)</f>
        <v>2</v>
      </c>
      <c r="F10" s="60" t="n">
        <f aca="false">C10*E10</f>
        <v>0.1635375964929</v>
      </c>
      <c r="G10" s="61"/>
      <c r="I10" s="63"/>
    </row>
    <row r="11" customFormat="false" ht="15.75" hidden="false" customHeight="false" outlineLevel="0" collapsed="false">
      <c r="A11" s="57" t="s">
        <v>1007</v>
      </c>
      <c r="B11" s="57" t="n">
        <v>0.043</v>
      </c>
      <c r="C11" s="58" t="n">
        <f aca="false">B11/B$22*B$24</f>
        <v>0.0676165062422567</v>
      </c>
      <c r="D11" s="57" t="s">
        <v>434</v>
      </c>
      <c r="E11" s="59" t="n">
        <f aca="false">IFERROR(INDEX(Correspondance!$D$2:$D$3000,MATCH(A11,Correspondance!$A$2:$A$3000,0)),0)</f>
        <v>8</v>
      </c>
      <c r="F11" s="60" t="n">
        <f aca="false">C11*E11</f>
        <v>0.540932049938054</v>
      </c>
      <c r="G11" s="61"/>
      <c r="I11" s="63"/>
    </row>
    <row r="12" customFormat="false" ht="18.75" hidden="false" customHeight="true" outlineLevel="0" collapsed="false">
      <c r="A12" s="57" t="s">
        <v>1814</v>
      </c>
      <c r="B12" s="64"/>
      <c r="C12" s="58" t="n">
        <f aca="false">B12/B$22*B$24</f>
        <v>0</v>
      </c>
      <c r="D12" s="57" t="s">
        <v>434</v>
      </c>
      <c r="E12" s="59" t="n">
        <f aca="false">IFERROR(INDEX(Correspondance!$D$2:$D$3000,MATCH(A12,Correspondance!$A$2:$A$3000,0)),0)</f>
        <v>18</v>
      </c>
      <c r="F12" s="60" t="n">
        <f aca="false">C12*E12</f>
        <v>0</v>
      </c>
      <c r="G12" s="61"/>
      <c r="I12" s="63"/>
    </row>
    <row r="13" customFormat="false" ht="18.75" hidden="false" customHeight="true" outlineLevel="0" collapsed="false">
      <c r="A13" s="57"/>
      <c r="B13" s="64"/>
      <c r="C13" s="58" t="n">
        <f aca="false">B13/B$22*B$24</f>
        <v>0</v>
      </c>
      <c r="D13" s="57"/>
      <c r="E13" s="65" t="n">
        <f aca="false">IFERROR(INDEX(Correspondance!$D$2:$D$3000,MATCH(A13,Correspondance!$A$2:$A$3000,0)),0)</f>
        <v>0</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40.2632707519299</v>
      </c>
      <c r="G19" s="61"/>
      <c r="I19" s="63"/>
    </row>
    <row r="20" customFormat="false" ht="18.75" hidden="false" customHeight="true" outlineLevel="0" collapsed="false">
      <c r="A20" s="68" t="s">
        <v>2628</v>
      </c>
      <c r="B20" s="69" t="n">
        <f aca="false">F19/B24</f>
        <v>0.366029734108453</v>
      </c>
      <c r="C20" s="70"/>
      <c r="G20" s="61"/>
      <c r="I20" s="63"/>
    </row>
    <row r="21" customFormat="false" ht="15.75" hidden="false" customHeight="false" outlineLevel="0" collapsed="false">
      <c r="A21" s="71" t="s">
        <v>2629</v>
      </c>
      <c r="B21" s="71" t="n">
        <f aca="false">SUM(B3:B18)</f>
        <v>10.493</v>
      </c>
      <c r="C21" s="66"/>
      <c r="G21" s="61"/>
      <c r="I21" s="63"/>
    </row>
    <row r="22" customFormat="false" ht="15.75" hidden="false" customHeight="false" outlineLevel="0" collapsed="false">
      <c r="A22" s="0" t="s">
        <v>2630</v>
      </c>
      <c r="B22" s="72" t="n">
        <f aca="false">B21/B23</f>
        <v>69.9533333333333</v>
      </c>
      <c r="C22" s="66"/>
      <c r="G22" s="61"/>
      <c r="I22" s="63"/>
    </row>
    <row r="23" customFormat="false" ht="15.75" hidden="false" customHeight="false" outlineLevel="0" collapsed="false">
      <c r="A23" s="0" t="s">
        <v>2631</v>
      </c>
      <c r="B23" s="0" t="n">
        <v>0.15</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372</v>
      </c>
      <c r="B1" s="50"/>
      <c r="C1" s="50"/>
      <c r="D1" s="50"/>
      <c r="E1" s="51" t="s">
        <v>2619</v>
      </c>
      <c r="F1" s="51"/>
      <c r="G1" s="52" t="s">
        <v>3057</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985</v>
      </c>
      <c r="B4" s="57" t="n">
        <v>9.62</v>
      </c>
      <c r="C4" s="58" t="n">
        <f aca="false">B4/B$22*B$24</f>
        <v>15.1113861386139</v>
      </c>
      <c r="D4" s="57" t="s">
        <v>434</v>
      </c>
      <c r="E4" s="59" t="n">
        <f aca="false">IFERROR(INDEX(Correspondance!$D$2:$D$3000,MATCH(A4,Correspondance!$A$2:$A$3000,0)),0)</f>
        <v>2.2</v>
      </c>
      <c r="F4" s="60" t="n">
        <f aca="false">C4*E4</f>
        <v>33.2450495049505</v>
      </c>
      <c r="G4" s="61" t="s">
        <v>3071</v>
      </c>
    </row>
    <row r="5" customFormat="false" ht="15.75" hidden="false" customHeight="false" outlineLevel="0" collapsed="false">
      <c r="A5" s="57" t="s">
        <v>1491</v>
      </c>
      <c r="B5" s="57" t="n">
        <v>0.481</v>
      </c>
      <c r="C5" s="58" t="n">
        <f aca="false">B5/B$22*B$24</f>
        <v>0.755569306930693</v>
      </c>
      <c r="D5" s="57" t="s">
        <v>434</v>
      </c>
      <c r="E5" s="59" t="n">
        <f aca="false">IFERROR(INDEX(Correspondance!$D$2:$D$3000,MATCH(A5,Correspondance!$A$2:$A$3000,0)),0)</f>
        <v>9</v>
      </c>
      <c r="F5" s="60" t="n">
        <f aca="false">C5*E5</f>
        <v>6.80012376237624</v>
      </c>
      <c r="G5" s="61"/>
      <c r="I5" s="62"/>
    </row>
    <row r="6" customFormat="false" ht="15.75" hidden="false" customHeight="false" outlineLevel="0" collapsed="false">
      <c r="A6" s="57" t="s">
        <v>1001</v>
      </c>
      <c r="B6" s="57" t="n">
        <v>0.288</v>
      </c>
      <c r="C6" s="58" t="n">
        <f aca="false">B6/B$22*B$24</f>
        <v>0.452399086062452</v>
      </c>
      <c r="D6" s="57" t="s">
        <v>434</v>
      </c>
      <c r="E6" s="59" t="n">
        <f aca="false">IFERROR(INDEX(Correspondance!$D$2:$D$3000,MATCH(A6,Correspondance!$A$2:$A$3000,0)),0)</f>
        <v>1.8</v>
      </c>
      <c r="F6" s="60" t="n">
        <f aca="false">C6*E6</f>
        <v>0.814318354912414</v>
      </c>
      <c r="G6" s="61"/>
      <c r="I6" s="63"/>
    </row>
    <row r="7" customFormat="false" ht="15.75" hidden="false" customHeight="false" outlineLevel="0" collapsed="false">
      <c r="A7" s="57" t="s">
        <v>1919</v>
      </c>
      <c r="B7" s="57" t="n">
        <v>0.067</v>
      </c>
      <c r="C7" s="58" t="n">
        <f aca="false">B7/B$22*B$24</f>
        <v>0.105245620715918</v>
      </c>
      <c r="D7" s="57" t="s">
        <v>434</v>
      </c>
      <c r="E7" s="59" t="n">
        <f aca="false">IFERROR(INDEX(Correspondance!$D$2:$D$3000,MATCH(A7,Correspondance!$A$2:$A$3000,0)),0)</f>
        <v>2</v>
      </c>
      <c r="F7" s="60" t="n">
        <f aca="false">C7*E7</f>
        <v>0.210491241431836</v>
      </c>
      <c r="G7" s="61"/>
      <c r="I7" s="63"/>
    </row>
    <row r="8" customFormat="false" ht="15.75" hidden="false" customHeight="false" outlineLevel="0" collapsed="false">
      <c r="A8" s="57" t="s">
        <v>1007</v>
      </c>
      <c r="B8" s="57" t="n">
        <v>0.048</v>
      </c>
      <c r="C8" s="58" t="n">
        <f aca="false">B8/B$22*B$24</f>
        <v>0.0753998476770754</v>
      </c>
      <c r="D8" s="57" t="s">
        <v>434</v>
      </c>
      <c r="E8" s="59" t="n">
        <f aca="false">IFERROR(INDEX(Correspondance!$D$2:$D$3000,MATCH(A8,Correspondance!$A$2:$A$3000,0)),0)</f>
        <v>8</v>
      </c>
      <c r="F8" s="60" t="n">
        <f aca="false">C8*E8</f>
        <v>0.603198781416603</v>
      </c>
      <c r="G8" s="61"/>
      <c r="I8" s="63"/>
    </row>
    <row r="9" customFormat="false" ht="15.75" hidden="false" customHeight="false" outlineLevel="0" collapsed="false">
      <c r="A9" s="57" t="s">
        <v>1814</v>
      </c>
      <c r="B9" s="57"/>
      <c r="C9" s="58" t="n">
        <f aca="false">B9/B$22*B$24</f>
        <v>0</v>
      </c>
      <c r="D9" s="57" t="s">
        <v>434</v>
      </c>
      <c r="E9" s="59" t="n">
        <f aca="false">IFERROR(INDEX(Correspondance!$D$2:$D$3000,MATCH(A9,Correspondance!$A$2:$A$3000,0)),0)</f>
        <v>18</v>
      </c>
      <c r="F9" s="60" t="n">
        <f aca="false">C9*E9</f>
        <v>0</v>
      </c>
      <c r="G9" s="61"/>
      <c r="I9" s="63"/>
    </row>
    <row r="10" customFormat="false" ht="15.75" hidden="false" customHeight="false" outlineLevel="0" collapsed="false">
      <c r="A10" s="57" t="s">
        <v>1732</v>
      </c>
      <c r="B10" s="57"/>
      <c r="C10" s="58" t="n">
        <f aca="false">B10/B$22*B$24</f>
        <v>0</v>
      </c>
      <c r="D10" s="57" t="s">
        <v>434</v>
      </c>
      <c r="E10" s="59" t="n">
        <f aca="false">IFERROR(INDEX(Correspondance!$D$2:$D$3000,MATCH(A10,Correspondance!$A$2:$A$3000,0)),0)</f>
        <v>30</v>
      </c>
      <c r="F10" s="60" t="n">
        <f aca="false">C10*E10</f>
        <v>0</v>
      </c>
      <c r="G10" s="61"/>
      <c r="I10" s="63"/>
    </row>
    <row r="11" customFormat="false" ht="15.75" hidden="false" customHeight="false" outlineLevel="0" collapsed="false">
      <c r="A11" s="57"/>
      <c r="B11" s="57"/>
      <c r="C11" s="58" t="n">
        <f aca="false">B11/B$22*B$24</f>
        <v>0</v>
      </c>
      <c r="D11" s="57"/>
      <c r="E11" s="65" t="n">
        <f aca="false">IFERROR(INDEX(Correspondance!$D$2:$D$3000,MATCH(A11,Correspondance!$A$2:$A$3000,0)),0)</f>
        <v>0</v>
      </c>
      <c r="F11" s="60" t="n">
        <f aca="false">C11*E11</f>
        <v>0</v>
      </c>
      <c r="G11" s="61"/>
      <c r="I11" s="63"/>
    </row>
    <row r="12" customFormat="false" ht="18.75" hidden="false" customHeight="true" outlineLevel="0" collapsed="false">
      <c r="A12" s="57"/>
      <c r="B12" s="64"/>
      <c r="C12" s="58" t="n">
        <f aca="false">B12/B$22*B$24</f>
        <v>0</v>
      </c>
      <c r="D12" s="57"/>
      <c r="E12" s="65" t="n">
        <f aca="false">IFERROR(INDEX(Correspondance!$D$2:$D$3000,MATCH(A12,Correspondance!$A$2:$A$3000,0)),0)</f>
        <v>0</v>
      </c>
      <c r="F12" s="60" t="n">
        <f aca="false">C12*E12</f>
        <v>0</v>
      </c>
      <c r="G12" s="61"/>
      <c r="I12" s="63"/>
    </row>
    <row r="13" customFormat="false" ht="18.75" hidden="false" customHeight="true" outlineLevel="0" collapsed="false">
      <c r="A13" s="57"/>
      <c r="B13" s="64"/>
      <c r="C13" s="58" t="n">
        <f aca="false">B13/B$22*B$24</f>
        <v>0</v>
      </c>
      <c r="D13" s="57"/>
      <c r="E13" s="65" t="n">
        <f aca="false">IFERROR(INDEX(Correspondance!$D$2:$D$3000,MATCH(A13,Correspondance!$A$2:$A$3000,0)),0)</f>
        <v>0</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41.6731816450876</v>
      </c>
      <c r="G19" s="61"/>
      <c r="I19" s="63"/>
    </row>
    <row r="20" customFormat="false" ht="18.75" hidden="false" customHeight="true" outlineLevel="0" collapsed="false">
      <c r="A20" s="68" t="s">
        <v>2628</v>
      </c>
      <c r="B20" s="69" t="n">
        <f aca="false">F19/B24</f>
        <v>0.378847105864433</v>
      </c>
      <c r="C20" s="70"/>
      <c r="G20" s="61"/>
      <c r="I20" s="63"/>
    </row>
    <row r="21" customFormat="false" ht="15.75" hidden="false" customHeight="false" outlineLevel="0" collapsed="false">
      <c r="A21" s="71" t="s">
        <v>2629</v>
      </c>
      <c r="B21" s="71" t="n">
        <f aca="false">SUM(B3:B18)</f>
        <v>10.504</v>
      </c>
      <c r="C21" s="66"/>
      <c r="G21" s="61"/>
      <c r="I21" s="63"/>
    </row>
    <row r="22" customFormat="false" ht="15.75" hidden="false" customHeight="false" outlineLevel="0" collapsed="false">
      <c r="A22" s="0" t="s">
        <v>2630</v>
      </c>
      <c r="B22" s="72" t="n">
        <f aca="false">B21/B23</f>
        <v>70.0266666666667</v>
      </c>
      <c r="C22" s="66"/>
      <c r="G22" s="61"/>
      <c r="I22" s="63"/>
    </row>
    <row r="23" customFormat="false" ht="15.75" hidden="false" customHeight="false" outlineLevel="0" collapsed="false">
      <c r="A23" s="0" t="s">
        <v>2631</v>
      </c>
      <c r="B23" s="0" t="n">
        <v>0.15</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373</v>
      </c>
      <c r="B1" s="50"/>
      <c r="C1" s="50"/>
      <c r="D1" s="50"/>
      <c r="E1" s="51" t="s">
        <v>2619</v>
      </c>
      <c r="F1" s="51"/>
      <c r="G1" s="52" t="s">
        <v>3072</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1850</v>
      </c>
      <c r="B4" s="57" t="n">
        <v>8.87</v>
      </c>
      <c r="C4" s="58" t="n">
        <f aca="false">B4/B$22*B$24</f>
        <v>13.9385714285714</v>
      </c>
      <c r="D4" s="57" t="s">
        <v>434</v>
      </c>
      <c r="E4" s="59" t="n">
        <f aca="false">IFERROR(INDEX(Correspondance!$D$2:$D$3000,MATCH(A4,Correspondance!$A$2:$A$3000,0)),0)</f>
        <v>2.4</v>
      </c>
      <c r="F4" s="60" t="n">
        <f aca="false">C4*E4</f>
        <v>33.4525714285714</v>
      </c>
      <c r="G4" s="61" t="s">
        <v>3073</v>
      </c>
    </row>
    <row r="5" customFormat="false" ht="15.75" hidden="false" customHeight="false" outlineLevel="0" collapsed="false">
      <c r="A5" s="57" t="s">
        <v>1001</v>
      </c>
      <c r="B5" s="57" t="n">
        <v>0.443</v>
      </c>
      <c r="C5" s="58" t="n">
        <f aca="false">B5/B$22*B$24</f>
        <v>0.696142857142857</v>
      </c>
      <c r="D5" s="57" t="s">
        <v>434</v>
      </c>
      <c r="E5" s="59" t="n">
        <f aca="false">IFERROR(INDEX(Correspondance!$D$2:$D$3000,MATCH(A5,Correspondance!$A$2:$A$3000,0)),0)</f>
        <v>1.8</v>
      </c>
      <c r="F5" s="60" t="n">
        <f aca="false">C5*E5</f>
        <v>1.25305714285714</v>
      </c>
      <c r="G5" s="61"/>
      <c r="I5" s="62"/>
    </row>
    <row r="6" customFormat="false" ht="15.75" hidden="false" customHeight="false" outlineLevel="0" collapsed="false">
      <c r="A6" s="57" t="s">
        <v>1576</v>
      </c>
      <c r="B6" s="57" t="n">
        <v>1.77</v>
      </c>
      <c r="C6" s="58" t="n">
        <f aca="false">B6/B$22*B$24</f>
        <v>2.78142857142857</v>
      </c>
      <c r="D6" s="57" t="s">
        <v>434</v>
      </c>
      <c r="E6" s="59" t="n">
        <f aca="false">IFERROR(INDEX(Correspondance!$D$2:$D$3000,MATCH(A6,Correspondance!$A$2:$A$3000,0)),0)</f>
        <v>5.5</v>
      </c>
      <c r="F6" s="60" t="n">
        <f aca="false">C6*E6</f>
        <v>15.2978571428571</v>
      </c>
      <c r="G6" s="61"/>
      <c r="I6" s="63"/>
    </row>
    <row r="7" customFormat="false" ht="15.75" hidden="false" customHeight="false" outlineLevel="0" collapsed="false">
      <c r="A7" s="57" t="s">
        <v>1695</v>
      </c>
      <c r="B7" s="57" t="n">
        <v>0.887</v>
      </c>
      <c r="C7" s="58" t="n">
        <f aca="false">B7/B$22*B$24</f>
        <v>1.39385714285714</v>
      </c>
      <c r="D7" s="57" t="s">
        <v>682</v>
      </c>
      <c r="E7" s="59" t="n">
        <f aca="false">IFERROR(INDEX(Correspondance!$D$2:$D$3000,MATCH(A7,Correspondance!$A$2:$A$3000,0)),0)</f>
        <v>2.5</v>
      </c>
      <c r="F7" s="60" t="n">
        <f aca="false">C7*E7</f>
        <v>3.48464285714286</v>
      </c>
      <c r="G7" s="61"/>
      <c r="I7" s="63"/>
    </row>
    <row r="8" customFormat="false" ht="15.75" hidden="false" customHeight="false" outlineLevel="0" collapsed="false">
      <c r="A8" s="57" t="s">
        <v>2000</v>
      </c>
      <c r="B8" s="57" t="n">
        <v>0.887</v>
      </c>
      <c r="C8" s="58" t="n">
        <f aca="false">B8/B$22*B$24</f>
        <v>1.39385714285714</v>
      </c>
      <c r="D8" s="57" t="s">
        <v>682</v>
      </c>
      <c r="E8" s="59" t="n">
        <f aca="false">IFERROR(INDEX(Correspondance!$D$2:$D$3000,MATCH(A8,Correspondance!$A$2:$A$3000,0)),0)</f>
        <v>3.8</v>
      </c>
      <c r="F8" s="60" t="n">
        <f aca="false">C8*E8</f>
        <v>5.29665714285714</v>
      </c>
      <c r="G8" s="61"/>
      <c r="I8" s="63"/>
    </row>
    <row r="9" customFormat="false" ht="15.75" hidden="false" customHeight="false" outlineLevel="0" collapsed="false">
      <c r="A9" s="57" t="s">
        <v>706</v>
      </c>
      <c r="B9" s="57" t="n">
        <v>0.709</v>
      </c>
      <c r="C9" s="58" t="n">
        <f aca="false">B9/B$22*B$24</f>
        <v>1.11414285714286</v>
      </c>
      <c r="D9" s="57" t="s">
        <v>434</v>
      </c>
      <c r="E9" s="59" t="n">
        <f aca="false">IFERROR(INDEX(Correspondance!$D$2:$D$3000,MATCH(A9,Correspondance!$A$2:$A$3000,0)),0)</f>
        <v>7.5</v>
      </c>
      <c r="F9" s="60" t="n">
        <f aca="false">C9*E9</f>
        <v>8.35607142857143</v>
      </c>
      <c r="G9" s="61"/>
      <c r="I9" s="63"/>
    </row>
    <row r="10" customFormat="false" ht="15.75" hidden="false" customHeight="false" outlineLevel="0" collapsed="false">
      <c r="A10" s="57" t="s">
        <v>1070</v>
      </c>
      <c r="B10" s="57" t="n">
        <v>0.177</v>
      </c>
      <c r="C10" s="58" t="n">
        <f aca="false">B10/B$22*B$24</f>
        <v>0.278142857142857</v>
      </c>
      <c r="D10" s="57" t="s">
        <v>434</v>
      </c>
      <c r="E10" s="59" t="n">
        <f aca="false">IFERROR(INDEX(Correspondance!$D$2:$D$3000,MATCH(A10,Correspondance!$A$2:$A$3000,0)),0)</f>
        <v>2</v>
      </c>
      <c r="F10" s="60" t="n">
        <f aca="false">C10*E10</f>
        <v>0.556285714285714</v>
      </c>
      <c r="G10" s="61"/>
      <c r="I10" s="63"/>
    </row>
    <row r="11" customFormat="false" ht="15.75" hidden="false" customHeight="false" outlineLevel="0" collapsed="false">
      <c r="A11" s="57" t="s">
        <v>1491</v>
      </c>
      <c r="B11" s="57" t="n">
        <v>0.177</v>
      </c>
      <c r="C11" s="58" t="n">
        <f aca="false">B11/B$22*B$24</f>
        <v>0.278142857142857</v>
      </c>
      <c r="D11" s="57" t="s">
        <v>434</v>
      </c>
      <c r="E11" s="59" t="n">
        <f aca="false">IFERROR(INDEX(Correspondance!$D$2:$D$3000,MATCH(A11,Correspondance!$A$2:$A$3000,0)),0)</f>
        <v>9</v>
      </c>
      <c r="F11" s="60" t="n">
        <f aca="false">C11*E11</f>
        <v>2.50328571428571</v>
      </c>
      <c r="G11" s="61"/>
      <c r="I11" s="63"/>
    </row>
    <row r="12" customFormat="false" ht="18.75" hidden="false" customHeight="true" outlineLevel="0" collapsed="false">
      <c r="A12" s="57" t="s">
        <v>1919</v>
      </c>
      <c r="B12" s="64" t="n">
        <v>0.08</v>
      </c>
      <c r="C12" s="58" t="n">
        <f aca="false">B12/B$22*B$24</f>
        <v>0.125714285714286</v>
      </c>
      <c r="D12" s="57" t="s">
        <v>434</v>
      </c>
      <c r="E12" s="59" t="n">
        <f aca="false">IFERROR(INDEX(Correspondance!$D$2:$D$3000,MATCH(A12,Correspondance!$A$2:$A$3000,0)),0)</f>
        <v>2</v>
      </c>
      <c r="F12" s="60" t="n">
        <f aca="false">C12*E12</f>
        <v>0.251428571428571</v>
      </c>
      <c r="G12" s="61"/>
      <c r="I12" s="63"/>
    </row>
    <row r="13" customFormat="false" ht="18.75" hidden="false" customHeight="true" outlineLevel="0" collapsed="false">
      <c r="A13" s="57" t="s">
        <v>1814</v>
      </c>
      <c r="B13" s="64"/>
      <c r="C13" s="58" t="n">
        <f aca="false">B13/B$22*B$24</f>
        <v>0</v>
      </c>
      <c r="D13" s="57" t="s">
        <v>434</v>
      </c>
      <c r="E13" s="59" t="n">
        <f aca="false">IFERROR(INDEX(Correspondance!$D$2:$D$3000,MATCH(A13,Correspondance!$A$2:$A$3000,0)),0)</f>
        <v>18</v>
      </c>
      <c r="F13" s="60" t="n">
        <f aca="false">C13*E13</f>
        <v>0</v>
      </c>
      <c r="G13" s="61"/>
      <c r="I13" s="63"/>
    </row>
    <row r="14" customFormat="false" ht="15.75" hidden="false" customHeight="false" outlineLevel="0" collapsed="false">
      <c r="A14" s="57" t="s">
        <v>1732</v>
      </c>
      <c r="B14" s="57"/>
      <c r="C14" s="58" t="n">
        <f aca="false">B14/B$22*B$24</f>
        <v>0</v>
      </c>
      <c r="D14" s="57" t="s">
        <v>434</v>
      </c>
      <c r="E14" s="59" t="n">
        <f aca="false">IFERROR(INDEX(Correspondance!$D$2:$D$3000,MATCH(A14,Correspondance!$A$2:$A$3000,0)),0)</f>
        <v>30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70.4518571428572</v>
      </c>
      <c r="G19" s="61"/>
      <c r="I19" s="63"/>
    </row>
    <row r="20" customFormat="false" ht="18.75" hidden="false" customHeight="true" outlineLevel="0" collapsed="false">
      <c r="A20" s="68" t="s">
        <v>2628</v>
      </c>
      <c r="B20" s="69" t="n">
        <f aca="false">F19/B24</f>
        <v>0.640471428571429</v>
      </c>
      <c r="C20" s="70"/>
      <c r="G20" s="61"/>
      <c r="I20" s="63"/>
    </row>
    <row r="21" customFormat="false" ht="15.75" hidden="false" customHeight="false" outlineLevel="0" collapsed="false">
      <c r="A21" s="71" t="s">
        <v>2629</v>
      </c>
      <c r="B21" s="71" t="n">
        <f aca="false">SUM(B3:B18)</f>
        <v>14</v>
      </c>
      <c r="C21" s="66"/>
      <c r="G21" s="61"/>
      <c r="I21" s="63"/>
    </row>
    <row r="22" customFormat="false" ht="15.75" hidden="false" customHeight="false" outlineLevel="0" collapsed="false">
      <c r="A22" s="0" t="s">
        <v>2630</v>
      </c>
      <c r="B22" s="72" t="n">
        <f aca="false">B21/B23</f>
        <v>70</v>
      </c>
      <c r="C22" s="66"/>
      <c r="G22" s="61"/>
      <c r="I22" s="63"/>
    </row>
    <row r="23" customFormat="false" ht="15.75" hidden="false" customHeight="false" outlineLevel="0" collapsed="false">
      <c r="A23" s="0" t="s">
        <v>2631</v>
      </c>
      <c r="B23" s="0" t="n">
        <v>0.2</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374</v>
      </c>
      <c r="B1" s="50"/>
      <c r="C1" s="50"/>
      <c r="D1" s="50"/>
      <c r="E1" s="51" t="s">
        <v>2619</v>
      </c>
      <c r="F1" s="51"/>
      <c r="G1" s="52" t="s">
        <v>3074</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907</v>
      </c>
      <c r="B4" s="57" t="n">
        <v>2.5</v>
      </c>
      <c r="C4" s="58" t="n">
        <f aca="false">B4/B$22*B$24</f>
        <v>3.92894561386799</v>
      </c>
      <c r="D4" s="57" t="s">
        <v>434</v>
      </c>
      <c r="E4" s="59" t="n">
        <f aca="false">IFERROR(INDEX(Correspondance!$D$2:$D$3000,MATCH(A4,Correspondance!$A$2:$A$3000,0)),0)</f>
        <v>2.3</v>
      </c>
      <c r="F4" s="60" t="n">
        <f aca="false">C4*E4</f>
        <v>9.03657491189637</v>
      </c>
      <c r="G4" s="61" t="s">
        <v>3075</v>
      </c>
    </row>
    <row r="5" customFormat="false" ht="15.75" hidden="false" customHeight="false" outlineLevel="0" collapsed="false">
      <c r="A5" s="57" t="s">
        <v>917</v>
      </c>
      <c r="B5" s="57" t="n">
        <v>1.67</v>
      </c>
      <c r="C5" s="58" t="n">
        <f aca="false">B5/B$22*B$24</f>
        <v>2.62453567006382</v>
      </c>
      <c r="D5" s="57" t="s">
        <v>434</v>
      </c>
      <c r="E5" s="59" t="n">
        <f aca="false">IFERROR(INDEX(Correspondance!$D$2:$D$3000,MATCH(A5,Correspondance!$A$2:$A$3000,0)),0)</f>
        <v>1.8</v>
      </c>
      <c r="F5" s="60" t="n">
        <f aca="false">C5*E5</f>
        <v>4.72416420611487</v>
      </c>
      <c r="G5" s="61"/>
      <c r="I5" s="62"/>
    </row>
    <row r="6" customFormat="false" ht="15.75" hidden="false" customHeight="false" outlineLevel="0" collapsed="false">
      <c r="A6" s="57" t="s">
        <v>939</v>
      </c>
      <c r="B6" s="57" t="n">
        <v>1.25</v>
      </c>
      <c r="C6" s="58" t="n">
        <f aca="false">B6/B$22*B$24</f>
        <v>1.96447280693399</v>
      </c>
      <c r="D6" s="57" t="s">
        <v>434</v>
      </c>
      <c r="E6" s="59" t="n">
        <f aca="false">IFERROR(INDEX(Correspondance!$D$2:$D$3000,MATCH(A6,Correspondance!$A$2:$A$3000,0)),0)</f>
        <v>2.4</v>
      </c>
      <c r="F6" s="60" t="n">
        <f aca="false">C6*E6</f>
        <v>4.71473473664158</v>
      </c>
      <c r="G6" s="61"/>
      <c r="I6" s="63"/>
    </row>
    <row r="7" customFormat="false" ht="15.75" hidden="false" customHeight="false" outlineLevel="0" collapsed="false">
      <c r="A7" s="57" t="s">
        <v>2000</v>
      </c>
      <c r="B7" s="57" t="n">
        <v>2.08</v>
      </c>
      <c r="C7" s="58" t="n">
        <f aca="false">B7/B$22*B$24</f>
        <v>3.26888275073817</v>
      </c>
      <c r="D7" s="57" t="s">
        <v>682</v>
      </c>
      <c r="E7" s="59" t="n">
        <f aca="false">IFERROR(INDEX(Correspondance!$D$2:$D$3000,MATCH(A7,Correspondance!$A$2:$A$3000,0)),0)</f>
        <v>3.8</v>
      </c>
      <c r="F7" s="60" t="n">
        <f aca="false">C7*E7</f>
        <v>12.421754452805</v>
      </c>
      <c r="G7" s="61"/>
      <c r="I7" s="63"/>
    </row>
    <row r="8" customFormat="false" ht="15.75" hidden="false" customHeight="false" outlineLevel="0" collapsed="false">
      <c r="A8" s="57" t="s">
        <v>1576</v>
      </c>
      <c r="B8" s="57" t="n">
        <v>1.25</v>
      </c>
      <c r="C8" s="58" t="n">
        <f aca="false">B8/B$22*B$24</f>
        <v>1.96447280693399</v>
      </c>
      <c r="D8" s="57" t="s">
        <v>434</v>
      </c>
      <c r="E8" s="59" t="n">
        <f aca="false">IFERROR(INDEX(Correspondance!$D$2:$D$3000,MATCH(A8,Correspondance!$A$2:$A$3000,0)),0)</f>
        <v>5.5</v>
      </c>
      <c r="F8" s="60" t="n">
        <f aca="false">C8*E8</f>
        <v>10.804600438137</v>
      </c>
      <c r="G8" s="61"/>
      <c r="I8" s="63"/>
    </row>
    <row r="9" customFormat="false" ht="15.75" hidden="false" customHeight="false" outlineLevel="0" collapsed="false">
      <c r="A9" s="57" t="s">
        <v>1695</v>
      </c>
      <c r="B9" s="57" t="n">
        <v>1.25</v>
      </c>
      <c r="C9" s="58" t="n">
        <f aca="false">B9/B$22*B$24</f>
        <v>1.96447280693399</v>
      </c>
      <c r="D9" s="57" t="s">
        <v>682</v>
      </c>
      <c r="E9" s="59" t="n">
        <f aca="false">IFERROR(INDEX(Correspondance!$D$2:$D$3000,MATCH(A9,Correspondance!$A$2:$A$3000,0)),0)</f>
        <v>2.5</v>
      </c>
      <c r="F9" s="60" t="n">
        <f aca="false">C9*E9</f>
        <v>4.91118201733498</v>
      </c>
      <c r="G9" s="61"/>
      <c r="I9" s="63"/>
    </row>
    <row r="10" customFormat="false" ht="15.75" hidden="false" customHeight="false" outlineLevel="0" collapsed="false">
      <c r="A10" s="57" t="s">
        <v>706</v>
      </c>
      <c r="B10" s="57" t="n">
        <v>0.333</v>
      </c>
      <c r="C10" s="58" t="n">
        <f aca="false">B10/B$22*B$24</f>
        <v>0.523335555767216</v>
      </c>
      <c r="D10" s="57" t="s">
        <v>434</v>
      </c>
      <c r="E10" s="59" t="n">
        <f aca="false">IFERROR(INDEX(Correspondance!$D$2:$D$3000,MATCH(A10,Correspondance!$A$2:$A$3000,0)),0)</f>
        <v>7.5</v>
      </c>
      <c r="F10" s="60" t="n">
        <f aca="false">C10*E10</f>
        <v>3.92501666825412</v>
      </c>
      <c r="G10" s="61"/>
      <c r="I10" s="63"/>
    </row>
    <row r="11" customFormat="false" ht="15.75" hidden="false" customHeight="false" outlineLevel="0" collapsed="false">
      <c r="A11" s="57" t="s">
        <v>1492</v>
      </c>
      <c r="B11" s="57" t="n">
        <v>0.083</v>
      </c>
      <c r="C11" s="58" t="n">
        <f aca="false">B11/B$22*B$24</f>
        <v>0.130440994380417</v>
      </c>
      <c r="D11" s="57" t="s">
        <v>434</v>
      </c>
      <c r="E11" s="59" t="n">
        <f aca="false">IFERROR(INDEX(Correspondance!$D$2:$D$3000,MATCH(A11,Correspondance!$A$2:$A$3000,0)),0)</f>
        <v>9</v>
      </c>
      <c r="F11" s="60" t="n">
        <f aca="false">C11*E11</f>
        <v>1.17396894942375</v>
      </c>
      <c r="G11" s="61"/>
      <c r="I11" s="63"/>
    </row>
    <row r="12" customFormat="false" ht="18.75" hidden="false" customHeight="true" outlineLevel="0" collapsed="false">
      <c r="A12" s="57" t="s">
        <v>1919</v>
      </c>
      <c r="B12" s="64" t="n">
        <v>0.083</v>
      </c>
      <c r="C12" s="58" t="n">
        <f aca="false">B12/B$22*B$24</f>
        <v>0.130440994380417</v>
      </c>
      <c r="D12" s="57" t="s">
        <v>434</v>
      </c>
      <c r="E12" s="59" t="n">
        <f aca="false">IFERROR(INDEX(Correspondance!$D$2:$D$3000,MATCH(A12,Correspondance!$A$2:$A$3000,0)),0)</f>
        <v>2</v>
      </c>
      <c r="F12" s="60" t="n">
        <f aca="false">C12*E12</f>
        <v>0.260881988760834</v>
      </c>
      <c r="G12" s="61"/>
      <c r="I12" s="63"/>
    </row>
    <row r="13" customFormat="false" ht="18.75" hidden="false" customHeight="true" outlineLevel="0" collapsed="false">
      <c r="A13" s="57" t="s">
        <v>1814</v>
      </c>
      <c r="B13" s="64"/>
      <c r="C13" s="58" t="n">
        <f aca="false">B13/B$22*B$24</f>
        <v>0</v>
      </c>
      <c r="D13" s="57" t="s">
        <v>434</v>
      </c>
      <c r="E13" s="59" t="n">
        <f aca="false">IFERROR(INDEX(Correspondance!$D$2:$D$3000,MATCH(A13,Correspondance!$A$2:$A$3000,0)),0)</f>
        <v>18</v>
      </c>
      <c r="F13" s="60" t="n">
        <f aca="false">C13*E13</f>
        <v>0</v>
      </c>
      <c r="G13" s="61"/>
      <c r="I13" s="63"/>
    </row>
    <row r="14" customFormat="false" ht="15.75" hidden="false" customHeight="false" outlineLevel="0" collapsed="false">
      <c r="A14" s="57" t="s">
        <v>1732</v>
      </c>
      <c r="B14" s="57"/>
      <c r="C14" s="58" t="n">
        <f aca="false">B14/B$22*B$24</f>
        <v>0</v>
      </c>
      <c r="D14" s="57" t="s">
        <v>434</v>
      </c>
      <c r="E14" s="59" t="n">
        <f aca="false">IFERROR(INDEX(Correspondance!$D$2:$D$3000,MATCH(A14,Correspondance!$A$2:$A$3000,0)),0)</f>
        <v>30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51.9728783693685</v>
      </c>
      <c r="G19" s="61"/>
      <c r="I19" s="63"/>
    </row>
    <row r="20" customFormat="false" ht="18.75" hidden="false" customHeight="true" outlineLevel="0" collapsed="false">
      <c r="A20" s="68" t="s">
        <v>2628</v>
      </c>
      <c r="B20" s="69" t="n">
        <f aca="false">F19/B24</f>
        <v>0.472480712448805</v>
      </c>
      <c r="C20" s="70"/>
      <c r="G20" s="61"/>
      <c r="I20" s="63"/>
    </row>
    <row r="21" customFormat="false" ht="15.75" hidden="false" customHeight="false" outlineLevel="0" collapsed="false">
      <c r="A21" s="71" t="s">
        <v>2629</v>
      </c>
      <c r="B21" s="71" t="n">
        <f aca="false">SUM(B3:B18)</f>
        <v>10.499</v>
      </c>
      <c r="C21" s="66"/>
      <c r="G21" s="61"/>
      <c r="I21" s="63"/>
    </row>
    <row r="22" customFormat="false" ht="15.75" hidden="false" customHeight="false" outlineLevel="0" collapsed="false">
      <c r="A22" s="0" t="s">
        <v>2630</v>
      </c>
      <c r="B22" s="72" t="n">
        <f aca="false">B21/B23</f>
        <v>69.9933333333333</v>
      </c>
      <c r="C22" s="66"/>
      <c r="G22" s="61"/>
      <c r="I22" s="63"/>
    </row>
    <row r="23" customFormat="false" ht="15.75" hidden="false" customHeight="false" outlineLevel="0" collapsed="false">
      <c r="A23" s="0" t="s">
        <v>2631</v>
      </c>
      <c r="B23" s="0" t="n">
        <v>0.15</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81" t="s">
        <v>376</v>
      </c>
      <c r="B1" s="81"/>
      <c r="C1" s="81"/>
      <c r="D1" s="81"/>
      <c r="E1" s="51" t="s">
        <v>2619</v>
      </c>
      <c r="F1" s="51"/>
      <c r="G1" s="75" t="s">
        <v>3076</v>
      </c>
    </row>
    <row r="2" customFormat="false" ht="24.75" hidden="false" customHeight="true" outlineLevel="0" collapsed="false">
      <c r="A2" s="81"/>
      <c r="B2" s="81"/>
      <c r="C2" s="81"/>
      <c r="D2" s="81"/>
      <c r="E2" s="53" t="s">
        <v>2636</v>
      </c>
      <c r="F2" s="53"/>
      <c r="G2" s="75"/>
    </row>
    <row r="3" customFormat="false" ht="51.75" hidden="false" customHeight="true" outlineLevel="0" collapsed="false">
      <c r="A3" s="54" t="s">
        <v>2588</v>
      </c>
      <c r="B3" s="55" t="s">
        <v>2622</v>
      </c>
      <c r="C3" s="55" t="s">
        <v>2623</v>
      </c>
      <c r="D3" s="56" t="s">
        <v>2624</v>
      </c>
      <c r="E3" s="56" t="s">
        <v>2625</v>
      </c>
      <c r="F3" s="56" t="s">
        <v>2626</v>
      </c>
      <c r="G3" s="75"/>
    </row>
    <row r="4" customFormat="false" ht="16.5" hidden="false" customHeight="true" outlineLevel="0" collapsed="false">
      <c r="A4" s="57" t="s">
        <v>1481</v>
      </c>
      <c r="B4" s="88" t="n">
        <v>4.91</v>
      </c>
      <c r="C4" s="58" t="n">
        <f aca="false">B4/B$23*B$25</f>
        <v>7.71571428571429</v>
      </c>
      <c r="D4" s="57" t="s">
        <v>434</v>
      </c>
      <c r="E4" s="59" t="n">
        <f aca="false">IFERROR(INDEX(Correspondance!$D$2:$D$3000,MATCH(A4,Correspondance!$A$2:$A$3000,0)),0)</f>
        <v>2.6</v>
      </c>
      <c r="F4" s="77" t="n">
        <f aca="false">C4*E4</f>
        <v>20.0608571428571</v>
      </c>
      <c r="G4" s="78" t="s">
        <v>3077</v>
      </c>
    </row>
    <row r="5" customFormat="false" ht="15.75" hidden="false" customHeight="false" outlineLevel="0" collapsed="false">
      <c r="A5" s="57" t="s">
        <v>1570</v>
      </c>
      <c r="B5" s="88" t="n">
        <v>4.91</v>
      </c>
      <c r="C5" s="58" t="n">
        <f aca="false">B5/B$23*B$25</f>
        <v>7.71571428571429</v>
      </c>
      <c r="D5" s="57" t="s">
        <v>682</v>
      </c>
      <c r="E5" s="59" t="n">
        <f aca="false">IFERROR(INDEX(Correspondance!$D$2:$D$3000,MATCH(A5,Correspondance!$A$2:$A$3000,0)),0)</f>
        <v>2</v>
      </c>
      <c r="F5" s="77" t="n">
        <f aca="false">C5*E5</f>
        <v>15.4314285714286</v>
      </c>
      <c r="G5" s="78"/>
      <c r="I5" s="62"/>
    </row>
    <row r="6" customFormat="false" ht="15.75" hidden="false" customHeight="false" outlineLevel="0" collapsed="false">
      <c r="A6" s="57" t="s">
        <v>1821</v>
      </c>
      <c r="B6" s="88" t="n">
        <v>1.64</v>
      </c>
      <c r="C6" s="58" t="n">
        <f aca="false">B6/B$23*B$25</f>
        <v>2.57714285714286</v>
      </c>
      <c r="D6" s="57" t="s">
        <v>434</v>
      </c>
      <c r="E6" s="59" t="n">
        <f aca="false">IFERROR(INDEX(Correspondance!$D$2:$D$3000,MATCH(A6,Correspondance!$A$2:$A$3000,0)),0)</f>
        <v>3</v>
      </c>
      <c r="F6" s="77" t="n">
        <f aca="false">C6*E6</f>
        <v>7.73142857142857</v>
      </c>
      <c r="G6" s="78"/>
      <c r="I6" s="63"/>
    </row>
    <row r="7" customFormat="false" ht="15.75" hidden="false" customHeight="false" outlineLevel="0" collapsed="false">
      <c r="A7" s="57" t="s">
        <v>1956</v>
      </c>
      <c r="B7" s="88" t="n">
        <v>1.64</v>
      </c>
      <c r="C7" s="58" t="n">
        <f aca="false">B7/B$23*B$25</f>
        <v>2.57714285714286</v>
      </c>
      <c r="D7" s="57" t="s">
        <v>434</v>
      </c>
      <c r="E7" s="59" t="n">
        <f aca="false">IFERROR(INDEX(Correspondance!$D$2:$D$3000,MATCH(A7,Correspondance!$A$2:$A$3000,0)),0)</f>
        <v>2.4</v>
      </c>
      <c r="F7" s="77" t="n">
        <f aca="false">C7*E7</f>
        <v>6.18514285714286</v>
      </c>
      <c r="G7" s="78"/>
      <c r="I7" s="63"/>
    </row>
    <row r="8" customFormat="false" ht="15.75" hidden="false" customHeight="false" outlineLevel="0" collapsed="false">
      <c r="A8" s="57" t="s">
        <v>1743</v>
      </c>
      <c r="B8" s="88" t="n">
        <v>1.31</v>
      </c>
      <c r="C8" s="58" t="n">
        <f aca="false">B8/B$23*B$25</f>
        <v>2.05857142857143</v>
      </c>
      <c r="D8" s="57" t="s">
        <v>682</v>
      </c>
      <c r="E8" s="59" t="n">
        <f aca="false">IFERROR(INDEX(Correspondance!$D$2:$D$3000,MATCH(A8,Correspondance!$A$2:$A$3000,0)),0)</f>
        <v>1</v>
      </c>
      <c r="F8" s="77" t="n">
        <f aca="false">C8*E8</f>
        <v>2.05857142857143</v>
      </c>
      <c r="G8" s="78"/>
      <c r="I8" s="63"/>
    </row>
    <row r="9" customFormat="false" ht="15.75" hidden="false" customHeight="false" outlineLevel="0" collapsed="false">
      <c r="A9" s="57" t="s">
        <v>1473</v>
      </c>
      <c r="B9" s="88" t="n">
        <v>0.082</v>
      </c>
      <c r="C9" s="58" t="n">
        <f aca="false">B9/B$23*B$25</f>
        <v>0.128857142857143</v>
      </c>
      <c r="D9" s="57" t="s">
        <v>434</v>
      </c>
      <c r="E9" s="59" t="n">
        <f aca="false">IFERROR(INDEX(Correspondance!$D$2:$D$3000,MATCH(A9,Correspondance!$A$2:$A$3000,0)),0)</f>
        <v>6</v>
      </c>
      <c r="F9" s="77" t="n">
        <f aca="false">C9*E9</f>
        <v>0.773142857142857</v>
      </c>
      <c r="G9" s="78"/>
      <c r="I9" s="63"/>
    </row>
    <row r="10" customFormat="false" ht="15.75" hidden="false" customHeight="false" outlineLevel="0" collapsed="false">
      <c r="A10" s="57" t="s">
        <v>1120</v>
      </c>
      <c r="B10" s="88" t="n">
        <v>0.491</v>
      </c>
      <c r="C10" s="58" t="n">
        <f aca="false">B10/B$23*B$25</f>
        <v>0.771571428571429</v>
      </c>
      <c r="D10" s="57" t="s">
        <v>434</v>
      </c>
      <c r="E10" s="59" t="n">
        <f aca="false">IFERROR(INDEX(Correspondance!$D$2:$D$3000,MATCH(A10,Correspondance!$A$2:$A$3000,0)),0)</f>
        <v>7.5</v>
      </c>
      <c r="F10" s="77" t="n">
        <f aca="false">C10*E10</f>
        <v>5.78678571428571</v>
      </c>
      <c r="G10" s="78"/>
      <c r="I10" s="63"/>
    </row>
    <row r="11" customFormat="false" ht="15.75" hidden="false" customHeight="false" outlineLevel="0" collapsed="false">
      <c r="A11" s="57" t="s">
        <v>1919</v>
      </c>
      <c r="B11" s="88" t="n">
        <v>0.09</v>
      </c>
      <c r="C11" s="58" t="n">
        <f aca="false">B11/B$23*B$25</f>
        <v>0.141428571428571</v>
      </c>
      <c r="D11" s="57" t="s">
        <v>434</v>
      </c>
      <c r="E11" s="59" t="n">
        <f aca="false">IFERROR(INDEX(Correspondance!$D$2:$D$3000,MATCH(A11,Correspondance!$A$2:$A$3000,0)),0)</f>
        <v>2</v>
      </c>
      <c r="F11" s="77" t="n">
        <f aca="false">C11*E11</f>
        <v>0.282857142857143</v>
      </c>
      <c r="G11" s="78"/>
      <c r="I11" s="63"/>
    </row>
    <row r="12" customFormat="false" ht="15.75" hidden="false" customHeight="false" outlineLevel="0" collapsed="false">
      <c r="A12" s="57" t="s">
        <v>1312</v>
      </c>
      <c r="B12" s="88" t="n">
        <v>0.098</v>
      </c>
      <c r="C12" s="58" t="n">
        <f aca="false">B12/B$23*B$25</f>
        <v>0.154</v>
      </c>
      <c r="D12" s="57" t="s">
        <v>434</v>
      </c>
      <c r="E12" s="59" t="n">
        <f aca="false">IFERROR(INDEX(Correspondance!$D$2:$D$3000,MATCH(A12,Correspondance!$A$2:$A$3000,0)),0)</f>
        <v>60</v>
      </c>
      <c r="F12" s="77" t="n">
        <f aca="false">C12*E12</f>
        <v>9.24</v>
      </c>
      <c r="G12" s="78"/>
      <c r="I12" s="63"/>
    </row>
    <row r="13" customFormat="false" ht="15.75" hidden="false" customHeight="false" outlineLevel="0" collapsed="false">
      <c r="A13" s="57" t="s">
        <v>1555</v>
      </c>
      <c r="B13" s="88" t="n">
        <v>0.033</v>
      </c>
      <c r="C13" s="58" t="n">
        <f aca="false">B13/B$23*B$25</f>
        <v>0.0518571428571429</v>
      </c>
      <c r="D13" s="57" t="s">
        <v>434</v>
      </c>
      <c r="E13" s="59" t="n">
        <f aca="false">IFERROR(INDEX(Correspondance!$D$2:$D$3000,MATCH(A13,Correspondance!$A$2:$A$3000,0)),0)</f>
        <v>14</v>
      </c>
      <c r="F13" s="77" t="n">
        <f aca="false">C13*E13</f>
        <v>0.726</v>
      </c>
      <c r="G13" s="78"/>
      <c r="I13" s="63"/>
    </row>
    <row r="14" customFormat="false" ht="15.75" hidden="false" customHeight="false" outlineLevel="0" collapsed="false">
      <c r="A14" s="57" t="s">
        <v>1665</v>
      </c>
      <c r="B14" s="88"/>
      <c r="C14" s="58" t="n">
        <f aca="false">B14/B$23*B$25</f>
        <v>0</v>
      </c>
      <c r="D14" s="57" t="s">
        <v>682</v>
      </c>
      <c r="E14" s="59" t="n">
        <f aca="false">IFERROR(INDEX(Correspondance!$D$2:$D$3000,MATCH(A14,Correspondance!$A$2:$A$3000,0)),0)</f>
        <v>11</v>
      </c>
      <c r="F14" s="77" t="n">
        <f aca="false">C14*E14</f>
        <v>0</v>
      </c>
      <c r="G14" s="78"/>
      <c r="I14" s="63"/>
    </row>
    <row r="15" customFormat="false" ht="15.75" hidden="false" customHeight="false" outlineLevel="0" collapsed="false">
      <c r="A15" s="57" t="s">
        <v>1647</v>
      </c>
      <c r="B15" s="88" t="n">
        <v>0.196</v>
      </c>
      <c r="C15" s="58" t="n">
        <f aca="false">B15/B$23*B$25</f>
        <v>0.308</v>
      </c>
      <c r="D15" s="57" t="s">
        <v>682</v>
      </c>
      <c r="E15" s="59" t="n">
        <f aca="false">IFERROR(INDEX(Correspondance!$D$2:$D$3000,MATCH(A15,Correspondance!$A$2:$A$3000,0)),0)</f>
        <v>2.2</v>
      </c>
      <c r="F15" s="77" t="n">
        <f aca="false">C15*E15</f>
        <v>0.6776</v>
      </c>
      <c r="G15" s="78"/>
      <c r="I15" s="63"/>
    </row>
    <row r="16" customFormat="false" ht="15.75" hidden="false" customHeight="false" outlineLevel="0" collapsed="false">
      <c r="A16" s="57"/>
      <c r="B16" s="57"/>
      <c r="C16" s="58" t="n">
        <f aca="false">B16/B$23*B$25</f>
        <v>0</v>
      </c>
      <c r="D16" s="57" t="s">
        <v>434</v>
      </c>
      <c r="E16" s="65"/>
      <c r="F16" s="77" t="n">
        <f aca="false">C16*E16</f>
        <v>0</v>
      </c>
      <c r="G16" s="78"/>
      <c r="I16" s="63"/>
    </row>
    <row r="17" customFormat="false" ht="15.75" hidden="false" customHeight="false" outlineLevel="0" collapsed="false">
      <c r="A17" s="57"/>
      <c r="B17" s="57"/>
      <c r="C17" s="58" t="n">
        <f aca="false">B17/B$23*B$25</f>
        <v>0</v>
      </c>
      <c r="D17" s="57" t="s">
        <v>434</v>
      </c>
      <c r="E17" s="65"/>
      <c r="F17" s="77" t="n">
        <f aca="false">C17*E17</f>
        <v>0</v>
      </c>
      <c r="G17" s="78"/>
      <c r="I17" s="63"/>
    </row>
    <row r="18" customFormat="false" ht="15.75" hidden="false" customHeight="false" outlineLevel="0" collapsed="false">
      <c r="A18" s="57"/>
      <c r="B18" s="57"/>
      <c r="C18" s="58" t="n">
        <f aca="false">B18/B$23*B$25</f>
        <v>0</v>
      </c>
      <c r="D18" s="57"/>
      <c r="E18" s="65"/>
      <c r="F18" s="77" t="n">
        <f aca="false">C18*E18</f>
        <v>0</v>
      </c>
      <c r="G18" s="78"/>
      <c r="I18" s="63"/>
    </row>
    <row r="19" customFormat="false" ht="15.75" hidden="false" customHeight="false" outlineLevel="0" collapsed="false">
      <c r="A19" s="57"/>
      <c r="B19" s="57"/>
      <c r="C19" s="58" t="n">
        <f aca="false">B19/B$23*B$25</f>
        <v>0</v>
      </c>
      <c r="D19" s="57"/>
      <c r="E19" s="65"/>
      <c r="F19" s="77" t="n">
        <f aca="false">C19*E19</f>
        <v>0</v>
      </c>
      <c r="G19" s="78"/>
      <c r="I19" s="63"/>
    </row>
    <row r="20" customFormat="false" ht="15.75" hidden="false" customHeight="false" outlineLevel="0" collapsed="false">
      <c r="C20" s="66"/>
      <c r="F20" s="67" t="n">
        <f aca="false">SUM(F4:F19)</f>
        <v>68.9538142857143</v>
      </c>
      <c r="G20" s="78"/>
      <c r="I20" s="63"/>
    </row>
    <row r="21" customFormat="false" ht="18.75" hidden="false" customHeight="true" outlineLevel="0" collapsed="false">
      <c r="A21" s="68" t="s">
        <v>2628</v>
      </c>
      <c r="B21" s="69" t="n">
        <f aca="false">F20/B25</f>
        <v>0.626852857142857</v>
      </c>
      <c r="C21" s="70"/>
      <c r="G21" s="78"/>
      <c r="I21" s="63"/>
    </row>
    <row r="22" customFormat="false" ht="15.75" hidden="false" customHeight="false" outlineLevel="0" collapsed="false">
      <c r="A22" s="71" t="s">
        <v>2629</v>
      </c>
      <c r="B22" s="71" t="n">
        <f aca="false">SUM(B4:B19)</f>
        <v>15.4</v>
      </c>
      <c r="C22" s="66"/>
      <c r="G22" s="78"/>
      <c r="I22" s="63"/>
    </row>
    <row r="23" customFormat="false" ht="15.75" hidden="false" customHeight="false" outlineLevel="0" collapsed="false">
      <c r="A23" s="0" t="s">
        <v>2630</v>
      </c>
      <c r="B23" s="72" t="n">
        <f aca="false">B22/B24</f>
        <v>70</v>
      </c>
      <c r="C23" s="66"/>
      <c r="E23" s="89" t="s">
        <v>3078</v>
      </c>
      <c r="G23" s="78"/>
      <c r="I23" s="63"/>
    </row>
    <row r="24" customFormat="false" ht="15.75" hidden="false" customHeight="false" outlineLevel="0" collapsed="false">
      <c r="A24" s="0" t="s">
        <v>2631</v>
      </c>
      <c r="B24" s="0" t="n">
        <v>0.22</v>
      </c>
      <c r="C24" s="79" t="s">
        <v>2632</v>
      </c>
      <c r="G24" s="78"/>
      <c r="I24" s="63"/>
    </row>
    <row r="25" customFormat="false" ht="18.75" hidden="false" customHeight="true" outlineLevel="0" collapsed="false">
      <c r="A25" s="74" t="s">
        <v>2633</v>
      </c>
      <c r="B25" s="74" t="n">
        <f aca="false">Paramètres!$B$5</f>
        <v>110</v>
      </c>
      <c r="C25" s="79" t="s">
        <v>2634</v>
      </c>
      <c r="G25" s="78"/>
      <c r="I25" s="63"/>
    </row>
    <row r="26" customFormat="false" ht="15.75" hidden="false" customHeight="false" outlineLevel="0" collapsed="false">
      <c r="I26" s="63"/>
    </row>
  </sheetData>
  <mergeCells count="5">
    <mergeCell ref="A1:D2"/>
    <mergeCell ref="E1:F1"/>
    <mergeCell ref="G1:G3"/>
    <mergeCell ref="E2:F2"/>
    <mergeCell ref="G4:G2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377</v>
      </c>
      <c r="B1" s="50"/>
      <c r="C1" s="50"/>
      <c r="D1" s="50"/>
      <c r="E1" s="51" t="s">
        <v>2619</v>
      </c>
      <c r="F1" s="51"/>
      <c r="G1" s="52" t="s">
        <v>3079</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1847</v>
      </c>
      <c r="B4" s="57" t="n">
        <v>8.82</v>
      </c>
      <c r="C4" s="58" t="n">
        <f aca="false">B4/B$22*B$24</f>
        <v>13.8666031443545</v>
      </c>
      <c r="D4" s="57" t="s">
        <v>434</v>
      </c>
      <c r="E4" s="59" t="n">
        <f aca="false">IFERROR(INDEX(Correspondance!$D$2:$D$3000,MATCH(A4,Correspondance!$A$2:$A$3000,0)),0)</f>
        <v>3</v>
      </c>
      <c r="F4" s="60" t="n">
        <f aca="false">C4*E4</f>
        <v>41.5998094330634</v>
      </c>
      <c r="G4" s="61" t="s">
        <v>3080</v>
      </c>
    </row>
    <row r="5" customFormat="false" ht="15.75" hidden="false" customHeight="false" outlineLevel="0" collapsed="false">
      <c r="A5" s="57" t="s">
        <v>1182</v>
      </c>
      <c r="B5" s="57" t="n">
        <v>0.882</v>
      </c>
      <c r="C5" s="58" t="n">
        <f aca="false">B5/B$22*B$24</f>
        <v>1.38666031443545</v>
      </c>
      <c r="D5" s="57" t="s">
        <v>434</v>
      </c>
      <c r="E5" s="59" t="n">
        <f aca="false">IFERROR(INDEX(Correspondance!$D$2:$D$3000,MATCH(A5,Correspondance!$A$2:$A$3000,0)),0)</f>
        <v>1.3</v>
      </c>
      <c r="F5" s="60" t="n">
        <f aca="false">C5*E5</f>
        <v>1.80265840876608</v>
      </c>
      <c r="G5" s="61"/>
      <c r="I5" s="62"/>
    </row>
    <row r="6" customFormat="false" ht="15.75" hidden="false" customHeight="false" outlineLevel="0" collapsed="false">
      <c r="A6" s="57" t="s">
        <v>1491</v>
      </c>
      <c r="B6" s="57" t="n">
        <v>0.529</v>
      </c>
      <c r="C6" s="58" t="n">
        <f aca="false">B6/B$22*B$24</f>
        <v>0.831681753215817</v>
      </c>
      <c r="D6" s="57" t="s">
        <v>434</v>
      </c>
      <c r="E6" s="59" t="n">
        <f aca="false">IFERROR(INDEX(Correspondance!$D$2:$D$3000,MATCH(A6,Correspondance!$A$2:$A$3000,0)),0)</f>
        <v>9</v>
      </c>
      <c r="F6" s="60" t="n">
        <f aca="false">C6*E6</f>
        <v>7.48513577894235</v>
      </c>
      <c r="G6" s="61"/>
      <c r="I6" s="63"/>
    </row>
    <row r="7" customFormat="false" ht="15.75" hidden="false" customHeight="false" outlineLevel="0" collapsed="false">
      <c r="A7" s="57" t="s">
        <v>1137</v>
      </c>
      <c r="B7" s="57" t="n">
        <v>0.176</v>
      </c>
      <c r="C7" s="58" t="n">
        <f aca="false">B7/B$22*B$24</f>
        <v>0.276703191996189</v>
      </c>
      <c r="D7" s="57" t="s">
        <v>434</v>
      </c>
      <c r="E7" s="59" t="n">
        <f aca="false">IFERROR(INDEX(Correspondance!$D$2:$D$3000,MATCH(A7,Correspondance!$A$2:$A$3000,0)),0)</f>
        <v>7.5</v>
      </c>
      <c r="F7" s="60" t="n">
        <f aca="false">C7*E7</f>
        <v>2.07527393997141</v>
      </c>
      <c r="G7" s="61"/>
      <c r="I7" s="63"/>
    </row>
    <row r="8" customFormat="false" ht="15.75" hidden="false" customHeight="false" outlineLevel="0" collapsed="false">
      <c r="A8" s="57" t="s">
        <v>1291</v>
      </c>
      <c r="B8" s="57" t="n">
        <v>0.088</v>
      </c>
      <c r="C8" s="58" t="n">
        <f aca="false">B8/B$22*B$24</f>
        <v>0.138351595998094</v>
      </c>
      <c r="D8" s="57" t="s">
        <v>682</v>
      </c>
      <c r="E8" s="59" t="n">
        <f aca="false">IFERROR(INDEX(Correspondance!$D$2:$D$3000,MATCH(A8,Correspondance!$A$2:$A$3000,0)),0)</f>
        <v>2.5</v>
      </c>
      <c r="F8" s="60" t="n">
        <f aca="false">C8*E8</f>
        <v>0.345878989995236</v>
      </c>
      <c r="G8" s="61"/>
      <c r="I8" s="63"/>
    </row>
    <row r="9" customFormat="false" ht="15.75" hidden="false" customHeight="false" outlineLevel="0" collapsed="false">
      <c r="A9" s="57" t="s">
        <v>1522</v>
      </c>
      <c r="B9" s="57"/>
      <c r="C9" s="58" t="n">
        <f aca="false">B9/B$22*B$24</f>
        <v>0</v>
      </c>
      <c r="D9" s="57" t="s">
        <v>434</v>
      </c>
      <c r="E9" s="59" t="n">
        <f aca="false">IFERROR(INDEX(Correspondance!$D$2:$D$3000,MATCH(A9,Correspondance!$A$2:$A$3000,0)),0)</f>
        <v>12</v>
      </c>
      <c r="F9" s="60" t="n">
        <f aca="false">C9*E9</f>
        <v>0</v>
      </c>
      <c r="G9" s="61"/>
      <c r="I9" s="63"/>
    </row>
    <row r="10" customFormat="false" ht="15.75" hidden="false" customHeight="false" outlineLevel="0" collapsed="false">
      <c r="A10" s="57" t="s">
        <v>1929</v>
      </c>
      <c r="B10" s="57"/>
      <c r="C10" s="58" t="n">
        <f aca="false">B10/B$22*B$24</f>
        <v>0</v>
      </c>
      <c r="D10" s="57" t="s">
        <v>434</v>
      </c>
      <c r="E10" s="59" t="n">
        <f aca="false">IFERROR(INDEX(Correspondance!$D$2:$D$3000,MATCH(A10,Correspondance!$A$2:$A$3000,0)),0)</f>
        <v>2</v>
      </c>
      <c r="F10" s="60" t="n">
        <f aca="false">C10*E10</f>
        <v>0</v>
      </c>
      <c r="G10" s="61"/>
      <c r="I10" s="63"/>
    </row>
    <row r="11" customFormat="false" ht="15.75" hidden="false" customHeight="false" outlineLevel="0" collapsed="false">
      <c r="A11" s="57"/>
      <c r="B11" s="57"/>
      <c r="C11" s="58" t="n">
        <f aca="false">B11/B$22*B$24</f>
        <v>0</v>
      </c>
      <c r="D11" s="57"/>
      <c r="E11" s="65" t="n">
        <f aca="false">IFERROR(INDEX(Correspondance!$D$2:$D$3000,MATCH(A11,Correspondance!$A$2:$A$3000,0)),0)</f>
        <v>0</v>
      </c>
      <c r="F11" s="60" t="n">
        <f aca="false">C11*E11</f>
        <v>0</v>
      </c>
      <c r="G11" s="61"/>
      <c r="I11" s="63"/>
    </row>
    <row r="12" customFormat="false" ht="18.75" hidden="false" customHeight="true" outlineLevel="0" collapsed="false">
      <c r="A12" s="57"/>
      <c r="B12" s="64"/>
      <c r="C12" s="58" t="n">
        <f aca="false">B12/B$22*B$24</f>
        <v>0</v>
      </c>
      <c r="D12" s="57"/>
      <c r="E12" s="65" t="n">
        <f aca="false">IFERROR(INDEX(Correspondance!$D$2:$D$3000,MATCH(A12,Correspondance!$A$2:$A$3000,0)),0)</f>
        <v>0</v>
      </c>
      <c r="F12" s="60" t="n">
        <f aca="false">C12*E12</f>
        <v>0</v>
      </c>
      <c r="G12" s="61"/>
      <c r="I12" s="63"/>
    </row>
    <row r="13" customFormat="false" ht="18.75" hidden="false" customHeight="true" outlineLevel="0" collapsed="false">
      <c r="A13" s="57"/>
      <c r="B13" s="64"/>
      <c r="C13" s="58" t="n">
        <f aca="false">B13/B$22*B$24</f>
        <v>0</v>
      </c>
      <c r="D13" s="57"/>
      <c r="E13" s="65" t="n">
        <f aca="false">IFERROR(INDEX(Correspondance!$D$2:$D$3000,MATCH(A13,Correspondance!$A$2:$A$3000,0)),0)</f>
        <v>0</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53.3087565507384</v>
      </c>
      <c r="G19" s="61"/>
      <c r="I19" s="63"/>
    </row>
    <row r="20" customFormat="false" ht="18.75" hidden="false" customHeight="true" outlineLevel="0" collapsed="false">
      <c r="A20" s="68" t="s">
        <v>2628</v>
      </c>
      <c r="B20" s="69" t="n">
        <f aca="false">F19/B24</f>
        <v>0.484625059552168</v>
      </c>
      <c r="C20" s="70"/>
      <c r="G20" s="61"/>
      <c r="I20" s="63"/>
    </row>
    <row r="21" customFormat="false" ht="15.75" hidden="false" customHeight="false" outlineLevel="0" collapsed="false">
      <c r="A21" s="71" t="s">
        <v>2629</v>
      </c>
      <c r="B21" s="71" t="n">
        <f aca="false">SUM(B3:B18)</f>
        <v>10.495</v>
      </c>
      <c r="C21" s="66"/>
      <c r="G21" s="61"/>
      <c r="I21" s="63"/>
    </row>
    <row r="22" customFormat="false" ht="15.75" hidden="false" customHeight="false" outlineLevel="0" collapsed="false">
      <c r="A22" s="0" t="s">
        <v>2630</v>
      </c>
      <c r="B22" s="72" t="n">
        <f aca="false">B21/B23</f>
        <v>69.9666666666667</v>
      </c>
      <c r="C22" s="66"/>
      <c r="G22" s="61"/>
      <c r="I22" s="63"/>
    </row>
    <row r="23" customFormat="false" ht="15.75" hidden="false" customHeight="false" outlineLevel="0" collapsed="false">
      <c r="A23" s="0" t="s">
        <v>2631</v>
      </c>
      <c r="B23" s="0" t="n">
        <v>0.15</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378</v>
      </c>
      <c r="B1" s="50"/>
      <c r="C1" s="50"/>
      <c r="D1" s="50"/>
      <c r="E1" s="51" t="s">
        <v>2619</v>
      </c>
      <c r="F1" s="51"/>
      <c r="G1" s="52" t="s">
        <v>3081</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1571</v>
      </c>
      <c r="B4" s="57" t="n">
        <v>9.57</v>
      </c>
      <c r="C4" s="58" t="n">
        <f aca="false">B4/B$22*B$24</f>
        <v>15.0400038098867</v>
      </c>
      <c r="D4" s="57" t="s">
        <v>434</v>
      </c>
      <c r="E4" s="59" t="n">
        <f aca="false">IFERROR(INDEX(Correspondance!$D$2:$D$3000,MATCH(A4,Correspondance!$A$2:$A$3000,0)),0)</f>
        <v>2.4</v>
      </c>
      <c r="F4" s="60" t="n">
        <f aca="false">C4*E4</f>
        <v>36.096009143728</v>
      </c>
      <c r="G4" s="61" t="s">
        <v>3082</v>
      </c>
    </row>
    <row r="5" customFormat="false" ht="15.75" hidden="false" customHeight="false" outlineLevel="0" collapsed="false">
      <c r="A5" s="57" t="s">
        <v>1001</v>
      </c>
      <c r="B5" s="57" t="n">
        <v>0.479</v>
      </c>
      <c r="C5" s="58" t="n">
        <f aca="false">B5/B$22*B$24</f>
        <v>0.752785979617106</v>
      </c>
      <c r="D5" s="57" t="s">
        <v>434</v>
      </c>
      <c r="E5" s="59" t="n">
        <f aca="false">IFERROR(INDEX(Correspondance!$D$2:$D$3000,MATCH(A5,Correspondance!$A$2:$A$3000,0)),0)</f>
        <v>1.8</v>
      </c>
      <c r="F5" s="60" t="n">
        <f aca="false">C5*E5</f>
        <v>1.35501476331079</v>
      </c>
      <c r="G5" s="61"/>
      <c r="I5" s="62"/>
    </row>
    <row r="6" customFormat="false" ht="15.75" hidden="false" customHeight="false" outlineLevel="0" collapsed="false">
      <c r="A6" s="57" t="s">
        <v>1120</v>
      </c>
      <c r="B6" s="57" t="n">
        <v>0.287</v>
      </c>
      <c r="C6" s="58" t="n">
        <f aca="false">B6/B$22*B$24</f>
        <v>0.451042956472045</v>
      </c>
      <c r="D6" s="57" t="s">
        <v>682</v>
      </c>
      <c r="E6" s="59" t="n">
        <f aca="false">IFERROR(INDEX(Correspondance!$D$2:$D$3000,MATCH(A6,Correspondance!$A$2:$A$3000,0)),0)</f>
        <v>7.5</v>
      </c>
      <c r="F6" s="60" t="n">
        <f aca="false">C6*E6</f>
        <v>3.38282217354034</v>
      </c>
      <c r="G6" s="61"/>
      <c r="I6" s="63"/>
    </row>
    <row r="7" customFormat="false" ht="15.75" hidden="false" customHeight="false" outlineLevel="0" collapsed="false">
      <c r="A7" s="57" t="s">
        <v>894</v>
      </c>
      <c r="B7" s="57" t="n">
        <v>0.048</v>
      </c>
      <c r="C7" s="58" t="n">
        <f aca="false">B7/B$22*B$24</f>
        <v>0.0754357557862654</v>
      </c>
      <c r="D7" s="57" t="s">
        <v>434</v>
      </c>
      <c r="E7" s="59" t="n">
        <f aca="false">IFERROR(INDEX(Correspondance!$D$2:$D$3000,MATCH(A7,Correspondance!$A$2:$A$3000,0)),0)</f>
        <v>5.5</v>
      </c>
      <c r="F7" s="60" t="n">
        <f aca="false">C7*E7</f>
        <v>0.414896656824459</v>
      </c>
      <c r="G7" s="61"/>
      <c r="I7" s="63"/>
    </row>
    <row r="8" customFormat="false" ht="15.75" hidden="false" customHeight="false" outlineLevel="0" collapsed="false">
      <c r="A8" s="57" t="s">
        <v>1919</v>
      </c>
      <c r="B8" s="57" t="n">
        <v>0.067</v>
      </c>
      <c r="C8" s="58" t="n">
        <f aca="false">B8/B$22*B$24</f>
        <v>0.105295742451662</v>
      </c>
      <c r="D8" s="57" t="s">
        <v>434</v>
      </c>
      <c r="E8" s="59" t="n">
        <f aca="false">IFERROR(INDEX(Correspondance!$D$2:$D$3000,MATCH(A8,Correspondance!$A$2:$A$3000,0)),0)</f>
        <v>2</v>
      </c>
      <c r="F8" s="60" t="n">
        <f aca="false">C8*E8</f>
        <v>0.210591484903324</v>
      </c>
      <c r="G8" s="61"/>
      <c r="I8" s="63"/>
    </row>
    <row r="9" customFormat="false" ht="15.75" hidden="false" customHeight="false" outlineLevel="0" collapsed="false">
      <c r="A9" s="57" t="s">
        <v>1007</v>
      </c>
      <c r="B9" s="57" t="n">
        <v>0.048</v>
      </c>
      <c r="C9" s="58" t="n">
        <f aca="false">B9/B$22*B$24</f>
        <v>0.0754357557862654</v>
      </c>
      <c r="D9" s="57" t="s">
        <v>434</v>
      </c>
      <c r="E9" s="59" t="n">
        <f aca="false">IFERROR(INDEX(Correspondance!$D$2:$D$3000,MATCH(A9,Correspondance!$A$2:$A$3000,0)),0)</f>
        <v>8</v>
      </c>
      <c r="F9" s="60" t="n">
        <f aca="false">C9*E9</f>
        <v>0.603486046290123</v>
      </c>
      <c r="G9" s="61"/>
      <c r="I9" s="63"/>
    </row>
    <row r="10" customFormat="false" ht="15.75" hidden="false" customHeight="false" outlineLevel="0" collapsed="false">
      <c r="A10" s="57" t="s">
        <v>1814</v>
      </c>
      <c r="B10" s="57"/>
      <c r="C10" s="58" t="n">
        <f aca="false">B10/B$22*B$24</f>
        <v>0</v>
      </c>
      <c r="D10" s="57" t="s">
        <v>434</v>
      </c>
      <c r="E10" s="59" t="n">
        <f aca="false">IFERROR(INDEX(Correspondance!$D$2:$D$3000,MATCH(A10,Correspondance!$A$2:$A$3000,0)),0)</f>
        <v>18</v>
      </c>
      <c r="F10" s="60" t="n">
        <f aca="false">C10*E10</f>
        <v>0</v>
      </c>
      <c r="G10" s="61"/>
      <c r="I10" s="63"/>
    </row>
    <row r="11" customFormat="false" ht="15.75" hidden="false" customHeight="false" outlineLevel="0" collapsed="false">
      <c r="A11" s="57" t="s">
        <v>1945</v>
      </c>
      <c r="B11" s="57"/>
      <c r="C11" s="58" t="n">
        <f aca="false">B11/B$22*B$24</f>
        <v>0</v>
      </c>
      <c r="D11" s="57" t="s">
        <v>434</v>
      </c>
      <c r="E11" s="59" t="n">
        <f aca="false">IFERROR(INDEX(Correspondance!$D$2:$D$3000,MATCH(A11,Correspondance!$A$2:$A$3000,0)),0)</f>
        <v>16</v>
      </c>
      <c r="F11" s="60" t="n">
        <f aca="false">C11*E11</f>
        <v>0</v>
      </c>
      <c r="G11" s="61"/>
      <c r="I11" s="63"/>
    </row>
    <row r="12" customFormat="false" ht="18.75" hidden="false" customHeight="true" outlineLevel="0" collapsed="false">
      <c r="A12" s="57"/>
      <c r="B12" s="64"/>
      <c r="C12" s="58" t="n">
        <f aca="false">B12/B$22*B$24</f>
        <v>0</v>
      </c>
      <c r="D12" s="57"/>
      <c r="E12" s="65" t="n">
        <f aca="false">IFERROR(INDEX(Correspondance!$D$2:$D$3000,MATCH(A12,Correspondance!$A$2:$A$3000,0)),0)</f>
        <v>0</v>
      </c>
      <c r="F12" s="60" t="n">
        <f aca="false">C12*E12</f>
        <v>0</v>
      </c>
      <c r="G12" s="61"/>
      <c r="I12" s="63"/>
    </row>
    <row r="13" customFormat="false" ht="18.75" hidden="false" customHeight="true" outlineLevel="0" collapsed="false">
      <c r="A13" s="57"/>
      <c r="B13" s="64"/>
      <c r="C13" s="58" t="n">
        <f aca="false">B13/B$22*B$24</f>
        <v>0</v>
      </c>
      <c r="D13" s="57"/>
      <c r="E13" s="65" t="n">
        <f aca="false">IFERROR(INDEX(Correspondance!$D$2:$D$3000,MATCH(A13,Correspondance!$A$2:$A$3000,0)),0)</f>
        <v>0</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42.062820268597</v>
      </c>
      <c r="G19" s="61"/>
      <c r="I19" s="63"/>
    </row>
    <row r="20" customFormat="false" ht="18.75" hidden="false" customHeight="true" outlineLevel="0" collapsed="false">
      <c r="A20" s="68" t="s">
        <v>2628</v>
      </c>
      <c r="B20" s="69" t="n">
        <f aca="false">F19/B24</f>
        <v>0.382389275169064</v>
      </c>
      <c r="C20" s="70"/>
      <c r="G20" s="61"/>
      <c r="I20" s="63"/>
    </row>
    <row r="21" customFormat="false" ht="15.75" hidden="false" customHeight="false" outlineLevel="0" collapsed="false">
      <c r="A21" s="71" t="s">
        <v>2629</v>
      </c>
      <c r="B21" s="71" t="n">
        <f aca="false">SUM(B3:B18)</f>
        <v>10.499</v>
      </c>
      <c r="C21" s="66"/>
      <c r="G21" s="61"/>
      <c r="I21" s="63"/>
    </row>
    <row r="22" customFormat="false" ht="15.75" hidden="false" customHeight="false" outlineLevel="0" collapsed="false">
      <c r="A22" s="0" t="s">
        <v>2630</v>
      </c>
      <c r="B22" s="72" t="n">
        <f aca="false">B21/B23</f>
        <v>69.9933333333333</v>
      </c>
      <c r="C22" s="66"/>
      <c r="G22" s="61"/>
      <c r="I22" s="63"/>
    </row>
    <row r="23" customFormat="false" ht="15.75" hidden="false" customHeight="false" outlineLevel="0" collapsed="false">
      <c r="A23" s="0" t="s">
        <v>2631</v>
      </c>
      <c r="B23" s="0" t="n">
        <v>0.15</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379</v>
      </c>
      <c r="B1" s="50"/>
      <c r="C1" s="50"/>
      <c r="D1" s="50"/>
      <c r="E1" s="51" t="s">
        <v>2619</v>
      </c>
      <c r="F1" s="51"/>
      <c r="G1" s="52" t="s">
        <v>3083</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941</v>
      </c>
      <c r="B4" s="57" t="n">
        <v>9.48</v>
      </c>
      <c r="C4" s="58" t="n">
        <f aca="false">B4/B$22*B$24</f>
        <v>14.900045463402</v>
      </c>
      <c r="D4" s="57" t="s">
        <v>434</v>
      </c>
      <c r="E4" s="59" t="n">
        <f aca="false">IFERROR(INDEX(Correspondance!$D$2:$D$3000,MATCH(A4,Correspondance!$A$2:$A$3000,0)),0)</f>
        <v>2.4</v>
      </c>
      <c r="F4" s="60" t="n">
        <f aca="false">C4*E4</f>
        <v>35.7601091121647</v>
      </c>
      <c r="G4" s="61" t="s">
        <v>3084</v>
      </c>
    </row>
    <row r="5" customFormat="false" ht="15.75" hidden="false" customHeight="false" outlineLevel="0" collapsed="false">
      <c r="A5" s="57" t="s">
        <v>1001</v>
      </c>
      <c r="B5" s="57" t="n">
        <v>0.474</v>
      </c>
      <c r="C5" s="58" t="n">
        <f aca="false">B5/B$22*B$24</f>
        <v>0.745002273170098</v>
      </c>
      <c r="D5" s="57" t="s">
        <v>434</v>
      </c>
      <c r="E5" s="59" t="n">
        <f aca="false">IFERROR(INDEX(Correspondance!$D$2:$D$3000,MATCH(A5,Correspondance!$A$2:$A$3000,0)),0)</f>
        <v>1.8</v>
      </c>
      <c r="F5" s="60" t="n">
        <f aca="false">C5*E5</f>
        <v>1.34100409170618</v>
      </c>
      <c r="G5" s="61"/>
      <c r="I5" s="62"/>
    </row>
    <row r="6" customFormat="false" ht="15.75" hidden="false" customHeight="false" outlineLevel="0" collapsed="false">
      <c r="A6" s="57" t="s">
        <v>1120</v>
      </c>
      <c r="B6" s="57" t="n">
        <v>0.095</v>
      </c>
      <c r="C6" s="58" t="n">
        <f aca="false">B6/B$22*B$24</f>
        <v>0.149314801584724</v>
      </c>
      <c r="D6" s="57" t="s">
        <v>682</v>
      </c>
      <c r="E6" s="59" t="n">
        <f aca="false">IFERROR(INDEX(Correspondance!$D$2:$D$3000,MATCH(A6,Correspondance!$A$2:$A$3000,0)),0)</f>
        <v>7.5</v>
      </c>
      <c r="F6" s="60" t="n">
        <f aca="false">C6*E6</f>
        <v>1.11986101188543</v>
      </c>
      <c r="G6" s="61"/>
      <c r="I6" s="63"/>
    </row>
    <row r="7" customFormat="false" ht="15.75" hidden="false" customHeight="false" outlineLevel="0" collapsed="false">
      <c r="A7" s="57" t="s">
        <v>2000</v>
      </c>
      <c r="B7" s="57" t="n">
        <v>1.42</v>
      </c>
      <c r="C7" s="58" t="n">
        <f aca="false">B7/B$22*B$24</f>
        <v>2.23186335000325</v>
      </c>
      <c r="D7" s="57" t="s">
        <v>682</v>
      </c>
      <c r="E7" s="59" t="n">
        <f aca="false">IFERROR(INDEX(Correspondance!$D$2:$D$3000,MATCH(A7,Correspondance!$A$2:$A$3000,0)),0)</f>
        <v>3.8</v>
      </c>
      <c r="F7" s="60" t="n">
        <f aca="false">C7*E7</f>
        <v>8.48108073001234</v>
      </c>
      <c r="G7" s="61"/>
      <c r="I7" s="63"/>
    </row>
    <row r="8" customFormat="false" ht="15.75" hidden="false" customHeight="false" outlineLevel="0" collapsed="false">
      <c r="A8" s="57" t="s">
        <v>1576</v>
      </c>
      <c r="B8" s="57" t="n">
        <v>1.9</v>
      </c>
      <c r="C8" s="58" t="n">
        <f aca="false">B8/B$22*B$24</f>
        <v>2.98629603169449</v>
      </c>
      <c r="D8" s="57" t="s">
        <v>434</v>
      </c>
      <c r="E8" s="59" t="n">
        <f aca="false">IFERROR(INDEX(Correspondance!$D$2:$D$3000,MATCH(A8,Correspondance!$A$2:$A$3000,0)),0)</f>
        <v>5.5</v>
      </c>
      <c r="F8" s="60" t="n">
        <f aca="false">C8*E8</f>
        <v>16.4246281743197</v>
      </c>
      <c r="G8" s="61"/>
      <c r="I8" s="63"/>
    </row>
    <row r="9" customFormat="false" ht="15.75" hidden="false" customHeight="false" outlineLevel="0" collapsed="false">
      <c r="A9" s="57" t="s">
        <v>1695</v>
      </c>
      <c r="B9" s="57" t="n">
        <v>0.948</v>
      </c>
      <c r="C9" s="58" t="n">
        <f aca="false">B9/B$22*B$24</f>
        <v>1.4900045463402</v>
      </c>
      <c r="D9" s="57" t="s">
        <v>682</v>
      </c>
      <c r="E9" s="59" t="n">
        <f aca="false">IFERROR(INDEX(Correspondance!$D$2:$D$3000,MATCH(A9,Correspondance!$A$2:$A$3000,0)),0)</f>
        <v>2.5</v>
      </c>
      <c r="F9" s="60" t="n">
        <f aca="false">C9*E9</f>
        <v>3.72501136585049</v>
      </c>
      <c r="G9" s="61"/>
      <c r="I9" s="63"/>
    </row>
    <row r="10" customFormat="false" ht="15.75" hidden="false" customHeight="false" outlineLevel="0" collapsed="false">
      <c r="A10" s="57" t="s">
        <v>706</v>
      </c>
      <c r="B10" s="57" t="n">
        <v>0.948</v>
      </c>
      <c r="C10" s="58" t="n">
        <f aca="false">B10/B$22*B$24</f>
        <v>1.4900045463402</v>
      </c>
      <c r="D10" s="57" t="s">
        <v>434</v>
      </c>
      <c r="E10" s="59" t="n">
        <f aca="false">IFERROR(INDEX(Correspondance!$D$2:$D$3000,MATCH(A10,Correspondance!$A$2:$A$3000,0)),0)</f>
        <v>7.5</v>
      </c>
      <c r="F10" s="60" t="n">
        <f aca="false">C10*E10</f>
        <v>11.1750340975515</v>
      </c>
      <c r="G10" s="61"/>
      <c r="I10" s="63"/>
    </row>
    <row r="11" customFormat="false" ht="15.75" hidden="false" customHeight="false" outlineLevel="0" collapsed="false">
      <c r="A11" s="57" t="s">
        <v>894</v>
      </c>
      <c r="B11" s="57" t="n">
        <v>0.047</v>
      </c>
      <c r="C11" s="58" t="n">
        <f aca="false">B11/B$22*B$24</f>
        <v>0.0738715334156005</v>
      </c>
      <c r="D11" s="57" t="s">
        <v>434</v>
      </c>
      <c r="E11" s="59" t="n">
        <f aca="false">IFERROR(INDEX(Correspondance!$D$2:$D$3000,MATCH(A11,Correspondance!$A$2:$A$3000,0)),0)</f>
        <v>5.5</v>
      </c>
      <c r="F11" s="60" t="n">
        <f aca="false">C11*E11</f>
        <v>0.406293433785802</v>
      </c>
      <c r="G11" s="61"/>
      <c r="I11" s="63"/>
    </row>
    <row r="12" customFormat="false" ht="18.75" hidden="false" customHeight="true" outlineLevel="0" collapsed="false">
      <c r="A12" s="57" t="s">
        <v>1919</v>
      </c>
      <c r="B12" s="64" t="n">
        <v>0.085</v>
      </c>
      <c r="C12" s="58" t="n">
        <f aca="false">B12/B$22*B$24</f>
        <v>0.13359745404949</v>
      </c>
      <c r="D12" s="57" t="s">
        <v>434</v>
      </c>
      <c r="E12" s="59" t="n">
        <f aca="false">IFERROR(INDEX(Correspondance!$D$2:$D$3000,MATCH(A12,Correspondance!$A$2:$A$3000,0)),0)</f>
        <v>2</v>
      </c>
      <c r="F12" s="60" t="n">
        <f aca="false">C12*E12</f>
        <v>0.26719490809898</v>
      </c>
      <c r="G12" s="61"/>
      <c r="I12" s="63"/>
    </row>
    <row r="13" customFormat="false" ht="18.75" hidden="false" customHeight="true" outlineLevel="0" collapsed="false">
      <c r="A13" s="57" t="s">
        <v>1814</v>
      </c>
      <c r="B13" s="64"/>
      <c r="C13" s="58" t="n">
        <f aca="false">B13/B$22*B$24</f>
        <v>0</v>
      </c>
      <c r="D13" s="57" t="s">
        <v>434</v>
      </c>
      <c r="E13" s="59" t="n">
        <f aca="false">IFERROR(INDEX(Correspondance!$D$2:$D$3000,MATCH(A13,Correspondance!$A$2:$A$3000,0)),0)</f>
        <v>18</v>
      </c>
      <c r="F13" s="60" t="n">
        <f aca="false">C13*E13</f>
        <v>0</v>
      </c>
      <c r="G13" s="61"/>
      <c r="I13" s="63"/>
    </row>
    <row r="14" customFormat="false" ht="15.75" hidden="false" customHeight="false" outlineLevel="0" collapsed="false">
      <c r="A14" s="57" t="s">
        <v>1732</v>
      </c>
      <c r="B14" s="57"/>
      <c r="C14" s="58" t="n">
        <f aca="false">B14/B$22*B$24</f>
        <v>0</v>
      </c>
      <c r="D14" s="57" t="s">
        <v>434</v>
      </c>
      <c r="E14" s="59" t="n">
        <f aca="false">IFERROR(INDEX(Correspondance!$D$2:$D$3000,MATCH(A14,Correspondance!$A$2:$A$3000,0)),0)</f>
        <v>30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78.7002169253751</v>
      </c>
      <c r="G19" s="61"/>
      <c r="I19" s="63"/>
    </row>
    <row r="20" customFormat="false" ht="18.75" hidden="false" customHeight="true" outlineLevel="0" collapsed="false">
      <c r="A20" s="68" t="s">
        <v>2628</v>
      </c>
      <c r="B20" s="69" t="n">
        <f aca="false">F19/B24</f>
        <v>0.71545651750341</v>
      </c>
      <c r="C20" s="70"/>
      <c r="G20" s="61"/>
      <c r="I20" s="63"/>
    </row>
    <row r="21" customFormat="false" ht="15.75" hidden="false" customHeight="false" outlineLevel="0" collapsed="false">
      <c r="A21" s="71" t="s">
        <v>2629</v>
      </c>
      <c r="B21" s="71" t="n">
        <f aca="false">SUM(B3:B18)</f>
        <v>15.397</v>
      </c>
      <c r="C21" s="66"/>
      <c r="G21" s="61"/>
      <c r="I21" s="63"/>
    </row>
    <row r="22" customFormat="false" ht="15.75" hidden="false" customHeight="false" outlineLevel="0" collapsed="false">
      <c r="A22" s="0" t="s">
        <v>2630</v>
      </c>
      <c r="B22" s="72" t="n">
        <f aca="false">B21/B23</f>
        <v>69.9863636363636</v>
      </c>
      <c r="C22" s="66"/>
      <c r="G22" s="61"/>
      <c r="I22" s="63"/>
    </row>
    <row r="23" customFormat="false" ht="15.75" hidden="false" customHeight="false" outlineLevel="0" collapsed="false">
      <c r="A23" s="0" t="s">
        <v>2631</v>
      </c>
      <c r="B23" s="0" t="n">
        <v>0.22</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381</v>
      </c>
      <c r="B1" s="50"/>
      <c r="C1" s="50"/>
      <c r="D1" s="50"/>
      <c r="E1" s="51" t="s">
        <v>2619</v>
      </c>
      <c r="F1" s="51"/>
      <c r="G1" s="52" t="s">
        <v>3085</v>
      </c>
    </row>
    <row r="2" customFormat="false" ht="24.75" hidden="false" customHeight="true" outlineLevel="0" collapsed="false">
      <c r="A2" s="50"/>
      <c r="B2" s="50"/>
      <c r="C2" s="50"/>
      <c r="D2" s="50"/>
      <c r="E2" s="53" t="s">
        <v>2636</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1527</v>
      </c>
      <c r="B4" s="57" t="n">
        <v>3.47</v>
      </c>
      <c r="C4" s="58" t="n">
        <f aca="false">B4/B$22*B$24</f>
        <v>5.45480528760272</v>
      </c>
      <c r="D4" s="57" t="s">
        <v>434</v>
      </c>
      <c r="E4" s="59" t="n">
        <f aca="false">IFERROR(INDEX(Correspondance!$D$2:$D$3000,MATCH(A4,Correspondance!$A$2:$A$3000,0)),0)</f>
        <v>3.2</v>
      </c>
      <c r="F4" s="60" t="n">
        <f aca="false">C4*E4</f>
        <v>17.4553769203287</v>
      </c>
      <c r="G4" s="61" t="s">
        <v>3086</v>
      </c>
    </row>
    <row r="5" customFormat="false" ht="15.75" hidden="false" customHeight="false" outlineLevel="0" collapsed="false">
      <c r="A5" s="57" t="s">
        <v>993</v>
      </c>
      <c r="B5" s="57" t="n">
        <v>1.73</v>
      </c>
      <c r="C5" s="58" t="n">
        <f aca="false">B5/B$22*B$24</f>
        <v>2.71954269381922</v>
      </c>
      <c r="D5" s="57" t="s">
        <v>434</v>
      </c>
      <c r="E5" s="59" t="n">
        <f aca="false">IFERROR(INDEX(Correspondance!$D$2:$D$3000,MATCH(A5,Correspondance!$A$2:$A$3000,0)),0)</f>
        <v>2.2</v>
      </c>
      <c r="F5" s="60" t="n">
        <f aca="false">C5*E5</f>
        <v>5.98299392640229</v>
      </c>
      <c r="G5" s="61"/>
      <c r="I5" s="62"/>
    </row>
    <row r="6" customFormat="false" ht="15.75" hidden="false" customHeight="false" outlineLevel="0" collapsed="false">
      <c r="A6" s="57" t="s">
        <v>1020</v>
      </c>
      <c r="B6" s="57" t="n">
        <v>1.73</v>
      </c>
      <c r="C6" s="58" t="n">
        <f aca="false">B6/B$22*B$24</f>
        <v>2.71954269381922</v>
      </c>
      <c r="D6" s="57" t="s">
        <v>434</v>
      </c>
      <c r="E6" s="59" t="n">
        <f aca="false">IFERROR(INDEX(Correspondance!$D$2:$D$3000,MATCH(A6,Correspondance!$A$2:$A$3000,0)),0)</f>
        <v>2.8</v>
      </c>
      <c r="F6" s="60" t="n">
        <f aca="false">C6*E6</f>
        <v>7.61471954269382</v>
      </c>
      <c r="G6" s="61"/>
      <c r="I6" s="63"/>
    </row>
    <row r="7" customFormat="false" ht="15.75" hidden="false" customHeight="false" outlineLevel="0" collapsed="false">
      <c r="A7" s="57" t="s">
        <v>1827</v>
      </c>
      <c r="B7" s="57" t="n">
        <v>1.73</v>
      </c>
      <c r="C7" s="58" t="n">
        <f aca="false">B7/B$22*B$24</f>
        <v>2.71954269381922</v>
      </c>
      <c r="D7" s="57" t="s">
        <v>434</v>
      </c>
      <c r="E7" s="59" t="n">
        <f aca="false">IFERROR(INDEX(Correspondance!$D$2:$D$3000,MATCH(A7,Correspondance!$A$2:$A$3000,0)),0)</f>
        <v>2</v>
      </c>
      <c r="F7" s="60" t="n">
        <f aca="false">C7*E7</f>
        <v>5.43908538763844</v>
      </c>
      <c r="G7" s="61"/>
      <c r="I7" s="63"/>
    </row>
    <row r="8" customFormat="false" ht="15.75" hidden="false" customHeight="false" outlineLevel="0" collapsed="false">
      <c r="A8" s="57" t="s">
        <v>1595</v>
      </c>
      <c r="B8" s="57" t="n">
        <v>0.433</v>
      </c>
      <c r="C8" s="58" t="n">
        <f aca="false">B8/B$22*B$24</f>
        <v>0.680671668453019</v>
      </c>
      <c r="D8" s="57" t="s">
        <v>434</v>
      </c>
      <c r="E8" s="59" t="n">
        <f aca="false">IFERROR(INDEX(Correspondance!$D$2:$D$3000,MATCH(A8,Correspondance!$A$2:$A$3000,0)),0)</f>
        <v>1.6</v>
      </c>
      <c r="F8" s="60" t="n">
        <f aca="false">C8*E8</f>
        <v>1.08907466952483</v>
      </c>
      <c r="G8" s="61"/>
      <c r="I8" s="63"/>
    </row>
    <row r="9" customFormat="false" ht="15.75" hidden="false" customHeight="false" outlineLevel="0" collapsed="false">
      <c r="A9" s="57" t="s">
        <v>1001</v>
      </c>
      <c r="B9" s="57" t="n">
        <v>0.433</v>
      </c>
      <c r="C9" s="58" t="n">
        <f aca="false">B9/B$22*B$24</f>
        <v>0.680671668453019</v>
      </c>
      <c r="D9" s="57" t="s">
        <v>434</v>
      </c>
      <c r="E9" s="59" t="n">
        <f aca="false">IFERROR(INDEX(Correspondance!$D$2:$D$3000,MATCH(A9,Correspondance!$A$2:$A$3000,0)),0)</f>
        <v>1.8</v>
      </c>
      <c r="F9" s="60" t="n">
        <f aca="false">C9*E9</f>
        <v>1.22520900321543</v>
      </c>
      <c r="G9" s="61"/>
      <c r="I9" s="63"/>
    </row>
    <row r="10" customFormat="false" ht="15.75" hidden="false" customHeight="false" outlineLevel="0" collapsed="false">
      <c r="A10" s="57" t="s">
        <v>1054</v>
      </c>
      <c r="B10" s="57" t="n">
        <v>0.087</v>
      </c>
      <c r="C10" s="58" t="n">
        <f aca="false">B10/B$22*B$24</f>
        <v>0.136763129689175</v>
      </c>
      <c r="D10" s="57" t="s">
        <v>434</v>
      </c>
      <c r="E10" s="59" t="n">
        <f aca="false">IFERROR(INDEX(Correspondance!$D$2:$D$3000,MATCH(A10,Correspondance!$A$2:$A$3000,0)),0)</f>
        <v>9</v>
      </c>
      <c r="F10" s="60" t="n">
        <f aca="false">C10*E10</f>
        <v>1.23086816720257</v>
      </c>
      <c r="G10" s="61"/>
      <c r="I10" s="63"/>
    </row>
    <row r="11" customFormat="false" ht="15.75" hidden="false" customHeight="false" outlineLevel="0" collapsed="false">
      <c r="A11" s="57" t="s">
        <v>1459</v>
      </c>
      <c r="B11" s="57" t="n">
        <v>4.33</v>
      </c>
      <c r="C11" s="58" t="n">
        <f aca="false">B11/B$22*B$24</f>
        <v>6.80671668453019</v>
      </c>
      <c r="D11" s="57" t="s">
        <v>682</v>
      </c>
      <c r="E11" s="59" t="n">
        <f aca="false">IFERROR(INDEX(Correspondance!$D$2:$D$3000,MATCH(A11,Correspondance!$A$2:$A$3000,0)),0)</f>
        <v>0</v>
      </c>
      <c r="F11" s="60" t="n">
        <f aca="false">C11*E11</f>
        <v>0</v>
      </c>
      <c r="G11" s="61"/>
      <c r="I11" s="63"/>
    </row>
    <row r="12" customFormat="false" ht="18.75" hidden="false" customHeight="true" outlineLevel="0" collapsed="false">
      <c r="A12" s="57" t="s">
        <v>1919</v>
      </c>
      <c r="B12" s="64" t="n">
        <v>0.052</v>
      </c>
      <c r="C12" s="58" t="n">
        <f aca="false">B12/B$22*B$24</f>
        <v>0.0817434798142194</v>
      </c>
      <c r="D12" s="57" t="s">
        <v>434</v>
      </c>
      <c r="E12" s="59" t="n">
        <f aca="false">IFERROR(INDEX(Correspondance!$D$2:$D$3000,MATCH(A12,Correspondance!$A$2:$A$3000,0)),0)</f>
        <v>2</v>
      </c>
      <c r="F12" s="60" t="n">
        <f aca="false">C12*E12</f>
        <v>0.163486959628439</v>
      </c>
      <c r="G12" s="61"/>
      <c r="I12" s="63"/>
    </row>
    <row r="13" customFormat="false" ht="18.75" hidden="false" customHeight="true" outlineLevel="0" collapsed="false">
      <c r="A13" s="57" t="s">
        <v>1813</v>
      </c>
      <c r="B13" s="64"/>
      <c r="C13" s="58" t="n">
        <f aca="false">B13/B$22*B$24</f>
        <v>0</v>
      </c>
      <c r="D13" s="57" t="s">
        <v>434</v>
      </c>
      <c r="E13" s="59" t="n">
        <f aca="false">IFERROR(INDEX(Correspondance!$D$2:$D$3000,MATCH(A13,Correspondance!$A$2:$A$3000,0)),0)</f>
        <v>18</v>
      </c>
      <c r="F13" s="60" t="n">
        <f aca="false">C13*E13</f>
        <v>0</v>
      </c>
      <c r="G13" s="61"/>
      <c r="I13" s="63"/>
    </row>
    <row r="14" customFormat="false" ht="15.75" hidden="false" customHeight="false" outlineLevel="0" collapsed="false">
      <c r="A14" s="57" t="s">
        <v>1507</v>
      </c>
      <c r="B14" s="57"/>
      <c r="C14" s="58" t="n">
        <f aca="false">B14/B$22*B$24</f>
        <v>0</v>
      </c>
      <c r="D14" s="57" t="s">
        <v>434</v>
      </c>
      <c r="E14" s="59" t="n">
        <f aca="false">IFERROR(INDEX(Correspondance!$D$2:$D$3000,MATCH(A14,Correspondance!$A$2:$A$3000,0)),0)</f>
        <v>16</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40.2008145766345</v>
      </c>
      <c r="G19" s="61"/>
      <c r="I19" s="63"/>
    </row>
    <row r="20" customFormat="false" ht="18.75" hidden="false" customHeight="true" outlineLevel="0" collapsed="false">
      <c r="A20" s="68" t="s">
        <v>2628</v>
      </c>
      <c r="B20" s="69" t="n">
        <f aca="false">F19/B24</f>
        <v>0.365461950696677</v>
      </c>
      <c r="C20" s="70"/>
      <c r="G20" s="61"/>
      <c r="I20" s="63"/>
    </row>
    <row r="21" customFormat="false" ht="15.75" hidden="false" customHeight="false" outlineLevel="0" collapsed="false">
      <c r="A21" s="71" t="s">
        <v>2629</v>
      </c>
      <c r="B21" s="71" t="n">
        <f aca="false">SUM(B3:B18)</f>
        <v>13.995</v>
      </c>
      <c r="C21" s="66"/>
      <c r="G21" s="61"/>
      <c r="I21" s="63"/>
    </row>
    <row r="22" customFormat="false" ht="15.75" hidden="false" customHeight="false" outlineLevel="0" collapsed="false">
      <c r="A22" s="0" t="s">
        <v>2630</v>
      </c>
      <c r="B22" s="72" t="n">
        <f aca="false">B21/B23</f>
        <v>69.975</v>
      </c>
      <c r="C22" s="66"/>
      <c r="G22" s="61"/>
      <c r="I22" s="63"/>
    </row>
    <row r="23" customFormat="false" ht="15.75" hidden="false" customHeight="false" outlineLevel="0" collapsed="false">
      <c r="A23" s="0" t="s">
        <v>2631</v>
      </c>
      <c r="B23" s="0" t="n">
        <v>0.2</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382</v>
      </c>
      <c r="B1" s="50"/>
      <c r="C1" s="50"/>
      <c r="D1" s="50"/>
      <c r="E1" s="51" t="s">
        <v>2619</v>
      </c>
      <c r="F1" s="51"/>
      <c r="G1" s="52" t="s">
        <v>3087</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1881</v>
      </c>
      <c r="B4" s="57" t="n">
        <v>3.51</v>
      </c>
      <c r="C4" s="58" t="n">
        <f aca="false">B4/B$22*B$24</f>
        <v>5.51607247223846</v>
      </c>
      <c r="D4" s="57" t="s">
        <v>434</v>
      </c>
      <c r="E4" s="59" t="n">
        <f aca="false">IFERROR(INDEX(Correspondance!$D$2:$D$3000,MATCH(A4,Correspondance!$A$2:$A$3000,0)),0)</f>
        <v>3.2</v>
      </c>
      <c r="F4" s="60" t="n">
        <f aca="false">C4*E4</f>
        <v>17.6514319111631</v>
      </c>
      <c r="G4" s="61" t="s">
        <v>3088</v>
      </c>
    </row>
    <row r="5" customFormat="false" ht="15.75" hidden="false" customHeight="false" outlineLevel="0" collapsed="false">
      <c r="A5" s="57" t="s">
        <v>1056</v>
      </c>
      <c r="B5" s="57" t="n">
        <v>0.158</v>
      </c>
      <c r="C5" s="58" t="n">
        <f aca="false">B5/B$22*B$24</f>
        <v>0.248301837781674</v>
      </c>
      <c r="D5" s="57" t="s">
        <v>434</v>
      </c>
      <c r="E5" s="59" t="n">
        <f aca="false">IFERROR(INDEX(Correspondance!$D$2:$D$3000,MATCH(A5,Correspondance!$A$2:$A$3000,0)),0)</f>
        <v>9</v>
      </c>
      <c r="F5" s="60" t="n">
        <f aca="false">C5*E5</f>
        <v>2.23471654003507</v>
      </c>
      <c r="G5" s="61"/>
      <c r="I5" s="62"/>
    </row>
    <row r="6" customFormat="false" ht="15.75" hidden="false" customHeight="false" outlineLevel="0" collapsed="false">
      <c r="A6" s="57" t="s">
        <v>1459</v>
      </c>
      <c r="B6" s="57" t="n">
        <v>7.91</v>
      </c>
      <c r="C6" s="58" t="n">
        <f aca="false">B6/B$22*B$24</f>
        <v>12.4308071952724</v>
      </c>
      <c r="D6" s="57" t="s">
        <v>682</v>
      </c>
      <c r="E6" s="59" t="n">
        <f aca="false">IFERROR(INDEX(Correspondance!$D$2:$D$3000,MATCH(A6,Correspondance!$A$2:$A$3000,0)),0)</f>
        <v>0</v>
      </c>
      <c r="F6" s="60" t="n">
        <f aca="false">C6*E6</f>
        <v>0</v>
      </c>
      <c r="G6" s="61"/>
      <c r="I6" s="63"/>
    </row>
    <row r="7" customFormat="false" ht="15.75" hidden="false" customHeight="false" outlineLevel="0" collapsed="false">
      <c r="A7" s="57" t="s">
        <v>1001</v>
      </c>
      <c r="B7" s="57" t="n">
        <v>0.703</v>
      </c>
      <c r="C7" s="58" t="n">
        <f aca="false">B7/B$22*B$24</f>
        <v>1.10478602506656</v>
      </c>
      <c r="D7" s="57" t="s">
        <v>434</v>
      </c>
      <c r="E7" s="59" t="n">
        <f aca="false">IFERROR(INDEX(Correspondance!$D$2:$D$3000,MATCH(A7,Correspondance!$A$2:$A$3000,0)),0)</f>
        <v>1.8</v>
      </c>
      <c r="F7" s="60" t="n">
        <f aca="false">C7*E7</f>
        <v>1.98861484511981</v>
      </c>
      <c r="G7" s="61"/>
      <c r="I7" s="63"/>
    </row>
    <row r="8" customFormat="false" ht="15.75" hidden="false" customHeight="false" outlineLevel="0" collapsed="false">
      <c r="A8" s="57" t="s">
        <v>1973</v>
      </c>
      <c r="B8" s="57" t="n">
        <v>0.878</v>
      </c>
      <c r="C8" s="58" t="n">
        <f aca="false">B8/B$22*B$24</f>
        <v>1.37980388336905</v>
      </c>
      <c r="D8" s="57" t="s">
        <v>682</v>
      </c>
      <c r="E8" s="59" t="n">
        <f aca="false">IFERROR(INDEX(Correspondance!$D$2:$D$3000,MATCH(A8,Correspondance!$A$2:$A$3000,0)),0)</f>
        <v>2</v>
      </c>
      <c r="F8" s="60" t="n">
        <f aca="false">C8*E8</f>
        <v>2.7596077667381</v>
      </c>
      <c r="G8" s="61"/>
      <c r="I8" s="63"/>
    </row>
    <row r="9" customFormat="false" ht="15.75" hidden="false" customHeight="false" outlineLevel="0" collapsed="false">
      <c r="A9" s="57" t="s">
        <v>1120</v>
      </c>
      <c r="B9" s="57" t="n">
        <v>0.264</v>
      </c>
      <c r="C9" s="58" t="n">
        <f aca="false">B9/B$22*B$24</f>
        <v>0.414884083382038</v>
      </c>
      <c r="D9" s="57" t="s">
        <v>682</v>
      </c>
      <c r="E9" s="59" t="n">
        <f aca="false">IFERROR(INDEX(Correspondance!$D$2:$D$3000,MATCH(A9,Correspondance!$A$2:$A$3000,0)),0)</f>
        <v>7.5</v>
      </c>
      <c r="F9" s="60" t="n">
        <f aca="false">C9*E9</f>
        <v>3.11163062536528</v>
      </c>
      <c r="G9" s="61"/>
      <c r="I9" s="63"/>
    </row>
    <row r="10" customFormat="false" ht="15.75" hidden="false" customHeight="false" outlineLevel="0" collapsed="false">
      <c r="A10" s="57" t="s">
        <v>1491</v>
      </c>
      <c r="B10" s="57" t="n">
        <v>0.351</v>
      </c>
      <c r="C10" s="58" t="n">
        <f aca="false">B10/B$22*B$24</f>
        <v>0.551607247223846</v>
      </c>
      <c r="D10" s="57" t="s">
        <v>434</v>
      </c>
      <c r="E10" s="59" t="n">
        <f aca="false">IFERROR(INDEX(Correspondance!$D$2:$D$3000,MATCH(A10,Correspondance!$A$2:$A$3000,0)),0)</f>
        <v>9</v>
      </c>
      <c r="F10" s="60" t="n">
        <f aca="false">C10*E10</f>
        <v>4.96446522501461</v>
      </c>
      <c r="G10" s="61"/>
      <c r="I10" s="63"/>
    </row>
    <row r="11" customFormat="false" ht="15.75" hidden="false" customHeight="false" outlineLevel="0" collapsed="false">
      <c r="A11" s="57" t="s">
        <v>1576</v>
      </c>
      <c r="B11" s="57" t="n">
        <v>0.878</v>
      </c>
      <c r="C11" s="58" t="n">
        <f aca="false">B11/B$22*B$24</f>
        <v>1.37980388336905</v>
      </c>
      <c r="D11" s="57" t="s">
        <v>434</v>
      </c>
      <c r="E11" s="59" t="n">
        <f aca="false">IFERROR(INDEX(Correspondance!$D$2:$D$3000,MATCH(A11,Correspondance!$A$2:$A$3000,0)),0)</f>
        <v>5.5</v>
      </c>
      <c r="F11" s="60" t="n">
        <f aca="false">C11*E11</f>
        <v>7.58892135852978</v>
      </c>
      <c r="G11" s="61"/>
      <c r="I11" s="63"/>
    </row>
    <row r="12" customFormat="false" ht="18.75" hidden="false" customHeight="true" outlineLevel="0" collapsed="false">
      <c r="A12" s="57" t="s">
        <v>728</v>
      </c>
      <c r="B12" s="64" t="n">
        <v>0.703</v>
      </c>
      <c r="C12" s="58" t="n">
        <f aca="false">B12/B$22*B$24</f>
        <v>1.10478602506656</v>
      </c>
      <c r="D12" s="57" t="s">
        <v>434</v>
      </c>
      <c r="E12" s="59" t="n">
        <f aca="false">IFERROR(INDEX(Correspondance!$D$2:$D$3000,MATCH(A12,Correspondance!$A$2:$A$3000,0)),0)</f>
        <v>16</v>
      </c>
      <c r="F12" s="60" t="n">
        <f aca="false">C12*E12</f>
        <v>17.676576401065</v>
      </c>
      <c r="G12" s="61"/>
      <c r="I12" s="63"/>
    </row>
    <row r="13" customFormat="false" ht="18.75" hidden="false" customHeight="true" outlineLevel="0" collapsed="false">
      <c r="A13" s="57" t="s">
        <v>1919</v>
      </c>
      <c r="B13" s="64" t="n">
        <v>0.044</v>
      </c>
      <c r="C13" s="58" t="n">
        <f aca="false">B13/B$22*B$24</f>
        <v>0.0691473472303396</v>
      </c>
      <c r="D13" s="57" t="s">
        <v>434</v>
      </c>
      <c r="E13" s="59" t="n">
        <f aca="false">IFERROR(INDEX(Correspondance!$D$2:$D$3000,MATCH(A13,Correspondance!$A$2:$A$3000,0)),0)</f>
        <v>2</v>
      </c>
      <c r="F13" s="60" t="n">
        <f aca="false">C13*E13</f>
        <v>0.138294694460679</v>
      </c>
      <c r="G13" s="61"/>
      <c r="I13" s="63"/>
    </row>
    <row r="14" customFormat="false" ht="15.75" hidden="false" customHeight="false" outlineLevel="0" collapsed="false">
      <c r="A14" s="57" t="s">
        <v>1814</v>
      </c>
      <c r="B14" s="57"/>
      <c r="C14" s="58" t="n">
        <f aca="false">B14/B$22*B$24</f>
        <v>0</v>
      </c>
      <c r="D14" s="57" t="s">
        <v>434</v>
      </c>
      <c r="E14" s="59" t="n">
        <f aca="false">IFERROR(INDEX(Correspondance!$D$2:$D$3000,MATCH(A14,Correspondance!$A$2:$A$3000,0)),0)</f>
        <v>18</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58.1142593674914</v>
      </c>
      <c r="G19" s="61"/>
      <c r="I19" s="63"/>
    </row>
    <row r="20" customFormat="false" ht="18.75" hidden="false" customHeight="true" outlineLevel="0" collapsed="false">
      <c r="A20" s="68" t="s">
        <v>2628</v>
      </c>
      <c r="B20" s="69" t="n">
        <f aca="false">F19/B24</f>
        <v>0.528311448795376</v>
      </c>
      <c r="C20" s="70"/>
      <c r="G20" s="61"/>
      <c r="I20" s="63"/>
    </row>
    <row r="21" customFormat="false" ht="15.75" hidden="false" customHeight="false" outlineLevel="0" collapsed="false">
      <c r="A21" s="71" t="s">
        <v>2629</v>
      </c>
      <c r="B21" s="71" t="n">
        <f aca="false">SUM(B3:B18)</f>
        <v>15.399</v>
      </c>
      <c r="C21" s="66"/>
      <c r="G21" s="61"/>
      <c r="I21" s="63"/>
    </row>
    <row r="22" customFormat="false" ht="15.75" hidden="false" customHeight="false" outlineLevel="0" collapsed="false">
      <c r="A22" s="0" t="s">
        <v>2630</v>
      </c>
      <c r="B22" s="72" t="n">
        <f aca="false">B21/B23</f>
        <v>69.9954545454545</v>
      </c>
      <c r="C22" s="66"/>
      <c r="G22" s="61"/>
      <c r="I22" s="63"/>
    </row>
    <row r="23" customFormat="false" ht="15.75" hidden="false" customHeight="false" outlineLevel="0" collapsed="false">
      <c r="A23" s="0" t="s">
        <v>2631</v>
      </c>
      <c r="B23" s="0" t="n">
        <v>0.22</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383</v>
      </c>
      <c r="B1" s="50"/>
      <c r="C1" s="50"/>
      <c r="D1" s="50"/>
      <c r="E1" s="51" t="s">
        <v>2619</v>
      </c>
      <c r="F1" s="51"/>
      <c r="G1" s="52" t="s">
        <v>3089</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939</v>
      </c>
      <c r="B4" s="57" t="n">
        <v>3.17</v>
      </c>
      <c r="C4" s="58" t="n">
        <f aca="false">B4/B$22*B$24</f>
        <v>4.97984766740717</v>
      </c>
      <c r="D4" s="57" t="s">
        <v>434</v>
      </c>
      <c r="E4" s="59" t="n">
        <f aca="false">IFERROR(INDEX(Correspondance!$D$2:$D$3000,MATCH(A4,Correspondance!$A$2:$A$3000,0)),0)</f>
        <v>2.4</v>
      </c>
      <c r="F4" s="60" t="n">
        <f aca="false">C4*E4</f>
        <v>11.9516344017772</v>
      </c>
      <c r="G4" s="61" t="s">
        <v>3090</v>
      </c>
    </row>
    <row r="5" customFormat="false" ht="15.75" hidden="false" customHeight="false" outlineLevel="0" collapsed="false">
      <c r="A5" s="57" t="s">
        <v>915</v>
      </c>
      <c r="B5" s="57" t="n">
        <v>2.11</v>
      </c>
      <c r="C5" s="58" t="n">
        <f aca="false">B5/B$22*B$24</f>
        <v>3.31466201205966</v>
      </c>
      <c r="D5" s="57" t="s">
        <v>434</v>
      </c>
      <c r="E5" s="59" t="n">
        <f aca="false">IFERROR(INDEX(Correspondance!$D$2:$D$3000,MATCH(A5,Correspondance!$A$2:$A$3000,0)),0)</f>
        <v>1.9</v>
      </c>
      <c r="F5" s="60" t="n">
        <f aca="false">C5*E5</f>
        <v>6.29785782291336</v>
      </c>
      <c r="G5" s="61"/>
      <c r="I5" s="62"/>
    </row>
    <row r="6" customFormat="false" ht="15.75" hidden="false" customHeight="false" outlineLevel="0" collapsed="false">
      <c r="A6" s="57" t="s">
        <v>1957</v>
      </c>
      <c r="B6" s="57" t="n">
        <v>2.11</v>
      </c>
      <c r="C6" s="58" t="n">
        <f aca="false">B6/B$22*B$24</f>
        <v>3.31466201205966</v>
      </c>
      <c r="D6" s="57" t="s">
        <v>434</v>
      </c>
      <c r="E6" s="59" t="n">
        <f aca="false">IFERROR(INDEX(Correspondance!$D$2:$D$3000,MATCH(A6,Correspondance!$A$2:$A$3000,0)),0)</f>
        <v>1.6</v>
      </c>
      <c r="F6" s="60" t="n">
        <f aca="false">C6*E6</f>
        <v>5.30345921929546</v>
      </c>
      <c r="G6" s="61"/>
      <c r="I6" s="63"/>
    </row>
    <row r="7" customFormat="false" ht="15.75" hidden="false" customHeight="false" outlineLevel="0" collapsed="false">
      <c r="A7" s="57" t="s">
        <v>1024</v>
      </c>
      <c r="B7" s="57" t="n">
        <v>1.06</v>
      </c>
      <c r="C7" s="58" t="n">
        <f aca="false">B7/B$22*B$24</f>
        <v>1.66518565534751</v>
      </c>
      <c r="D7" s="57" t="s">
        <v>434</v>
      </c>
      <c r="E7" s="59" t="n">
        <f aca="false">IFERROR(INDEX(Correspondance!$D$2:$D$3000,MATCH(A7,Correspondance!$A$2:$A$3000,0)),0)</f>
        <v>3</v>
      </c>
      <c r="F7" s="60" t="n">
        <f aca="false">C7*E7</f>
        <v>4.99555696604253</v>
      </c>
      <c r="G7" s="61"/>
      <c r="I7" s="63"/>
    </row>
    <row r="8" customFormat="false" ht="15.75" hidden="false" customHeight="false" outlineLevel="0" collapsed="false">
      <c r="A8" s="57" t="s">
        <v>1001</v>
      </c>
      <c r="B8" s="57" t="n">
        <v>0.845</v>
      </c>
      <c r="C8" s="58" t="n">
        <f aca="false">B8/B$22*B$24</f>
        <v>1.3274357346874</v>
      </c>
      <c r="D8" s="57" t="s">
        <v>434</v>
      </c>
      <c r="E8" s="59" t="n">
        <f aca="false">IFERROR(INDEX(Correspondance!$D$2:$D$3000,MATCH(A8,Correspondance!$A$2:$A$3000,0)),0)</f>
        <v>1.8</v>
      </c>
      <c r="F8" s="60" t="n">
        <f aca="false">C8*E8</f>
        <v>2.38938432243732</v>
      </c>
      <c r="G8" s="61"/>
      <c r="I8" s="63"/>
    </row>
    <row r="9" customFormat="false" ht="15.75" hidden="false" customHeight="false" outlineLevel="0" collapsed="false">
      <c r="A9" s="57" t="s">
        <v>894</v>
      </c>
      <c r="B9" s="57" t="n">
        <v>0.053</v>
      </c>
      <c r="C9" s="58" t="n">
        <f aca="false">B9/B$22*B$24</f>
        <v>0.0832592827673754</v>
      </c>
      <c r="D9" s="57" t="s">
        <v>434</v>
      </c>
      <c r="E9" s="59" t="n">
        <f aca="false">IFERROR(INDEX(Correspondance!$D$2:$D$3000,MATCH(A9,Correspondance!$A$2:$A$3000,0)),0)</f>
        <v>5.5</v>
      </c>
      <c r="F9" s="60" t="n">
        <f aca="false">C9*E9</f>
        <v>0.457926055220565</v>
      </c>
      <c r="G9" s="61"/>
      <c r="I9" s="63"/>
    </row>
    <row r="10" customFormat="false" ht="15.75" hidden="false" customHeight="false" outlineLevel="0" collapsed="false">
      <c r="A10" s="57" t="s">
        <v>1120</v>
      </c>
      <c r="B10" s="57" t="n">
        <v>0.211</v>
      </c>
      <c r="C10" s="58" t="n">
        <f aca="false">B10/B$22*B$24</f>
        <v>0.331466201205966</v>
      </c>
      <c r="D10" s="57" t="s">
        <v>682</v>
      </c>
      <c r="E10" s="59" t="n">
        <f aca="false">IFERROR(INDEX(Correspondance!$D$2:$D$3000,MATCH(A10,Correspondance!$A$2:$A$3000,0)),0)</f>
        <v>7.5</v>
      </c>
      <c r="F10" s="60" t="n">
        <f aca="false">C10*E10</f>
        <v>2.48599650904475</v>
      </c>
      <c r="G10" s="61"/>
      <c r="I10" s="63"/>
    </row>
    <row r="11" customFormat="false" ht="15.75" hidden="false" customHeight="false" outlineLevel="0" collapsed="false">
      <c r="A11" s="57" t="s">
        <v>1616</v>
      </c>
      <c r="B11" s="57" t="n">
        <v>1.06</v>
      </c>
      <c r="C11" s="58" t="n">
        <f aca="false">B11/B$22*B$24</f>
        <v>1.66518565534751</v>
      </c>
      <c r="D11" s="57" t="s">
        <v>434</v>
      </c>
      <c r="E11" s="59" t="n">
        <f aca="false">IFERROR(INDEX(Correspondance!$D$2:$D$3000,MATCH(A11,Correspondance!$A$2:$A$3000,0)),0)</f>
        <v>0.85</v>
      </c>
      <c r="F11" s="60" t="n">
        <f aca="false">C11*E11</f>
        <v>1.41540780704538</v>
      </c>
      <c r="G11" s="61"/>
      <c r="I11" s="63"/>
    </row>
    <row r="12" customFormat="false" ht="18.75" hidden="false" customHeight="true" outlineLevel="0" collapsed="false">
      <c r="A12" s="57" t="s">
        <v>1491</v>
      </c>
      <c r="B12" s="64" t="n">
        <v>0.845</v>
      </c>
      <c r="C12" s="58" t="n">
        <f aca="false">B12/B$22*B$24</f>
        <v>1.3274357346874</v>
      </c>
      <c r="D12" s="57" t="s">
        <v>434</v>
      </c>
      <c r="E12" s="59" t="n">
        <f aca="false">IFERROR(INDEX(Correspondance!$D$2:$D$3000,MATCH(A12,Correspondance!$A$2:$A$3000,0)),0)</f>
        <v>9</v>
      </c>
      <c r="F12" s="60" t="n">
        <f aca="false">C12*E12</f>
        <v>11.9469216121866</v>
      </c>
      <c r="G12" s="61"/>
      <c r="I12" s="63"/>
    </row>
    <row r="13" customFormat="false" ht="18.75" hidden="false" customHeight="true" outlineLevel="0" collapsed="false">
      <c r="A13" s="57" t="s">
        <v>1765</v>
      </c>
      <c r="B13" s="64" t="n">
        <v>0.634</v>
      </c>
      <c r="C13" s="58" t="n">
        <f aca="false">B13/B$22*B$24</f>
        <v>0.995969533481434</v>
      </c>
      <c r="D13" s="57" t="s">
        <v>434</v>
      </c>
      <c r="E13" s="59" t="n">
        <f aca="false">IFERROR(INDEX(Correspondance!$D$2:$D$3000,MATCH(A13,Correspondance!$A$2:$A$3000,0)),0)</f>
        <v>16</v>
      </c>
      <c r="F13" s="60" t="n">
        <f aca="false">C13*E13</f>
        <v>15.935512535703</v>
      </c>
      <c r="G13" s="61"/>
      <c r="I13" s="63"/>
    </row>
    <row r="14" customFormat="false" ht="15.75" hidden="false" customHeight="false" outlineLevel="0" collapsed="false">
      <c r="A14" s="57" t="s">
        <v>1531</v>
      </c>
      <c r="B14" s="57" t="n">
        <v>0.422</v>
      </c>
      <c r="C14" s="58" t="n">
        <f aca="false">B14/B$22*B$24</f>
        <v>0.662932402411933</v>
      </c>
      <c r="D14" s="57" t="s">
        <v>434</v>
      </c>
      <c r="E14" s="59" t="n">
        <f aca="false">IFERROR(INDEX(Correspondance!$D$2:$D$3000,MATCH(A14,Correspondance!$A$2:$A$3000,0)),0)</f>
        <v>2</v>
      </c>
      <c r="F14" s="60" t="n">
        <f aca="false">C14*E14</f>
        <v>1.32586480482387</v>
      </c>
      <c r="G14" s="61"/>
      <c r="I14" s="63"/>
    </row>
    <row r="15" customFormat="false" ht="15.75" hidden="false" customHeight="false" outlineLevel="0" collapsed="false">
      <c r="A15" s="57" t="s">
        <v>1919</v>
      </c>
      <c r="B15" s="57" t="n">
        <v>0.084</v>
      </c>
      <c r="C15" s="58" t="n">
        <f aca="false">B15/B$22*B$24</f>
        <v>0.131958108536972</v>
      </c>
      <c r="D15" s="57" t="s">
        <v>434</v>
      </c>
      <c r="E15" s="59" t="n">
        <f aca="false">IFERROR(INDEX(Correspondance!$D$2:$D$3000,MATCH(A15,Correspondance!$A$2:$A$3000,0)),0)</f>
        <v>2</v>
      </c>
      <c r="F15" s="60" t="n">
        <f aca="false">C15*E15</f>
        <v>0.263916217073945</v>
      </c>
      <c r="G15" s="61"/>
      <c r="I15" s="63"/>
    </row>
    <row r="16" customFormat="false" ht="15.75" hidden="false" customHeight="false" outlineLevel="0" collapsed="false">
      <c r="A16" s="57" t="s">
        <v>1814</v>
      </c>
      <c r="B16" s="57"/>
      <c r="C16" s="58" t="n">
        <f aca="false">B16/B$22*B$24</f>
        <v>0</v>
      </c>
      <c r="D16" s="57" t="s">
        <v>434</v>
      </c>
      <c r="E16" s="59" t="n">
        <f aca="false">IFERROR(INDEX(Correspondance!$D$2:$D$3000,MATCH(A16,Correspondance!$A$2:$A$3000,0)),0)</f>
        <v>18</v>
      </c>
      <c r="F16" s="60" t="n">
        <f aca="false">C16*E16</f>
        <v>0</v>
      </c>
      <c r="G16" s="61"/>
      <c r="I16" s="63"/>
    </row>
    <row r="17" customFormat="false" ht="15.75" hidden="false" customHeight="false" outlineLevel="0" collapsed="false">
      <c r="A17" s="57" t="s">
        <v>1664</v>
      </c>
      <c r="B17" s="57"/>
      <c r="C17" s="58" t="n">
        <f aca="false">B17/B$22*B$24</f>
        <v>0</v>
      </c>
      <c r="D17" s="57" t="s">
        <v>434</v>
      </c>
      <c r="E17" s="59" t="n">
        <f aca="false">IFERROR(INDEX(Correspondance!$D$2:$D$3000,MATCH(A17,Correspondance!$A$2:$A$3000,0)),0)</f>
        <v>11</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64.7694382735639</v>
      </c>
      <c r="G19" s="61"/>
      <c r="I19" s="63"/>
    </row>
    <row r="20" customFormat="false" ht="18.75" hidden="false" customHeight="true" outlineLevel="0" collapsed="false">
      <c r="A20" s="68" t="s">
        <v>2628</v>
      </c>
      <c r="B20" s="69" t="n">
        <f aca="false">F19/B24</f>
        <v>0.588813075214218</v>
      </c>
      <c r="C20" s="70"/>
      <c r="G20" s="61"/>
      <c r="I20" s="63"/>
    </row>
    <row r="21" customFormat="false" ht="15.75" hidden="false" customHeight="false" outlineLevel="0" collapsed="false">
      <c r="A21" s="71" t="s">
        <v>2629</v>
      </c>
      <c r="B21" s="71" t="n">
        <f aca="false">SUM(B3:B18)</f>
        <v>12.604</v>
      </c>
      <c r="C21" s="66"/>
      <c r="G21" s="61"/>
      <c r="I21" s="63"/>
    </row>
    <row r="22" customFormat="false" ht="15.75" hidden="false" customHeight="false" outlineLevel="0" collapsed="false">
      <c r="A22" s="0" t="s">
        <v>2630</v>
      </c>
      <c r="B22" s="72" t="n">
        <f aca="false">B21/B23</f>
        <v>70.0222222222222</v>
      </c>
      <c r="C22" s="66"/>
      <c r="G22" s="61"/>
      <c r="I22" s="63"/>
    </row>
    <row r="23" customFormat="false" ht="15.75" hidden="false" customHeight="false" outlineLevel="0" collapsed="false">
      <c r="A23" s="0" t="s">
        <v>2631</v>
      </c>
      <c r="B23" s="0" t="n">
        <v>0.18</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386</v>
      </c>
      <c r="B1" s="50"/>
      <c r="C1" s="50"/>
      <c r="D1" s="50"/>
      <c r="E1" s="51" t="s">
        <v>2619</v>
      </c>
      <c r="F1" s="51"/>
      <c r="G1" s="52" t="s">
        <v>3091</v>
      </c>
    </row>
    <row r="2" customFormat="false" ht="24.75" hidden="false" customHeight="true" outlineLevel="0" collapsed="false">
      <c r="A2" s="50"/>
      <c r="B2" s="50"/>
      <c r="C2" s="50"/>
      <c r="D2" s="50"/>
      <c r="E2" s="53" t="s">
        <v>2636</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1846</v>
      </c>
      <c r="B4" s="57" t="n">
        <v>5.87</v>
      </c>
      <c r="C4" s="58" t="n">
        <f aca="false">B4/B$22*B$24</f>
        <v>9.22099250267761</v>
      </c>
      <c r="D4" s="57" t="s">
        <v>434</v>
      </c>
      <c r="E4" s="59" t="n">
        <f aca="false">IFERROR(INDEX(Correspondance!$D$2:$D$3000,MATCH(A4,Correspondance!$A$2:$A$3000,0)),0)</f>
        <v>3</v>
      </c>
      <c r="F4" s="60" t="n">
        <f aca="false">C4*E4</f>
        <v>27.6629775080328</v>
      </c>
      <c r="G4" s="61" t="s">
        <v>3092</v>
      </c>
    </row>
    <row r="5" customFormat="false" ht="15.75" hidden="false" customHeight="false" outlineLevel="0" collapsed="false">
      <c r="A5" s="57" t="s">
        <v>1793</v>
      </c>
      <c r="B5" s="57" t="n">
        <v>1.81</v>
      </c>
      <c r="C5" s="58" t="n">
        <f aca="false">B5/B$22*B$24</f>
        <v>2.84327026062121</v>
      </c>
      <c r="D5" s="57" t="s">
        <v>434</v>
      </c>
      <c r="E5" s="59" t="n">
        <f aca="false">IFERROR(INDEX(Correspondance!$D$2:$D$3000,MATCH(A5,Correspondance!$A$2:$A$3000,0)),0)</f>
        <v>2.4</v>
      </c>
      <c r="F5" s="60" t="n">
        <f aca="false">C5*E5</f>
        <v>6.8238486254909</v>
      </c>
      <c r="G5" s="61"/>
      <c r="I5" s="62"/>
    </row>
    <row r="6" customFormat="false" ht="15.75" hidden="false" customHeight="false" outlineLevel="0" collapsed="false">
      <c r="A6" s="57" t="s">
        <v>1182</v>
      </c>
      <c r="B6" s="57" t="n">
        <v>0.452</v>
      </c>
      <c r="C6" s="58" t="n">
        <f aca="false">B6/B$22*B$24</f>
        <v>0.710032131381649</v>
      </c>
      <c r="D6" s="57" t="s">
        <v>434</v>
      </c>
      <c r="E6" s="59" t="n">
        <f aca="false">IFERROR(INDEX(Correspondance!$D$2:$D$3000,MATCH(A6,Correspondance!$A$2:$A$3000,0)),0)</f>
        <v>1.3</v>
      </c>
      <c r="F6" s="60" t="n">
        <f aca="false">C6*E6</f>
        <v>0.923041770796144</v>
      </c>
      <c r="G6" s="61"/>
      <c r="I6" s="63"/>
    </row>
    <row r="7" customFormat="false" ht="15.75" hidden="false" customHeight="false" outlineLevel="0" collapsed="false">
      <c r="A7" s="57" t="s">
        <v>1291</v>
      </c>
      <c r="B7" s="57" t="n">
        <v>0.09</v>
      </c>
      <c r="C7" s="58" t="n">
        <f aca="false">B7/B$22*B$24</f>
        <v>0.141378079257408</v>
      </c>
      <c r="D7" s="57" t="s">
        <v>682</v>
      </c>
      <c r="E7" s="59" t="n">
        <f aca="false">IFERROR(INDEX(Correspondance!$D$2:$D$3000,MATCH(A7,Correspondance!$A$2:$A$3000,0)),0)</f>
        <v>2.5</v>
      </c>
      <c r="F7" s="60" t="n">
        <f aca="false">C7*E7</f>
        <v>0.35344519814352</v>
      </c>
      <c r="G7" s="61"/>
      <c r="I7" s="63"/>
    </row>
    <row r="8" customFormat="false" ht="15.75" hidden="false" customHeight="false" outlineLevel="0" collapsed="false">
      <c r="A8" s="57" t="s">
        <v>1459</v>
      </c>
      <c r="B8" s="57" t="n">
        <v>0.181</v>
      </c>
      <c r="C8" s="58" t="n">
        <f aca="false">B8/B$22*B$24</f>
        <v>0.284327026062121</v>
      </c>
      <c r="D8" s="57" t="s">
        <v>682</v>
      </c>
      <c r="E8" s="59" t="n">
        <f aca="false">IFERROR(INDEX(Correspondance!$D$2:$D$3000,MATCH(A8,Correspondance!$A$2:$A$3000,0)),0)</f>
        <v>0</v>
      </c>
      <c r="F8" s="60" t="n">
        <f aca="false">C8*E8</f>
        <v>0</v>
      </c>
      <c r="G8" s="61"/>
      <c r="I8" s="63"/>
    </row>
    <row r="9" customFormat="false" ht="15.75" hidden="false" customHeight="false" outlineLevel="0" collapsed="false">
      <c r="A9" s="57" t="s">
        <v>1967</v>
      </c>
      <c r="B9" s="57"/>
      <c r="C9" s="58" t="n">
        <f aca="false">B9/B$22*B$24</f>
        <v>0</v>
      </c>
      <c r="D9" s="57" t="s">
        <v>434</v>
      </c>
      <c r="E9" s="59" t="n">
        <f aca="false">IFERROR(INDEX(Correspondance!$D$2:$D$3000,MATCH(A9,Correspondance!$A$2:$A$3000,0)),0)</f>
        <v>28</v>
      </c>
      <c r="F9" s="60" t="n">
        <f aca="false">C9*E9</f>
        <v>0</v>
      </c>
      <c r="G9" s="61"/>
      <c r="I9" s="63"/>
    </row>
    <row r="10" customFormat="false" ht="15.75" hidden="false" customHeight="false" outlineLevel="0" collapsed="false">
      <c r="A10" s="57" t="s">
        <v>1522</v>
      </c>
      <c r="B10" s="57"/>
      <c r="C10" s="58" t="n">
        <f aca="false">B10/B$22*B$24</f>
        <v>0</v>
      </c>
      <c r="D10" s="57" t="s">
        <v>434</v>
      </c>
      <c r="E10" s="59" t="n">
        <f aca="false">IFERROR(INDEX(Correspondance!$D$2:$D$3000,MATCH(A10,Correspondance!$A$2:$A$3000,0)),0)</f>
        <v>12</v>
      </c>
      <c r="F10" s="60" t="n">
        <f aca="false">C10*E10</f>
        <v>0</v>
      </c>
      <c r="G10" s="61"/>
      <c r="I10" s="63"/>
    </row>
    <row r="11" customFormat="false" ht="15.75" hidden="false" customHeight="false" outlineLevel="0" collapsed="false">
      <c r="A11" s="57"/>
      <c r="B11" s="57"/>
      <c r="C11" s="58" t="n">
        <f aca="false">B11/B$22*B$24</f>
        <v>0</v>
      </c>
      <c r="D11" s="57"/>
      <c r="E11" s="65" t="n">
        <f aca="false">IFERROR(INDEX(Correspondance!$D$2:$D$3000,MATCH(A11,Correspondance!$A$2:$A$3000,0)),0)</f>
        <v>0</v>
      </c>
      <c r="F11" s="60" t="n">
        <f aca="false">C11*E11</f>
        <v>0</v>
      </c>
      <c r="G11" s="61"/>
      <c r="I11" s="63"/>
    </row>
    <row r="12" customFormat="false" ht="18.75" hidden="false" customHeight="true" outlineLevel="0" collapsed="false">
      <c r="A12" s="57"/>
      <c r="B12" s="64"/>
      <c r="C12" s="58" t="n">
        <f aca="false">B12/B$22*B$24</f>
        <v>0</v>
      </c>
      <c r="D12" s="57"/>
      <c r="E12" s="65" t="n">
        <f aca="false">IFERROR(INDEX(Correspondance!$D$2:$D$3000,MATCH(A12,Correspondance!$A$2:$A$3000,0)),0)</f>
        <v>0</v>
      </c>
      <c r="F12" s="60" t="n">
        <f aca="false">C12*E12</f>
        <v>0</v>
      </c>
      <c r="G12" s="61"/>
      <c r="I12" s="63"/>
    </row>
    <row r="13" customFormat="false" ht="18.75" hidden="false" customHeight="true" outlineLevel="0" collapsed="false">
      <c r="A13" s="57"/>
      <c r="B13" s="64"/>
      <c r="C13" s="58" t="n">
        <f aca="false">B13/B$22*B$24</f>
        <v>0</v>
      </c>
      <c r="D13" s="57"/>
      <c r="E13" s="65" t="n">
        <f aca="false">IFERROR(INDEX(Correspondance!$D$2:$D$3000,MATCH(A13,Correspondance!$A$2:$A$3000,0)),0)</f>
        <v>0</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35.7633131024634</v>
      </c>
      <c r="G19" s="61"/>
      <c r="I19" s="63"/>
    </row>
    <row r="20" customFormat="false" ht="18.75" hidden="false" customHeight="true" outlineLevel="0" collapsed="false">
      <c r="A20" s="68" t="s">
        <v>2628</v>
      </c>
      <c r="B20" s="69" t="n">
        <f aca="false">F19/B24</f>
        <v>0.325121028204213</v>
      </c>
      <c r="C20" s="70"/>
      <c r="G20" s="61"/>
      <c r="I20" s="63"/>
    </row>
    <row r="21" customFormat="false" ht="15.75" hidden="false" customHeight="false" outlineLevel="0" collapsed="false">
      <c r="A21" s="71" t="s">
        <v>2629</v>
      </c>
      <c r="B21" s="71" t="n">
        <f aca="false">SUM(B3:B18)</f>
        <v>8.403</v>
      </c>
      <c r="C21" s="66"/>
      <c r="G21" s="61"/>
      <c r="I21" s="63"/>
    </row>
    <row r="22" customFormat="false" ht="15.75" hidden="false" customHeight="false" outlineLevel="0" collapsed="false">
      <c r="A22" s="0" t="s">
        <v>2630</v>
      </c>
      <c r="B22" s="72" t="n">
        <f aca="false">B21/B23</f>
        <v>70.025</v>
      </c>
      <c r="C22" s="66"/>
      <c r="G22" s="61"/>
      <c r="I22" s="63"/>
    </row>
    <row r="23" customFormat="false" ht="15.75" hidden="false" customHeight="false" outlineLevel="0" collapsed="false">
      <c r="A23" s="0" t="s">
        <v>2631</v>
      </c>
      <c r="B23" s="0" t="n">
        <v>0.12</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387</v>
      </c>
      <c r="B1" s="50"/>
      <c r="C1" s="50"/>
      <c r="D1" s="50"/>
      <c r="E1" s="51" t="s">
        <v>2619</v>
      </c>
      <c r="F1" s="51"/>
      <c r="G1" s="52" t="s">
        <v>2645</v>
      </c>
    </row>
    <row r="2" customFormat="false" ht="24.75" hidden="false" customHeight="true" outlineLevel="0" collapsed="false">
      <c r="A2" s="50"/>
      <c r="B2" s="50"/>
      <c r="C2" s="50"/>
      <c r="D2" s="50"/>
      <c r="E2" s="53" t="s">
        <v>2621</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1824</v>
      </c>
      <c r="B4" s="57" t="n">
        <v>1.34</v>
      </c>
      <c r="C4" s="58" t="n">
        <f aca="false">B4/B$22*B$24</f>
        <v>2.10756709194897</v>
      </c>
      <c r="D4" s="57" t="s">
        <v>434</v>
      </c>
      <c r="E4" s="59" t="n">
        <f aca="false">IFERROR(INDEX(Correspondance!$D$2:$D$3000,MATCH(A4,Correspondance!$A$2:$A$3000,0)),0)</f>
        <v>1.7</v>
      </c>
      <c r="F4" s="60" t="n">
        <f aca="false">C4*E4</f>
        <v>3.58286405631324</v>
      </c>
      <c r="G4" s="61" t="s">
        <v>3093</v>
      </c>
    </row>
    <row r="5" customFormat="false" ht="15.75" hidden="false" customHeight="false" outlineLevel="0" collapsed="false">
      <c r="A5" s="57" t="s">
        <v>848</v>
      </c>
      <c r="B5" s="57" t="n">
        <v>1.34</v>
      </c>
      <c r="C5" s="58" t="n">
        <f aca="false">B5/B$22*B$24</f>
        <v>2.10756709194897</v>
      </c>
      <c r="D5" s="57" t="s">
        <v>434</v>
      </c>
      <c r="E5" s="59" t="n">
        <f aca="false">IFERROR(INDEX(Correspondance!$D$2:$D$3000,MATCH(A5,Correspondance!$A$2:$A$3000,0)),0)</f>
        <v>2.4</v>
      </c>
      <c r="F5" s="60" t="n">
        <f aca="false">C5*E5</f>
        <v>5.05816102067752</v>
      </c>
      <c r="G5" s="61"/>
      <c r="I5" s="62"/>
    </row>
    <row r="6" customFormat="false" ht="15.75" hidden="false" customHeight="false" outlineLevel="0" collapsed="false">
      <c r="A6" s="57" t="s">
        <v>837</v>
      </c>
      <c r="B6" s="57" t="n">
        <v>1.79</v>
      </c>
      <c r="C6" s="58" t="n">
        <f aca="false">B6/B$22*B$24</f>
        <v>2.81533216014078</v>
      </c>
      <c r="D6" s="57" t="s">
        <v>434</v>
      </c>
      <c r="E6" s="59" t="n">
        <f aca="false">IFERROR(INDEX(Correspondance!$D$2:$D$3000,MATCH(A6,Correspondance!$A$2:$A$3000,0)),0)</f>
        <v>1.6</v>
      </c>
      <c r="F6" s="60" t="n">
        <f aca="false">C6*E6</f>
        <v>4.50453145622525</v>
      </c>
      <c r="G6" s="61"/>
      <c r="I6" s="63"/>
    </row>
    <row r="7" customFormat="false" ht="15.75" hidden="false" customHeight="false" outlineLevel="0" collapsed="false">
      <c r="A7" s="57" t="s">
        <v>767</v>
      </c>
      <c r="B7" s="57" t="n">
        <v>0.897</v>
      </c>
      <c r="C7" s="58" t="n">
        <f aca="false">B7/B$22*B$24</f>
        <v>1.41081170259569</v>
      </c>
      <c r="D7" s="57" t="s">
        <v>434</v>
      </c>
      <c r="E7" s="59" t="n">
        <f aca="false">IFERROR(INDEX(Correspondance!$D$2:$D$3000,MATCH(A7,Correspondance!$A$2:$A$3000,0)),0)</f>
        <v>1.6</v>
      </c>
      <c r="F7" s="60" t="n">
        <f aca="false">C7*E7</f>
        <v>2.2572987241531</v>
      </c>
      <c r="G7" s="61"/>
      <c r="I7" s="63"/>
    </row>
    <row r="8" customFormat="false" ht="15.75" hidden="false" customHeight="false" outlineLevel="0" collapsed="false">
      <c r="A8" s="57" t="s">
        <v>817</v>
      </c>
      <c r="B8" s="57" t="n">
        <v>0.897</v>
      </c>
      <c r="C8" s="58" t="n">
        <f aca="false">B8/B$22*B$24</f>
        <v>1.41081170259569</v>
      </c>
      <c r="D8" s="57" t="s">
        <v>434</v>
      </c>
      <c r="E8" s="59" t="n">
        <f aca="false">IFERROR(INDEX(Correspondance!$D$2:$D$3000,MATCH(A8,Correspondance!$A$2:$A$3000,0)),0)</f>
        <v>2.8</v>
      </c>
      <c r="F8" s="60" t="n">
        <f aca="false">C8*E8</f>
        <v>3.95027276726793</v>
      </c>
      <c r="G8" s="61"/>
      <c r="I8" s="63"/>
    </row>
    <row r="9" customFormat="false" ht="15.75" hidden="false" customHeight="false" outlineLevel="0" collapsed="false">
      <c r="A9" s="57" t="s">
        <v>873</v>
      </c>
      <c r="B9" s="57" t="n">
        <v>0.717</v>
      </c>
      <c r="C9" s="58" t="n">
        <f aca="false">B9/B$22*B$24</f>
        <v>1.12770567531896</v>
      </c>
      <c r="D9" s="57" t="s">
        <v>434</v>
      </c>
      <c r="E9" s="59" t="n">
        <f aca="false">IFERROR(INDEX(Correspondance!$D$2:$D$3000,MATCH(A9,Correspondance!$A$2:$A$3000,0)),0)</f>
        <v>3.5</v>
      </c>
      <c r="F9" s="60" t="n">
        <f aca="false">C9*E9</f>
        <v>3.94696986361637</v>
      </c>
      <c r="G9" s="61"/>
      <c r="I9" s="63"/>
    </row>
    <row r="10" customFormat="false" ht="15.75" hidden="false" customHeight="false" outlineLevel="0" collapsed="false">
      <c r="A10" s="57" t="s">
        <v>1474</v>
      </c>
      <c r="B10" s="57" t="n">
        <v>1.08</v>
      </c>
      <c r="C10" s="58" t="n">
        <f aca="false">B10/B$22*B$24</f>
        <v>1.69863616366036</v>
      </c>
      <c r="D10" s="57" t="s">
        <v>434</v>
      </c>
      <c r="E10" s="59" t="n">
        <f aca="false">IFERROR(INDEX(Correspondance!$D$2:$D$3000,MATCH(A10,Correspondance!$A$2:$A$3000,0)),0)</f>
        <v>1.87</v>
      </c>
      <c r="F10" s="60" t="n">
        <f aca="false">C10*E10</f>
        <v>3.17644962604488</v>
      </c>
      <c r="G10" s="61"/>
      <c r="I10" s="63"/>
    </row>
    <row r="11" customFormat="false" ht="15.75" hidden="false" customHeight="false" outlineLevel="0" collapsed="false">
      <c r="A11" s="57" t="s">
        <v>1362</v>
      </c>
      <c r="B11" s="57" t="n">
        <v>0.717</v>
      </c>
      <c r="C11" s="58" t="n">
        <f aca="false">B11/B$22*B$24</f>
        <v>1.12770567531896</v>
      </c>
      <c r="D11" s="57" t="s">
        <v>682</v>
      </c>
      <c r="E11" s="59" t="n">
        <f aca="false">IFERROR(INDEX(Correspondance!$D$2:$D$3000,MATCH(A11,Correspondance!$A$2:$A$3000,0)),0)</f>
        <v>1.5</v>
      </c>
      <c r="F11" s="60" t="n">
        <f aca="false">C11*E11</f>
        <v>1.69155851297844</v>
      </c>
      <c r="G11" s="61"/>
      <c r="I11" s="63"/>
    </row>
    <row r="12" customFormat="false" ht="18.75" hidden="false" customHeight="true" outlineLevel="0" collapsed="false">
      <c r="A12" s="57" t="s">
        <v>1182</v>
      </c>
      <c r="B12" s="64" t="n">
        <v>0.224</v>
      </c>
      <c r="C12" s="58" t="n">
        <f aca="false">B12/B$22*B$24</f>
        <v>0.35230972283326</v>
      </c>
      <c r="D12" s="57" t="s">
        <v>434</v>
      </c>
      <c r="E12" s="59" t="n">
        <f aca="false">IFERROR(INDEX(Correspondance!$D$2:$D$3000,MATCH(A12,Correspondance!$A$2:$A$3000,0)),0)</f>
        <v>1.3</v>
      </c>
      <c r="F12" s="60" t="n">
        <f aca="false">C12*E12</f>
        <v>0.458002639683238</v>
      </c>
      <c r="G12" s="61"/>
      <c r="I12" s="63"/>
    </row>
    <row r="13" customFormat="false" ht="18.75" hidden="false" customHeight="true" outlineLevel="0" collapsed="false">
      <c r="A13" s="57" t="s">
        <v>1291</v>
      </c>
      <c r="B13" s="64" t="n">
        <v>0.09</v>
      </c>
      <c r="C13" s="58" t="n">
        <f aca="false">B13/B$22*B$24</f>
        <v>0.141553013638363</v>
      </c>
      <c r="D13" s="57" t="s">
        <v>682</v>
      </c>
      <c r="E13" s="59" t="n">
        <f aca="false">IFERROR(INDEX(Correspondance!$D$2:$D$3000,MATCH(A13,Correspondance!$A$2:$A$3000,0)),0)</f>
        <v>2.5</v>
      </c>
      <c r="F13" s="60" t="n">
        <f aca="false">C13*E13</f>
        <v>0.353882534095909</v>
      </c>
      <c r="G13" s="61"/>
      <c r="I13" s="63"/>
    </row>
    <row r="14" customFormat="false" ht="15.75" hidden="false" customHeight="false" outlineLevel="0" collapsed="false">
      <c r="A14" s="57" t="s">
        <v>1717</v>
      </c>
      <c r="B14" s="57"/>
      <c r="C14" s="58" t="n">
        <f aca="false">B14/B$22*B$24</f>
        <v>0</v>
      </c>
      <c r="D14" s="57" t="s">
        <v>434</v>
      </c>
      <c r="E14" s="59" t="n">
        <f aca="false">IFERROR(INDEX(Correspondance!$D$2:$D$3000,MATCH(A14,Correspondance!$A$2:$A$3000,0)),0)</f>
        <v>30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28.9799912010559</v>
      </c>
      <c r="G19" s="61"/>
      <c r="I19" s="63"/>
    </row>
    <row r="20" customFormat="false" ht="18.75" hidden="false" customHeight="true" outlineLevel="0" collapsed="false">
      <c r="A20" s="68" t="s">
        <v>2628</v>
      </c>
      <c r="B20" s="69" t="n">
        <f aca="false">F19/B24</f>
        <v>0.263454465464144</v>
      </c>
      <c r="C20" s="70"/>
      <c r="G20" s="61"/>
      <c r="I20" s="63"/>
    </row>
    <row r="21" customFormat="false" ht="15.75" hidden="false" customHeight="false" outlineLevel="0" collapsed="false">
      <c r="A21" s="71" t="s">
        <v>2629</v>
      </c>
      <c r="B21" s="71" t="n">
        <f aca="false">SUM(B3:B18)</f>
        <v>9.092</v>
      </c>
      <c r="C21" s="66"/>
      <c r="G21" s="61"/>
      <c r="I21" s="63"/>
    </row>
    <row r="22" customFormat="false" ht="15.75" hidden="false" customHeight="false" outlineLevel="0" collapsed="false">
      <c r="A22" s="0" t="s">
        <v>2630</v>
      </c>
      <c r="B22" s="72" t="n">
        <f aca="false">B21/B23</f>
        <v>69.9384615384615</v>
      </c>
      <c r="C22" s="66"/>
      <c r="G22" s="61"/>
      <c r="I22" s="63"/>
    </row>
    <row r="23" customFormat="false" ht="15.75" hidden="false" customHeight="false" outlineLevel="0" collapsed="false">
      <c r="A23" s="0" t="s">
        <v>2631</v>
      </c>
      <c r="B23" s="0" t="n">
        <v>0.13</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388</v>
      </c>
      <c r="B1" s="50"/>
      <c r="C1" s="50"/>
      <c r="D1" s="50"/>
      <c r="E1" s="51" t="s">
        <v>2619</v>
      </c>
      <c r="F1" s="51"/>
      <c r="G1" s="52" t="s">
        <v>3094</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1081</v>
      </c>
      <c r="B4" s="57" t="n">
        <v>1.82</v>
      </c>
      <c r="C4" s="58" t="n">
        <f aca="false">B4/B$22*B$24</f>
        <v>2.86136255359695</v>
      </c>
      <c r="D4" s="57" t="s">
        <v>434</v>
      </c>
      <c r="E4" s="59" t="n">
        <f aca="false">IFERROR(INDEX(Correspondance!$D$2:$D$3000,MATCH(A4,Correspondance!$A$2:$A$3000,0)),0)</f>
        <v>0.85</v>
      </c>
      <c r="F4" s="60" t="n">
        <f aca="false">C4*E4</f>
        <v>2.43215817055741</v>
      </c>
      <c r="G4" s="61" t="s">
        <v>3095</v>
      </c>
    </row>
    <row r="5" customFormat="false" ht="15.75" hidden="false" customHeight="false" outlineLevel="0" collapsed="false">
      <c r="A5" s="57" t="s">
        <v>2000</v>
      </c>
      <c r="B5" s="57" t="n">
        <v>1.46</v>
      </c>
      <c r="C5" s="58" t="n">
        <f aca="false">B5/B$22*B$24</f>
        <v>2.29537875178657</v>
      </c>
      <c r="D5" s="57" t="s">
        <v>682</v>
      </c>
      <c r="E5" s="59" t="n">
        <f aca="false">IFERROR(INDEX(Correspondance!$D$2:$D$3000,MATCH(A5,Correspondance!$A$2:$A$3000,0)),0)</f>
        <v>3.8</v>
      </c>
      <c r="F5" s="60" t="n">
        <f aca="false">C5*E5</f>
        <v>8.72243925678895</v>
      </c>
      <c r="G5" s="61"/>
      <c r="I5" s="62"/>
    </row>
    <row r="6" customFormat="false" ht="15.75" hidden="false" customHeight="false" outlineLevel="0" collapsed="false">
      <c r="A6" s="57" t="s">
        <v>1695</v>
      </c>
      <c r="B6" s="57" t="n">
        <v>4.1</v>
      </c>
      <c r="C6" s="58" t="n">
        <f aca="false">B6/B$22*B$24</f>
        <v>6.4459266317294</v>
      </c>
      <c r="D6" s="57" t="s">
        <v>682</v>
      </c>
      <c r="E6" s="59" t="n">
        <f aca="false">IFERROR(INDEX(Correspondance!$D$2:$D$3000,MATCH(A6,Correspondance!$A$2:$A$3000,0)),0)</f>
        <v>2.5</v>
      </c>
      <c r="F6" s="60" t="n">
        <f aca="false">C6*E6</f>
        <v>16.1148165793235</v>
      </c>
      <c r="G6" s="61"/>
      <c r="I6" s="63"/>
    </row>
    <row r="7" customFormat="false" ht="15.75" hidden="false" customHeight="false" outlineLevel="0" collapsed="false">
      <c r="A7" s="57" t="s">
        <v>1182</v>
      </c>
      <c r="B7" s="57" t="n">
        <v>0.319</v>
      </c>
      <c r="C7" s="58" t="n">
        <f aca="false">B7/B$22*B$24</f>
        <v>0.501524535493092</v>
      </c>
      <c r="D7" s="57" t="s">
        <v>434</v>
      </c>
      <c r="E7" s="59" t="n">
        <f aca="false">IFERROR(INDEX(Correspondance!$D$2:$D$3000,MATCH(A7,Correspondance!$A$2:$A$3000,0)),0)</f>
        <v>1.3</v>
      </c>
      <c r="F7" s="60" t="n">
        <f aca="false">C7*E7</f>
        <v>0.65198189614102</v>
      </c>
      <c r="G7" s="61"/>
      <c r="I7" s="63"/>
    </row>
    <row r="8" customFormat="false" ht="15.75" hidden="false" customHeight="false" outlineLevel="0" collapsed="false">
      <c r="A8" s="57" t="s">
        <v>1495</v>
      </c>
      <c r="B8" s="57" t="n">
        <v>0.273</v>
      </c>
      <c r="C8" s="58" t="n">
        <f aca="false">B8/B$22*B$24</f>
        <v>0.429204383039543</v>
      </c>
      <c r="D8" s="57" t="s">
        <v>434</v>
      </c>
      <c r="E8" s="59" t="n">
        <f aca="false">IFERROR(INDEX(Correspondance!$D$2:$D$3000,MATCH(A8,Correspondance!$A$2:$A$3000,0)),0)</f>
        <v>9</v>
      </c>
      <c r="F8" s="60" t="n">
        <f aca="false">C8*E8</f>
        <v>3.86283944735588</v>
      </c>
      <c r="G8" s="61"/>
      <c r="I8" s="63"/>
    </row>
    <row r="9" customFormat="false" ht="15.75" hidden="false" customHeight="false" outlineLevel="0" collapsed="false">
      <c r="A9" s="57" t="s">
        <v>1675</v>
      </c>
      <c r="B9" s="57" t="n">
        <v>0.091</v>
      </c>
      <c r="C9" s="58" t="n">
        <f aca="false">B9/B$22*B$24</f>
        <v>0.143068127679848</v>
      </c>
      <c r="D9" s="57" t="s">
        <v>682</v>
      </c>
      <c r="E9" s="59" t="n">
        <f aca="false">IFERROR(INDEX(Correspondance!$D$2:$D$3000,MATCH(A9,Correspondance!$A$2:$A$3000,0)),0)</f>
        <v>2.2</v>
      </c>
      <c r="F9" s="60" t="n">
        <f aca="false">C9*E9</f>
        <v>0.314749880895665</v>
      </c>
      <c r="G9" s="61"/>
      <c r="I9" s="63"/>
    </row>
    <row r="10" customFormat="false" ht="15.75" hidden="false" customHeight="false" outlineLevel="0" collapsed="false">
      <c r="A10" s="57" t="s">
        <v>1919</v>
      </c>
      <c r="B10" s="57" t="n">
        <v>0.014</v>
      </c>
      <c r="C10" s="58" t="n">
        <f aca="false">B10/B$22*B$24</f>
        <v>0.022010481181515</v>
      </c>
      <c r="D10" s="57" t="s">
        <v>434</v>
      </c>
      <c r="E10" s="59" t="n">
        <f aca="false">IFERROR(INDEX(Correspondance!$D$2:$D$3000,MATCH(A10,Correspondance!$A$2:$A$3000,0)),0)</f>
        <v>2</v>
      </c>
      <c r="F10" s="60" t="n">
        <f aca="false">C10*E10</f>
        <v>0.04402096236303</v>
      </c>
      <c r="G10" s="61"/>
      <c r="I10" s="63"/>
    </row>
    <row r="11" customFormat="false" ht="15.75" hidden="false" customHeight="false" outlineLevel="0" collapsed="false">
      <c r="A11" s="57" t="s">
        <v>1615</v>
      </c>
      <c r="B11" s="57" t="n">
        <v>0.046</v>
      </c>
      <c r="C11" s="58" t="n">
        <f aca="false">B11/B$22*B$24</f>
        <v>0.0723201524535493</v>
      </c>
      <c r="D11" s="57" t="s">
        <v>682</v>
      </c>
      <c r="E11" s="59" t="n">
        <f aca="false">IFERROR(INDEX(Correspondance!$D$2:$D$3000,MATCH(A11,Correspondance!$A$2:$A$3000,0)),0)</f>
        <v>28</v>
      </c>
      <c r="F11" s="60" t="n">
        <f aca="false">C11*E11</f>
        <v>2.02496426869938</v>
      </c>
      <c r="G11" s="61"/>
      <c r="I11" s="63"/>
    </row>
    <row r="12" customFormat="false" ht="18.75" hidden="false" customHeight="true" outlineLevel="0" collapsed="false">
      <c r="A12" s="57" t="s">
        <v>1939</v>
      </c>
      <c r="B12" s="64" t="n">
        <v>0.273</v>
      </c>
      <c r="C12" s="58" t="n">
        <f aca="false">B12/B$22*B$24</f>
        <v>0.429204383039543</v>
      </c>
      <c r="D12" s="57" t="s">
        <v>434</v>
      </c>
      <c r="E12" s="59" t="n">
        <f aca="false">IFERROR(INDEX(Correspondance!$D$2:$D$3000,MATCH(A12,Correspondance!$A$2:$A$3000,0)),0)</f>
        <v>1.3</v>
      </c>
      <c r="F12" s="60" t="n">
        <f aca="false">C12*E12</f>
        <v>0.557965697951406</v>
      </c>
      <c r="G12" s="61"/>
      <c r="I12" s="63"/>
    </row>
    <row r="13" customFormat="false" ht="18.75" hidden="false" customHeight="true" outlineLevel="0" collapsed="false">
      <c r="A13" s="57"/>
      <c r="B13" s="64"/>
      <c r="C13" s="58" t="n">
        <f aca="false">B13/B$22*B$24</f>
        <v>0</v>
      </c>
      <c r="D13" s="57"/>
      <c r="E13" s="65" t="n">
        <f aca="false">IFERROR(INDEX(Correspondance!$D$2:$D$3000,MATCH(A13,Correspondance!$A$2:$A$3000,0)),0)</f>
        <v>0</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34.7259361600762</v>
      </c>
      <c r="G19" s="61"/>
      <c r="I19" s="63"/>
    </row>
    <row r="20" customFormat="false" ht="18.75" hidden="false" customHeight="true" outlineLevel="0" collapsed="false">
      <c r="A20" s="68" t="s">
        <v>2628</v>
      </c>
      <c r="B20" s="69" t="n">
        <f aca="false">F19/B24</f>
        <v>0.315690328727966</v>
      </c>
      <c r="C20" s="70"/>
      <c r="G20" s="61"/>
      <c r="I20" s="63"/>
    </row>
    <row r="21" customFormat="false" ht="15.75" hidden="false" customHeight="false" outlineLevel="0" collapsed="false">
      <c r="A21" s="71" t="s">
        <v>2629</v>
      </c>
      <c r="B21" s="71" t="n">
        <f aca="false">SUM(B3:B18)</f>
        <v>8.396</v>
      </c>
      <c r="C21" s="66"/>
      <c r="G21" s="61"/>
      <c r="I21" s="63"/>
    </row>
    <row r="22" customFormat="false" ht="15.75" hidden="false" customHeight="false" outlineLevel="0" collapsed="false">
      <c r="A22" s="0" t="s">
        <v>2630</v>
      </c>
      <c r="B22" s="72" t="n">
        <f aca="false">B21/B23</f>
        <v>69.9666666666667</v>
      </c>
      <c r="C22" s="66"/>
      <c r="G22" s="61"/>
      <c r="I22" s="63"/>
    </row>
    <row r="23" customFormat="false" ht="15.75" hidden="false" customHeight="false" outlineLevel="0" collapsed="false">
      <c r="A23" s="0" t="s">
        <v>2631</v>
      </c>
      <c r="B23" s="0" t="n">
        <v>0.12</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389</v>
      </c>
      <c r="B1" s="50"/>
      <c r="C1" s="50"/>
      <c r="D1" s="50"/>
      <c r="E1" s="51" t="s">
        <v>2619</v>
      </c>
      <c r="F1" s="51"/>
      <c r="G1" s="52" t="s">
        <v>3096</v>
      </c>
    </row>
    <row r="2" customFormat="false" ht="24.75" hidden="false" customHeight="true" outlineLevel="0" collapsed="false">
      <c r="A2" s="50"/>
      <c r="B2" s="50"/>
      <c r="C2" s="50"/>
      <c r="D2" s="50"/>
      <c r="E2" s="53" t="s">
        <v>2621</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1656</v>
      </c>
      <c r="B4" s="57" t="n">
        <v>2.87</v>
      </c>
      <c r="C4" s="58" t="n">
        <f aca="false">B4/B$22*B$24</f>
        <v>4.51</v>
      </c>
      <c r="D4" s="57" t="s">
        <v>434</v>
      </c>
      <c r="E4" s="59" t="n">
        <f aca="false">IFERROR(INDEX(Correspondance!$D$2:$D$3000,MATCH(A4,Correspondance!$A$2:$A$3000,0)),0)</f>
        <v>6</v>
      </c>
      <c r="F4" s="60" t="n">
        <f aca="false">C4*E4</f>
        <v>27.06</v>
      </c>
      <c r="G4" s="61" t="s">
        <v>3097</v>
      </c>
    </row>
    <row r="5" customFormat="false" ht="15.75" hidden="false" customHeight="false" outlineLevel="0" collapsed="false">
      <c r="A5" s="57" t="s">
        <v>1576</v>
      </c>
      <c r="B5" s="57" t="n">
        <v>3.59</v>
      </c>
      <c r="C5" s="58" t="n">
        <f aca="false">B5/B$22*B$24</f>
        <v>5.64142857142857</v>
      </c>
      <c r="D5" s="57" t="s">
        <v>434</v>
      </c>
      <c r="E5" s="59" t="n">
        <f aca="false">IFERROR(INDEX(Correspondance!$D$2:$D$3000,MATCH(A5,Correspondance!$A$2:$A$3000,0)),0)</f>
        <v>5.5</v>
      </c>
      <c r="F5" s="60" t="n">
        <f aca="false">C5*E5</f>
        <v>31.0278571428571</v>
      </c>
      <c r="G5" s="61"/>
      <c r="I5" s="62"/>
    </row>
    <row r="6" customFormat="false" ht="15.75" hidden="false" customHeight="false" outlineLevel="0" collapsed="false">
      <c r="A6" s="57" t="s">
        <v>1074</v>
      </c>
      <c r="B6" s="57" t="n">
        <v>1.34</v>
      </c>
      <c r="C6" s="58" t="n">
        <f aca="false">B6/B$22*B$24</f>
        <v>2.10571428571429</v>
      </c>
      <c r="D6" s="57" t="s">
        <v>434</v>
      </c>
      <c r="E6" s="59" t="n">
        <f aca="false">IFERROR(INDEX(Correspondance!$D$2:$D$3000,MATCH(A6,Correspondance!$A$2:$A$3000,0)),0)</f>
        <v>10</v>
      </c>
      <c r="F6" s="60" t="n">
        <f aca="false">C6*E6</f>
        <v>21.0571428571429</v>
      </c>
      <c r="G6" s="61"/>
      <c r="I6" s="63"/>
    </row>
    <row r="7" customFormat="false" ht="15.75" hidden="false" customHeight="false" outlineLevel="0" collapsed="false">
      <c r="A7" s="57" t="s">
        <v>1182</v>
      </c>
      <c r="B7" s="57" t="n">
        <v>0.269</v>
      </c>
      <c r="C7" s="58" t="n">
        <f aca="false">B7/B$22*B$24</f>
        <v>0.422714285714286</v>
      </c>
      <c r="D7" s="57" t="s">
        <v>434</v>
      </c>
      <c r="E7" s="59" t="n">
        <f aca="false">IFERROR(INDEX(Correspondance!$D$2:$D$3000,MATCH(A7,Correspondance!$A$2:$A$3000,0)),0)</f>
        <v>1.3</v>
      </c>
      <c r="F7" s="60" t="n">
        <f aca="false">C7*E7</f>
        <v>0.549528571428572</v>
      </c>
      <c r="G7" s="61"/>
      <c r="I7" s="63"/>
    </row>
    <row r="8" customFormat="false" ht="15.75" hidden="false" customHeight="false" outlineLevel="0" collapsed="false">
      <c r="A8" s="57" t="s">
        <v>1931</v>
      </c>
      <c r="B8" s="57" t="n">
        <v>0.717</v>
      </c>
      <c r="C8" s="58" t="n">
        <f aca="false">B8/B$22*B$24</f>
        <v>1.12671428571429</v>
      </c>
      <c r="D8" s="57" t="s">
        <v>682</v>
      </c>
      <c r="E8" s="59" t="n">
        <f aca="false">IFERROR(INDEX(Correspondance!$D$2:$D$3000,MATCH(A8,Correspondance!$A$2:$A$3000,0)),0)</f>
        <v>1.3</v>
      </c>
      <c r="F8" s="60" t="n">
        <f aca="false">C8*E8</f>
        <v>1.46472857142857</v>
      </c>
      <c r="G8" s="61"/>
      <c r="I8" s="63"/>
    </row>
    <row r="9" customFormat="false" ht="15.75" hidden="false" customHeight="false" outlineLevel="0" collapsed="false">
      <c r="A9" s="57" t="s">
        <v>1058</v>
      </c>
      <c r="B9" s="57" t="n">
        <v>0.09</v>
      </c>
      <c r="C9" s="58" t="n">
        <f aca="false">B9/B$22*B$24</f>
        <v>0.141428571428571</v>
      </c>
      <c r="D9" s="57" t="s">
        <v>434</v>
      </c>
      <c r="E9" s="59" t="n">
        <f aca="false">IFERROR(INDEX(Correspondance!$D$2:$D$3000,MATCH(A9,Correspondance!$A$2:$A$3000,0)),0)</f>
        <v>7</v>
      </c>
      <c r="F9" s="60" t="n">
        <f aca="false">C9*E9</f>
        <v>0.99</v>
      </c>
      <c r="G9" s="61"/>
      <c r="I9" s="63"/>
    </row>
    <row r="10" customFormat="false" ht="15.75" hidden="false" customHeight="false" outlineLevel="0" collapsed="false">
      <c r="A10" s="57" t="s">
        <v>1184</v>
      </c>
      <c r="B10" s="57" t="n">
        <v>0.179</v>
      </c>
      <c r="C10" s="58" t="n">
        <f aca="false">B10/B$22*B$24</f>
        <v>0.281285714285714</v>
      </c>
      <c r="D10" s="57" t="s">
        <v>434</v>
      </c>
      <c r="E10" s="59" t="n">
        <f aca="false">IFERROR(INDEX(Correspondance!$D$2:$D$3000,MATCH(A10,Correspondance!$A$2:$A$3000,0)),0)</f>
        <v>6.5</v>
      </c>
      <c r="F10" s="60" t="n">
        <f aca="false">C10*E10</f>
        <v>1.82835714285714</v>
      </c>
      <c r="G10" s="61"/>
      <c r="I10" s="63"/>
    </row>
    <row r="11" customFormat="false" ht="15.75" hidden="false" customHeight="false" outlineLevel="0" collapsed="false">
      <c r="A11" s="57" t="s">
        <v>1180</v>
      </c>
      <c r="B11" s="57" t="n">
        <v>0.045</v>
      </c>
      <c r="C11" s="58" t="n">
        <f aca="false">B11/B$22*B$24</f>
        <v>0.0707142857142857</v>
      </c>
      <c r="D11" s="57" t="s">
        <v>434</v>
      </c>
      <c r="E11" s="59" t="n">
        <f aca="false">IFERROR(INDEX(Correspondance!$D$2:$D$3000,MATCH(A11,Correspondance!$A$2:$A$3000,0)),0)</f>
        <v>2</v>
      </c>
      <c r="F11" s="60" t="n">
        <f aca="false">C11*E11</f>
        <v>0.141428571428571</v>
      </c>
      <c r="G11" s="61"/>
      <c r="I11" s="63"/>
    </row>
    <row r="12" customFormat="false" ht="18.75" hidden="false" customHeight="true" outlineLevel="0" collapsed="false">
      <c r="A12" s="57" t="s">
        <v>1880</v>
      </c>
      <c r="B12" s="64"/>
      <c r="C12" s="58" t="n">
        <f aca="false">B12/B$22*B$24</f>
        <v>0</v>
      </c>
      <c r="D12" s="57" t="s">
        <v>434</v>
      </c>
      <c r="E12" s="59" t="n">
        <f aca="false">IFERROR(INDEX(Correspondance!$D$2:$D$3000,MATCH(A12,Correspondance!$A$2:$A$3000,0)),0)</f>
        <v>14</v>
      </c>
      <c r="F12" s="60" t="n">
        <f aca="false">C12*E12</f>
        <v>0</v>
      </c>
      <c r="G12" s="61"/>
      <c r="I12" s="63"/>
    </row>
    <row r="13" customFormat="false" ht="18.75" hidden="false" customHeight="true" outlineLevel="0" collapsed="false">
      <c r="A13" s="57"/>
      <c r="B13" s="64"/>
      <c r="C13" s="58" t="n">
        <f aca="false">B13/B$22*B$24</f>
        <v>0</v>
      </c>
      <c r="D13" s="57"/>
      <c r="E13" s="65" t="n">
        <f aca="false">IFERROR(INDEX(Correspondance!$D$2:$D$3000,MATCH(A13,Correspondance!$A$2:$A$3000,0)),0)</f>
        <v>0</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84.1190428571429</v>
      </c>
      <c r="G19" s="61"/>
      <c r="I19" s="63"/>
    </row>
    <row r="20" customFormat="false" ht="18.75" hidden="false" customHeight="true" outlineLevel="0" collapsed="false">
      <c r="A20" s="68" t="s">
        <v>2628</v>
      </c>
      <c r="B20" s="69" t="n">
        <f aca="false">F19/B24</f>
        <v>0.764718571428572</v>
      </c>
      <c r="C20" s="70"/>
      <c r="G20" s="61"/>
      <c r="I20" s="63"/>
    </row>
    <row r="21" customFormat="false" ht="15.75" hidden="false" customHeight="false" outlineLevel="0" collapsed="false">
      <c r="A21" s="71" t="s">
        <v>2629</v>
      </c>
      <c r="B21" s="71" t="n">
        <f aca="false">SUM(B3:B18)</f>
        <v>9.1</v>
      </c>
      <c r="C21" s="66"/>
      <c r="G21" s="61"/>
      <c r="I21" s="63"/>
    </row>
    <row r="22" customFormat="false" ht="15.75" hidden="false" customHeight="false" outlineLevel="0" collapsed="false">
      <c r="A22" s="0" t="s">
        <v>2630</v>
      </c>
      <c r="B22" s="72" t="n">
        <f aca="false">B21/B23</f>
        <v>70</v>
      </c>
      <c r="C22" s="66"/>
      <c r="G22" s="61"/>
      <c r="I22" s="63"/>
    </row>
    <row r="23" customFormat="false" ht="15.75" hidden="false" customHeight="false" outlineLevel="0" collapsed="false">
      <c r="A23" s="0" t="s">
        <v>2631</v>
      </c>
      <c r="B23" s="0" t="n">
        <v>0.13</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390</v>
      </c>
      <c r="B1" s="50"/>
      <c r="C1" s="50"/>
      <c r="D1" s="50"/>
      <c r="E1" s="51" t="s">
        <v>2619</v>
      </c>
      <c r="F1" s="51"/>
      <c r="G1" s="52" t="s">
        <v>3098</v>
      </c>
    </row>
    <row r="2" customFormat="false" ht="24.75" hidden="false" customHeight="true" outlineLevel="0" collapsed="false">
      <c r="A2" s="50"/>
      <c r="B2" s="50"/>
      <c r="C2" s="50"/>
      <c r="D2" s="50"/>
      <c r="E2" s="53" t="s">
        <v>2621</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1074</v>
      </c>
      <c r="B4" s="57" t="n">
        <v>2.28</v>
      </c>
      <c r="C4" s="58" t="n">
        <f aca="false">B4/B$22*B$24</f>
        <v>3.58103008669046</v>
      </c>
      <c r="D4" s="57" t="s">
        <v>434</v>
      </c>
      <c r="E4" s="59" t="n">
        <f aca="false">IFERROR(INDEX(Correspondance!$D$2:$D$3000,MATCH(A4,Correspondance!$A$2:$A$3000,0)),0)</f>
        <v>10</v>
      </c>
      <c r="F4" s="60" t="n">
        <f aca="false">C4*E4</f>
        <v>35.8103008669046</v>
      </c>
      <c r="G4" s="61" t="s">
        <v>3099</v>
      </c>
    </row>
    <row r="5" customFormat="false" ht="15.75" hidden="false" customHeight="false" outlineLevel="0" collapsed="false">
      <c r="A5" s="57" t="s">
        <v>1072</v>
      </c>
      <c r="B5" s="57" t="n">
        <v>0.455</v>
      </c>
      <c r="C5" s="58" t="n">
        <f aca="false">B5/B$22*B$24</f>
        <v>0.714635390107088</v>
      </c>
      <c r="D5" s="57" t="s">
        <v>434</v>
      </c>
      <c r="E5" s="59" t="n">
        <f aca="false">IFERROR(INDEX(Correspondance!$D$2:$D$3000,MATCH(A5,Correspondance!$A$2:$A$3000,0)),0)</f>
        <v>9.5</v>
      </c>
      <c r="F5" s="60" t="n">
        <f aca="false">C5*E5</f>
        <v>6.78903620601734</v>
      </c>
      <c r="G5" s="61"/>
      <c r="I5" s="62"/>
    </row>
    <row r="6" customFormat="false" ht="15.75" hidden="false" customHeight="false" outlineLevel="0" collapsed="false">
      <c r="A6" s="57" t="s">
        <v>1163</v>
      </c>
      <c r="B6" s="57" t="n">
        <v>0.911</v>
      </c>
      <c r="C6" s="58" t="n">
        <f aca="false">B6/B$22*B$24</f>
        <v>1.43084140744518</v>
      </c>
      <c r="D6" s="57" t="s">
        <v>434</v>
      </c>
      <c r="E6" s="59" t="n">
        <f aca="false">IFERROR(INDEX(Correspondance!$D$2:$D$3000,MATCH(A6,Correspondance!$A$2:$A$3000,0)),0)</f>
        <v>14</v>
      </c>
      <c r="F6" s="60" t="n">
        <f aca="false">C6*E6</f>
        <v>20.0317797042325</v>
      </c>
      <c r="G6" s="61"/>
      <c r="I6" s="63"/>
    </row>
    <row r="7" customFormat="false" ht="15.75" hidden="false" customHeight="false" outlineLevel="0" collapsed="false">
      <c r="A7" s="57" t="s">
        <v>1076</v>
      </c>
      <c r="B7" s="57" t="n">
        <v>0.729</v>
      </c>
      <c r="C7" s="58" t="n">
        <f aca="false">B7/B$22*B$24</f>
        <v>1.14498725140235</v>
      </c>
      <c r="D7" s="57" t="s">
        <v>434</v>
      </c>
      <c r="E7" s="59" t="n">
        <f aca="false">IFERROR(INDEX(Correspondance!$D$2:$D$3000,MATCH(A7,Correspondance!$A$2:$A$3000,0)),0)</f>
        <v>11</v>
      </c>
      <c r="F7" s="60" t="n">
        <f aca="false">C7*E7</f>
        <v>12.5948597654258</v>
      </c>
      <c r="G7" s="61"/>
      <c r="I7" s="63"/>
    </row>
    <row r="8" customFormat="false" ht="15.75" hidden="false" customHeight="false" outlineLevel="0" collapsed="false">
      <c r="A8" s="57" t="s">
        <v>1576</v>
      </c>
      <c r="B8" s="57" t="n">
        <v>4.1</v>
      </c>
      <c r="C8" s="58" t="n">
        <f aca="false">B8/B$22*B$24</f>
        <v>6.43957164711882</v>
      </c>
      <c r="D8" s="57" t="s">
        <v>434</v>
      </c>
      <c r="E8" s="59" t="n">
        <f aca="false">IFERROR(INDEX(Correspondance!$D$2:$D$3000,MATCH(A8,Correspondance!$A$2:$A$3000,0)),0)</f>
        <v>5.5</v>
      </c>
      <c r="F8" s="60" t="n">
        <f aca="false">C8*E8</f>
        <v>35.4176440591535</v>
      </c>
      <c r="G8" s="61"/>
      <c r="I8" s="63"/>
    </row>
    <row r="9" customFormat="false" ht="15.75" hidden="false" customHeight="false" outlineLevel="0" collapsed="false">
      <c r="A9" s="57" t="s">
        <v>1695</v>
      </c>
      <c r="B9" s="57" t="n">
        <v>0.911</v>
      </c>
      <c r="C9" s="58" t="n">
        <f aca="false">B9/B$22*B$24</f>
        <v>1.43084140744518</v>
      </c>
      <c r="D9" s="57" t="s">
        <v>682</v>
      </c>
      <c r="E9" s="59" t="n">
        <f aca="false">IFERROR(INDEX(Correspondance!$D$2:$D$3000,MATCH(A9,Correspondance!$A$2:$A$3000,0)),0)</f>
        <v>2.5</v>
      </c>
      <c r="F9" s="60" t="n">
        <f aca="false">C9*E9</f>
        <v>3.57710351861295</v>
      </c>
      <c r="G9" s="61"/>
      <c r="I9" s="63"/>
    </row>
    <row r="10" customFormat="false" ht="15.75" hidden="false" customHeight="false" outlineLevel="0" collapsed="false">
      <c r="A10" s="57" t="s">
        <v>1182</v>
      </c>
      <c r="B10" s="57" t="n">
        <v>0.273</v>
      </c>
      <c r="C10" s="58" t="n">
        <f aca="false">B10/B$22*B$24</f>
        <v>0.428781234064253</v>
      </c>
      <c r="D10" s="57" t="s">
        <v>434</v>
      </c>
      <c r="E10" s="59" t="n">
        <f aca="false">IFERROR(INDEX(Correspondance!$D$2:$D$3000,MATCH(A10,Correspondance!$A$2:$A$3000,0)),0)</f>
        <v>1.3</v>
      </c>
      <c r="F10" s="60" t="n">
        <f aca="false">C10*E10</f>
        <v>0.557415604283529</v>
      </c>
      <c r="G10" s="61"/>
      <c r="I10" s="63"/>
    </row>
    <row r="11" customFormat="false" ht="15.75" hidden="false" customHeight="false" outlineLevel="0" collapsed="false">
      <c r="A11" s="57" t="s">
        <v>1654</v>
      </c>
      <c r="B11" s="57" t="n">
        <v>0.055</v>
      </c>
      <c r="C11" s="58" t="n">
        <f aca="false">B11/B$22*B$24</f>
        <v>0.0863844977052524</v>
      </c>
      <c r="D11" s="57" t="s">
        <v>434</v>
      </c>
      <c r="E11" s="59" t="n">
        <f aca="false">IFERROR(INDEX(Correspondance!$D$2:$D$3000,MATCH(A11,Correspondance!$A$2:$A$3000,0)),0)</f>
        <v>28</v>
      </c>
      <c r="F11" s="60" t="n">
        <f aca="false">C11*E11</f>
        <v>2.41876593574707</v>
      </c>
      <c r="G11" s="61"/>
      <c r="I11" s="63"/>
    </row>
    <row r="12" customFormat="false" ht="18.75" hidden="false" customHeight="true" outlineLevel="0" collapsed="false">
      <c r="A12" s="57" t="s">
        <v>1058</v>
      </c>
      <c r="B12" s="64" t="n">
        <v>0.091</v>
      </c>
      <c r="C12" s="58" t="n">
        <f aca="false">B12/B$22*B$24</f>
        <v>0.142927078021418</v>
      </c>
      <c r="D12" s="57" t="s">
        <v>434</v>
      </c>
      <c r="E12" s="59" t="n">
        <f aca="false">IFERROR(INDEX(Correspondance!$D$2:$D$3000,MATCH(A12,Correspondance!$A$2:$A$3000,0)),0)</f>
        <v>7</v>
      </c>
      <c r="F12" s="60" t="n">
        <f aca="false">C12*E12</f>
        <v>1.00048954614992</v>
      </c>
      <c r="G12" s="61"/>
      <c r="I12" s="63"/>
    </row>
    <row r="13" customFormat="false" ht="18.75" hidden="false" customHeight="true" outlineLevel="0" collapsed="false">
      <c r="A13" s="57"/>
      <c r="B13" s="64"/>
      <c r="C13" s="58" t="n">
        <f aca="false">B13/B$22*B$24</f>
        <v>0</v>
      </c>
      <c r="D13" s="57"/>
      <c r="E13" s="65" t="n">
        <f aca="false">IFERROR(INDEX(Correspondance!$D$2:$D$3000,MATCH(A13,Correspondance!$A$2:$A$3000,0)),0)</f>
        <v>0</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118.197395206527</v>
      </c>
      <c r="G19" s="61"/>
      <c r="I19" s="63"/>
    </row>
    <row r="20" customFormat="false" ht="18.75" hidden="false" customHeight="true" outlineLevel="0" collapsed="false">
      <c r="A20" s="68" t="s">
        <v>2628</v>
      </c>
      <c r="B20" s="69" t="n">
        <f aca="false">F19/B24</f>
        <v>1.07452177460479</v>
      </c>
      <c r="C20" s="70"/>
      <c r="G20" s="61"/>
      <c r="I20" s="63"/>
    </row>
    <row r="21" customFormat="false" ht="15.75" hidden="false" customHeight="false" outlineLevel="0" collapsed="false">
      <c r="A21" s="71" t="s">
        <v>2629</v>
      </c>
      <c r="B21" s="71" t="n">
        <f aca="false">SUM(B3:B18)</f>
        <v>9.805</v>
      </c>
      <c r="C21" s="66"/>
      <c r="G21" s="61"/>
      <c r="I21" s="63"/>
    </row>
    <row r="22" customFormat="false" ht="15.75" hidden="false" customHeight="false" outlineLevel="0" collapsed="false">
      <c r="A22" s="0" t="s">
        <v>2630</v>
      </c>
      <c r="B22" s="72" t="n">
        <f aca="false">B21/B23</f>
        <v>70.0357142857143</v>
      </c>
      <c r="C22" s="66"/>
      <c r="G22" s="61"/>
      <c r="I22" s="63"/>
    </row>
    <row r="23" customFormat="false" ht="15.75" hidden="false" customHeight="false" outlineLevel="0" collapsed="false">
      <c r="A23" s="0" t="s">
        <v>2631</v>
      </c>
      <c r="B23" s="0" t="n">
        <v>0.14</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391</v>
      </c>
      <c r="B1" s="50"/>
      <c r="C1" s="50"/>
      <c r="D1" s="50"/>
      <c r="E1" s="51" t="s">
        <v>2619</v>
      </c>
      <c r="F1" s="51"/>
      <c r="G1" s="52" t="s">
        <v>3098</v>
      </c>
    </row>
    <row r="2" customFormat="false" ht="24.75" hidden="false" customHeight="true" outlineLevel="0" collapsed="false">
      <c r="A2" s="50"/>
      <c r="B2" s="50"/>
      <c r="C2" s="50"/>
      <c r="D2" s="50"/>
      <c r="E2" s="53" t="s">
        <v>2621</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1497</v>
      </c>
      <c r="B4" s="57" t="n">
        <v>1.71</v>
      </c>
      <c r="C4" s="58" t="n">
        <f aca="false">B4/B$22*B$24</f>
        <v>2.68440366972477</v>
      </c>
      <c r="D4" s="57" t="s">
        <v>434</v>
      </c>
      <c r="E4" s="59" t="n">
        <f aca="false">IFERROR(INDEX(Correspondance!$D$2:$D$3000,MATCH(A4,Correspondance!$A$2:$A$3000,0)),0)</f>
        <v>6</v>
      </c>
      <c r="F4" s="60" t="n">
        <f aca="false">C4*E4</f>
        <v>16.1064220183486</v>
      </c>
      <c r="G4" s="61" t="s">
        <v>3100</v>
      </c>
    </row>
    <row r="5" customFormat="false" ht="15.75" hidden="false" customHeight="false" outlineLevel="0" collapsed="false">
      <c r="A5" s="57" t="s">
        <v>1695</v>
      </c>
      <c r="B5" s="57" t="n">
        <v>1.71</v>
      </c>
      <c r="C5" s="58" t="n">
        <f aca="false">B5/B$22*B$24</f>
        <v>2.68440366972477</v>
      </c>
      <c r="D5" s="57" t="s">
        <v>682</v>
      </c>
      <c r="E5" s="59" t="n">
        <f aca="false">IFERROR(INDEX(Correspondance!$D$2:$D$3000,MATCH(A5,Correspondance!$A$2:$A$3000,0)),0)</f>
        <v>2.5</v>
      </c>
      <c r="F5" s="60" t="n">
        <f aca="false">C5*E5</f>
        <v>6.71100917431193</v>
      </c>
      <c r="G5" s="61"/>
      <c r="I5" s="62"/>
    </row>
    <row r="6" customFormat="false" ht="15.75" hidden="false" customHeight="false" outlineLevel="0" collapsed="false">
      <c r="A6" s="57" t="s">
        <v>1855</v>
      </c>
      <c r="B6" s="57" t="n">
        <v>0.512</v>
      </c>
      <c r="C6" s="58" t="n">
        <f aca="false">B6/B$22*B$24</f>
        <v>0.80375127420999</v>
      </c>
      <c r="D6" s="57" t="s">
        <v>434</v>
      </c>
      <c r="E6" s="59" t="n">
        <f aca="false">IFERROR(INDEX(Correspondance!$D$2:$D$3000,MATCH(A6,Correspondance!$A$2:$A$3000,0)),0)</f>
        <v>7.5</v>
      </c>
      <c r="F6" s="60" t="n">
        <f aca="false">C6*E6</f>
        <v>6.02813455657492</v>
      </c>
      <c r="G6" s="61"/>
      <c r="I6" s="63"/>
    </row>
    <row r="7" customFormat="false" ht="15.75" hidden="false" customHeight="false" outlineLevel="0" collapsed="false">
      <c r="A7" s="57" t="s">
        <v>1576</v>
      </c>
      <c r="B7" s="57" t="n">
        <v>2.99</v>
      </c>
      <c r="C7" s="58" t="n">
        <f aca="false">B7/B$22*B$24</f>
        <v>4.69378185524975</v>
      </c>
      <c r="D7" s="57" t="s">
        <v>434</v>
      </c>
      <c r="E7" s="59" t="n">
        <f aca="false">IFERROR(INDEX(Correspondance!$D$2:$D$3000,MATCH(A7,Correspondance!$A$2:$A$3000,0)),0)</f>
        <v>5.5</v>
      </c>
      <c r="F7" s="60" t="n">
        <f aca="false">C7*E7</f>
        <v>25.8158002038736</v>
      </c>
      <c r="G7" s="61"/>
      <c r="I7" s="63"/>
    </row>
    <row r="8" customFormat="false" ht="15.75" hidden="false" customHeight="false" outlineLevel="0" collapsed="false">
      <c r="A8" s="57" t="s">
        <v>1182</v>
      </c>
      <c r="B8" s="57" t="n">
        <v>0.427</v>
      </c>
      <c r="C8" s="58" t="n">
        <f aca="false">B8/B$22*B$24</f>
        <v>0.670316004077472</v>
      </c>
      <c r="D8" s="57" t="s">
        <v>434</v>
      </c>
      <c r="E8" s="59" t="n">
        <f aca="false">IFERROR(INDEX(Correspondance!$D$2:$D$3000,MATCH(A8,Correspondance!$A$2:$A$3000,0)),0)</f>
        <v>1.3</v>
      </c>
      <c r="F8" s="60" t="n">
        <f aca="false">C8*E8</f>
        <v>0.871410805300714</v>
      </c>
      <c r="G8" s="61"/>
      <c r="I8" s="63"/>
    </row>
    <row r="9" customFormat="false" ht="15.75" hidden="false" customHeight="false" outlineLevel="0" collapsed="false">
      <c r="A9" s="57" t="s">
        <v>1654</v>
      </c>
      <c r="B9" s="57" t="n">
        <v>0.068</v>
      </c>
      <c r="C9" s="58" t="n">
        <f aca="false">B9/B$22*B$24</f>
        <v>0.106748216106014</v>
      </c>
      <c r="D9" s="57" t="s">
        <v>434</v>
      </c>
      <c r="E9" s="59" t="n">
        <f aca="false">IFERROR(INDEX(Correspondance!$D$2:$D$3000,MATCH(A9,Correspondance!$A$2:$A$3000,0)),0)</f>
        <v>28</v>
      </c>
      <c r="F9" s="60" t="n">
        <f aca="false">C9*E9</f>
        <v>2.9889500509684</v>
      </c>
      <c r="G9" s="61"/>
      <c r="I9" s="63"/>
    </row>
    <row r="10" customFormat="false" ht="15.75" hidden="false" customHeight="false" outlineLevel="0" collapsed="false">
      <c r="A10" s="57" t="s">
        <v>1644</v>
      </c>
      <c r="B10" s="57" t="n">
        <v>1.71</v>
      </c>
      <c r="C10" s="58" t="n">
        <f aca="false">B10/B$22*B$24</f>
        <v>2.68440366972477</v>
      </c>
      <c r="D10" s="57" t="s">
        <v>434</v>
      </c>
      <c r="E10" s="59" t="n">
        <f aca="false">IFERROR(INDEX(Correspondance!$D$2:$D$3000,MATCH(A10,Correspondance!$A$2:$A$3000,0)),0)</f>
        <v>6.5</v>
      </c>
      <c r="F10" s="60" t="n">
        <f aca="false">C10*E10</f>
        <v>17.448623853211</v>
      </c>
      <c r="G10" s="61"/>
      <c r="I10" s="63"/>
    </row>
    <row r="11" customFormat="false" ht="15.75" hidden="false" customHeight="false" outlineLevel="0" collapsed="false">
      <c r="A11" s="57" t="s">
        <v>1421</v>
      </c>
      <c r="B11" s="57" t="n">
        <v>0.427</v>
      </c>
      <c r="C11" s="58" t="n">
        <f aca="false">B11/B$22*B$24</f>
        <v>0.670316004077472</v>
      </c>
      <c r="D11" s="57" t="s">
        <v>434</v>
      </c>
      <c r="E11" s="59" t="n">
        <f aca="false">IFERROR(INDEX(Correspondance!$D$2:$D$3000,MATCH(A11,Correspondance!$A$2:$A$3000,0)),0)</f>
        <v>5</v>
      </c>
      <c r="F11" s="60" t="n">
        <f aca="false">C11*E11</f>
        <v>3.35158002038736</v>
      </c>
      <c r="G11" s="61"/>
      <c r="I11" s="63"/>
    </row>
    <row r="12" customFormat="false" ht="18.75" hidden="false" customHeight="true" outlineLevel="0" collapsed="false">
      <c r="A12" s="57" t="s">
        <v>1938</v>
      </c>
      <c r="B12" s="64" t="n">
        <v>0.256</v>
      </c>
      <c r="C12" s="58" t="n">
        <f aca="false">B12/B$22*B$24</f>
        <v>0.401875637104995</v>
      </c>
      <c r="D12" s="57" t="s">
        <v>434</v>
      </c>
      <c r="E12" s="59" t="n">
        <f aca="false">IFERROR(INDEX(Correspondance!$D$2:$D$3000,MATCH(A12,Correspondance!$A$2:$A$3000,0)),0)</f>
        <v>1.3</v>
      </c>
      <c r="F12" s="60" t="n">
        <f aca="false">C12*E12</f>
        <v>0.522438328236493</v>
      </c>
      <c r="G12" s="61"/>
      <c r="I12" s="63"/>
    </row>
    <row r="13" customFormat="false" ht="18.75" hidden="false" customHeight="true" outlineLevel="0" collapsed="false">
      <c r="A13" s="57" t="s">
        <v>1968</v>
      </c>
      <c r="B13" s="64"/>
      <c r="C13" s="58" t="n">
        <f aca="false">B13/B$22*B$24</f>
        <v>0</v>
      </c>
      <c r="D13" s="57" t="s">
        <v>434</v>
      </c>
      <c r="E13" s="59" t="n">
        <f aca="false">IFERROR(INDEX(Correspondance!$D$2:$D$3000,MATCH(A13,Correspondance!$A$2:$A$3000,0)),0)</f>
        <v>28</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79.8443690112131</v>
      </c>
      <c r="G19" s="61"/>
      <c r="I19" s="63"/>
    </row>
    <row r="20" customFormat="false" ht="18.75" hidden="false" customHeight="true" outlineLevel="0" collapsed="false">
      <c r="A20" s="68" t="s">
        <v>2628</v>
      </c>
      <c r="B20" s="69" t="n">
        <f aca="false">F19/B24</f>
        <v>0.725857900101937</v>
      </c>
      <c r="C20" s="70"/>
      <c r="G20" s="61"/>
      <c r="I20" s="63"/>
    </row>
    <row r="21" customFormat="false" ht="15.75" hidden="false" customHeight="false" outlineLevel="0" collapsed="false">
      <c r="A21" s="71" t="s">
        <v>2629</v>
      </c>
      <c r="B21" s="71" t="n">
        <f aca="false">SUM(B3:B18)</f>
        <v>9.81</v>
      </c>
      <c r="C21" s="66"/>
      <c r="G21" s="61"/>
      <c r="I21" s="63"/>
    </row>
    <row r="22" customFormat="false" ht="15.75" hidden="false" customHeight="false" outlineLevel="0" collapsed="false">
      <c r="A22" s="0" t="s">
        <v>2630</v>
      </c>
      <c r="B22" s="72" t="n">
        <f aca="false">B21/B23</f>
        <v>70.0714285714286</v>
      </c>
      <c r="C22" s="66"/>
      <c r="G22" s="61"/>
      <c r="I22" s="63"/>
    </row>
    <row r="23" customFormat="false" ht="15.75" hidden="false" customHeight="false" outlineLevel="0" collapsed="false">
      <c r="A23" s="0" t="s">
        <v>2631</v>
      </c>
      <c r="B23" s="0" t="n">
        <v>0.14</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392</v>
      </c>
      <c r="B1" s="50"/>
      <c r="C1" s="50"/>
      <c r="D1" s="50"/>
      <c r="E1" s="51" t="s">
        <v>2619</v>
      </c>
      <c r="F1" s="51"/>
      <c r="G1" s="52" t="s">
        <v>3098</v>
      </c>
    </row>
    <row r="2" customFormat="false" ht="24.75" hidden="false" customHeight="true" outlineLevel="0" collapsed="false">
      <c r="A2" s="50"/>
      <c r="B2" s="50"/>
      <c r="C2" s="50"/>
      <c r="D2" s="50"/>
      <c r="E2" s="53" t="s">
        <v>2621</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1655</v>
      </c>
      <c r="B4" s="57" t="n">
        <v>1.76</v>
      </c>
      <c r="C4" s="58" t="n">
        <f aca="false">B4/B$22*B$24</f>
        <v>2.76543209876543</v>
      </c>
      <c r="D4" s="57" t="s">
        <v>434</v>
      </c>
      <c r="E4" s="59" t="n">
        <f aca="false">IFERROR(INDEX(Correspondance!$D$2:$D$3000,MATCH(A4,Correspondance!$A$2:$A$3000,0)),0)</f>
        <v>6.5</v>
      </c>
      <c r="F4" s="60" t="n">
        <f aca="false">C4*E4</f>
        <v>17.9753086419753</v>
      </c>
      <c r="G4" s="61" t="s">
        <v>3101</v>
      </c>
    </row>
    <row r="5" customFormat="false" ht="15.75" hidden="false" customHeight="false" outlineLevel="0" collapsed="false">
      <c r="A5" s="57" t="s">
        <v>1074</v>
      </c>
      <c r="B5" s="57" t="n">
        <v>1.76</v>
      </c>
      <c r="C5" s="58" t="n">
        <f aca="false">B5/B$22*B$24</f>
        <v>2.76543209876543</v>
      </c>
      <c r="D5" s="57" t="s">
        <v>434</v>
      </c>
      <c r="E5" s="59" t="n">
        <f aca="false">IFERROR(INDEX(Correspondance!$D$2:$D$3000,MATCH(A5,Correspondance!$A$2:$A$3000,0)),0)</f>
        <v>10</v>
      </c>
      <c r="F5" s="60" t="n">
        <f aca="false">C5*E5</f>
        <v>27.6543209876543</v>
      </c>
      <c r="G5" s="61"/>
      <c r="I5" s="62"/>
    </row>
    <row r="6" customFormat="false" ht="15.75" hidden="false" customHeight="false" outlineLevel="0" collapsed="false">
      <c r="A6" s="57" t="s">
        <v>1576</v>
      </c>
      <c r="B6" s="57" t="n">
        <v>3.51</v>
      </c>
      <c r="C6" s="58" t="n">
        <f aca="false">B6/B$22*B$24</f>
        <v>5.51515151515152</v>
      </c>
      <c r="D6" s="57" t="s">
        <v>434</v>
      </c>
      <c r="E6" s="59" t="n">
        <f aca="false">IFERROR(INDEX(Correspondance!$D$2:$D$3000,MATCH(A6,Correspondance!$A$2:$A$3000,0)),0)</f>
        <v>5.5</v>
      </c>
      <c r="F6" s="60" t="n">
        <f aca="false">C6*E6</f>
        <v>30.3333333333333</v>
      </c>
      <c r="G6" s="61"/>
      <c r="I6" s="63"/>
    </row>
    <row r="7" customFormat="false" ht="15.75" hidden="false" customHeight="false" outlineLevel="0" collapsed="false">
      <c r="A7" s="57" t="s">
        <v>1695</v>
      </c>
      <c r="B7" s="57" t="n">
        <v>0.878</v>
      </c>
      <c r="C7" s="58" t="n">
        <f aca="false">B7/B$22*B$24</f>
        <v>1.37957351290685</v>
      </c>
      <c r="D7" s="57" t="s">
        <v>682</v>
      </c>
      <c r="E7" s="59" t="n">
        <f aca="false">IFERROR(INDEX(Correspondance!$D$2:$D$3000,MATCH(A7,Correspondance!$A$2:$A$3000,0)),0)</f>
        <v>2.5</v>
      </c>
      <c r="F7" s="60" t="n">
        <f aca="false">C7*E7</f>
        <v>3.44893378226712</v>
      </c>
      <c r="G7" s="61"/>
      <c r="I7" s="63"/>
    </row>
    <row r="8" customFormat="false" ht="15.75" hidden="false" customHeight="false" outlineLevel="0" collapsed="false">
      <c r="A8" s="57" t="s">
        <v>1398</v>
      </c>
      <c r="B8" s="57" t="n">
        <v>1.05</v>
      </c>
      <c r="C8" s="58" t="n">
        <f aca="false">B8/B$22*B$24</f>
        <v>1.64983164983165</v>
      </c>
      <c r="D8" s="57" t="s">
        <v>434</v>
      </c>
      <c r="E8" s="59" t="n">
        <f aca="false">IFERROR(INDEX(Correspondance!$D$2:$D$3000,MATCH(A8,Correspondance!$A$2:$A$3000,0)),0)</f>
        <v>8</v>
      </c>
      <c r="F8" s="60" t="n">
        <f aca="false">C8*E8</f>
        <v>13.1986531986532</v>
      </c>
      <c r="G8" s="61"/>
      <c r="I8" s="63"/>
    </row>
    <row r="9" customFormat="false" ht="15.75" hidden="false" customHeight="false" outlineLevel="0" collapsed="false">
      <c r="A9" s="57" t="s">
        <v>1654</v>
      </c>
      <c r="B9" s="57" t="n">
        <v>0.053</v>
      </c>
      <c r="C9" s="58" t="n">
        <f aca="false">B9/B$22*B$24</f>
        <v>0.08327721661055</v>
      </c>
      <c r="D9" s="57" t="s">
        <v>434</v>
      </c>
      <c r="E9" s="59" t="n">
        <f aca="false">IFERROR(INDEX(Correspondance!$D$2:$D$3000,MATCH(A9,Correspondance!$A$2:$A$3000,0)),0)</f>
        <v>28</v>
      </c>
      <c r="F9" s="60" t="n">
        <f aca="false">C9*E9</f>
        <v>2.3317620650954</v>
      </c>
      <c r="G9" s="61"/>
      <c r="I9" s="63"/>
    </row>
    <row r="10" customFormat="false" ht="15.75" hidden="false" customHeight="false" outlineLevel="0" collapsed="false">
      <c r="A10" s="57" t="s">
        <v>1182</v>
      </c>
      <c r="B10" s="57" t="n">
        <v>0.263</v>
      </c>
      <c r="C10" s="58" t="n">
        <f aca="false">B10/B$22*B$24</f>
        <v>0.41324354657688</v>
      </c>
      <c r="D10" s="57" t="s">
        <v>434</v>
      </c>
      <c r="E10" s="59" t="n">
        <f aca="false">IFERROR(INDEX(Correspondance!$D$2:$D$3000,MATCH(A10,Correspondance!$A$2:$A$3000,0)),0)</f>
        <v>1.3</v>
      </c>
      <c r="F10" s="60" t="n">
        <f aca="false">C10*E10</f>
        <v>0.537216610549944</v>
      </c>
      <c r="G10" s="61"/>
      <c r="I10" s="63"/>
    </row>
    <row r="11" customFormat="false" ht="15.75" hidden="false" customHeight="false" outlineLevel="0" collapsed="false">
      <c r="A11" s="57" t="s">
        <v>1491</v>
      </c>
      <c r="B11" s="57" t="n">
        <v>0.088</v>
      </c>
      <c r="C11" s="58" t="n">
        <f aca="false">B11/B$22*B$24</f>
        <v>0.138271604938272</v>
      </c>
      <c r="D11" s="57" t="s">
        <v>434</v>
      </c>
      <c r="E11" s="59" t="n">
        <f aca="false">IFERROR(INDEX(Correspondance!$D$2:$D$3000,MATCH(A11,Correspondance!$A$2:$A$3000,0)),0)</f>
        <v>9</v>
      </c>
      <c r="F11" s="60" t="n">
        <f aca="false">C11*E11</f>
        <v>1.24444444444444</v>
      </c>
      <c r="G11" s="61"/>
      <c r="I11" s="63"/>
    </row>
    <row r="12" customFormat="false" ht="18.75" hidden="false" customHeight="true" outlineLevel="0" collapsed="false">
      <c r="A12" s="57" t="s">
        <v>1419</v>
      </c>
      <c r="B12" s="64" t="n">
        <v>0.439</v>
      </c>
      <c r="C12" s="58" t="n">
        <f aca="false">B12/B$22*B$24</f>
        <v>0.689786756453423</v>
      </c>
      <c r="D12" s="57" t="s">
        <v>434</v>
      </c>
      <c r="E12" s="59" t="n">
        <f aca="false">IFERROR(INDEX(Correspondance!$D$2:$D$3000,MATCH(A12,Correspondance!$A$2:$A$3000,0)),0)</f>
        <v>8.5</v>
      </c>
      <c r="F12" s="60" t="n">
        <f aca="false">C12*E12</f>
        <v>5.8631874298541</v>
      </c>
      <c r="G12" s="61"/>
      <c r="I12" s="63"/>
    </row>
    <row r="13" customFormat="false" ht="18.75" hidden="false" customHeight="true" outlineLevel="0" collapsed="false">
      <c r="A13" s="57" t="s">
        <v>1628</v>
      </c>
      <c r="B13" s="64"/>
      <c r="C13" s="58" t="n">
        <f aca="false">B13/B$22*B$24</f>
        <v>0</v>
      </c>
      <c r="D13" s="57" t="s">
        <v>434</v>
      </c>
      <c r="E13" s="59" t="n">
        <f aca="false">IFERROR(INDEX(Correspondance!$D$2:$D$3000,MATCH(A13,Correspondance!$A$2:$A$3000,0)),0)</f>
        <v>8</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102.587160493827</v>
      </c>
      <c r="G19" s="61"/>
      <c r="I19" s="63"/>
    </row>
    <row r="20" customFormat="false" ht="18.75" hidden="false" customHeight="true" outlineLevel="0" collapsed="false">
      <c r="A20" s="68" t="s">
        <v>2628</v>
      </c>
      <c r="B20" s="69" t="n">
        <f aca="false">F19/B24</f>
        <v>0.932610549943883</v>
      </c>
      <c r="C20" s="70"/>
      <c r="G20" s="61"/>
      <c r="I20" s="63"/>
    </row>
    <row r="21" customFormat="false" ht="15.75" hidden="false" customHeight="false" outlineLevel="0" collapsed="false">
      <c r="A21" s="71" t="s">
        <v>2629</v>
      </c>
      <c r="B21" s="71" t="n">
        <f aca="false">SUM(B3:B18)</f>
        <v>9.801</v>
      </c>
      <c r="C21" s="66"/>
      <c r="G21" s="61"/>
      <c r="I21" s="63"/>
    </row>
    <row r="22" customFormat="false" ht="15.75" hidden="false" customHeight="false" outlineLevel="0" collapsed="false">
      <c r="A22" s="0" t="s">
        <v>2630</v>
      </c>
      <c r="B22" s="72" t="n">
        <f aca="false">B21/B23</f>
        <v>70.0071428571429</v>
      </c>
      <c r="C22" s="66"/>
      <c r="G22" s="61"/>
      <c r="I22" s="63"/>
    </row>
    <row r="23" customFormat="false" ht="15.75" hidden="false" customHeight="false" outlineLevel="0" collapsed="false">
      <c r="A23" s="0" t="s">
        <v>2631</v>
      </c>
      <c r="B23" s="0" t="n">
        <v>0.14</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393</v>
      </c>
      <c r="B1" s="50"/>
      <c r="C1" s="50"/>
      <c r="D1" s="50"/>
      <c r="E1" s="51" t="s">
        <v>2619</v>
      </c>
      <c r="F1" s="51"/>
      <c r="G1" s="52" t="s">
        <v>3102</v>
      </c>
    </row>
    <row r="2" customFormat="false" ht="24.75" hidden="false" customHeight="true" outlineLevel="0" collapsed="false">
      <c r="A2" s="50"/>
      <c r="B2" s="50"/>
      <c r="C2" s="50"/>
      <c r="D2" s="50"/>
      <c r="E2" s="53" t="s">
        <v>2621</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1177</v>
      </c>
      <c r="B4" s="57" t="n">
        <v>1.4</v>
      </c>
      <c r="C4" s="58" t="n">
        <f aca="false">B4/B$22*B$24</f>
        <v>2.19811590065658</v>
      </c>
      <c r="D4" s="57" t="s">
        <v>434</v>
      </c>
      <c r="E4" s="59" t="n">
        <f aca="false">IFERROR(INDEX(Correspondance!$D$2:$D$3000,MATCH(A4,Correspondance!$A$2:$A$3000,0)),0)</f>
        <v>7</v>
      </c>
      <c r="F4" s="60" t="n">
        <f aca="false">C4*E4</f>
        <v>15.3868113045961</v>
      </c>
      <c r="G4" s="61" t="s">
        <v>3103</v>
      </c>
    </row>
    <row r="5" customFormat="false" ht="15.75" hidden="false" customHeight="false" outlineLevel="0" collapsed="false">
      <c r="A5" s="57" t="s">
        <v>1491</v>
      </c>
      <c r="B5" s="57" t="n">
        <v>0.559</v>
      </c>
      <c r="C5" s="58" t="n">
        <f aca="false">B5/B$22*B$24</f>
        <v>0.877676277476449</v>
      </c>
      <c r="D5" s="57" t="s">
        <v>434</v>
      </c>
      <c r="E5" s="59" t="n">
        <f aca="false">IFERROR(INDEX(Correspondance!$D$2:$D$3000,MATCH(A5,Correspondance!$A$2:$A$3000,0)),0)</f>
        <v>9</v>
      </c>
      <c r="F5" s="60" t="n">
        <f aca="false">C5*E5</f>
        <v>7.89908649728804</v>
      </c>
      <c r="G5" s="61"/>
      <c r="I5" s="62"/>
    </row>
    <row r="6" customFormat="false" ht="15.75" hidden="false" customHeight="false" outlineLevel="0" collapsed="false">
      <c r="A6" s="57" t="s">
        <v>1643</v>
      </c>
      <c r="B6" s="57" t="n">
        <v>3.26</v>
      </c>
      <c r="C6" s="58" t="n">
        <f aca="false">B6/B$22*B$24</f>
        <v>5.11846988295747</v>
      </c>
      <c r="D6" s="57" t="s">
        <v>434</v>
      </c>
      <c r="E6" s="59" t="n">
        <f aca="false">IFERROR(INDEX(Correspondance!$D$2:$D$3000,MATCH(A6,Correspondance!$A$2:$A$3000,0)),0)</f>
        <v>8</v>
      </c>
      <c r="F6" s="60" t="n">
        <f aca="false">C6*E6</f>
        <v>40.9477590636597</v>
      </c>
      <c r="G6" s="61"/>
      <c r="I6" s="63"/>
    </row>
    <row r="7" customFormat="false" ht="15.75" hidden="false" customHeight="false" outlineLevel="0" collapsed="false">
      <c r="A7" s="57" t="s">
        <v>1576</v>
      </c>
      <c r="B7" s="57" t="n">
        <v>1.86</v>
      </c>
      <c r="C7" s="58" t="n">
        <f aca="false">B7/B$22*B$24</f>
        <v>2.92035398230089</v>
      </c>
      <c r="D7" s="57" t="s">
        <v>434</v>
      </c>
      <c r="E7" s="59" t="n">
        <f aca="false">IFERROR(INDEX(Correspondance!$D$2:$D$3000,MATCH(A7,Correspondance!$A$2:$A$3000,0)),0)</f>
        <v>5.5</v>
      </c>
      <c r="F7" s="60" t="n">
        <f aca="false">C7*E7</f>
        <v>16.0619469026549</v>
      </c>
      <c r="G7" s="61"/>
      <c r="I7" s="63"/>
    </row>
    <row r="8" customFormat="false" ht="15.75" hidden="false" customHeight="false" outlineLevel="0" collapsed="false">
      <c r="A8" s="57" t="s">
        <v>1182</v>
      </c>
      <c r="B8" s="57" t="n">
        <v>0.745</v>
      </c>
      <c r="C8" s="58" t="n">
        <f aca="false">B8/B$22*B$24</f>
        <v>1.16971167570654</v>
      </c>
      <c r="D8" s="57" t="s">
        <v>434</v>
      </c>
      <c r="E8" s="59" t="n">
        <f aca="false">IFERROR(INDEX(Correspondance!$D$2:$D$3000,MATCH(A8,Correspondance!$A$2:$A$3000,0)),0)</f>
        <v>1.3</v>
      </c>
      <c r="F8" s="60" t="n">
        <f aca="false">C8*E8</f>
        <v>1.5206251784185</v>
      </c>
      <c r="G8" s="61"/>
      <c r="I8" s="63"/>
    </row>
    <row r="9" customFormat="false" ht="15.75" hidden="false" customHeight="false" outlineLevel="0" collapsed="false">
      <c r="A9" s="57" t="s">
        <v>1654</v>
      </c>
      <c r="B9" s="57" t="n">
        <v>0.074</v>
      </c>
      <c r="C9" s="58" t="n">
        <f aca="false">B9/B$22*B$24</f>
        <v>0.116186126177562</v>
      </c>
      <c r="D9" s="57" t="s">
        <v>434</v>
      </c>
      <c r="E9" s="59" t="n">
        <f aca="false">IFERROR(INDEX(Correspondance!$D$2:$D$3000,MATCH(A9,Correspondance!$A$2:$A$3000,0)),0)</f>
        <v>28</v>
      </c>
      <c r="F9" s="60" t="n">
        <f aca="false">C9*E9</f>
        <v>3.25321153297174</v>
      </c>
      <c r="G9" s="61"/>
      <c r="I9" s="63"/>
    </row>
    <row r="10" customFormat="false" ht="15.75" hidden="false" customHeight="false" outlineLevel="0" collapsed="false">
      <c r="A10" s="57" t="s">
        <v>1291</v>
      </c>
      <c r="B10" s="57" t="n">
        <v>0.093</v>
      </c>
      <c r="C10" s="58" t="n">
        <f aca="false">B10/B$22*B$24</f>
        <v>0.146017699115044</v>
      </c>
      <c r="D10" s="57" t="s">
        <v>682</v>
      </c>
      <c r="E10" s="59" t="n">
        <f aca="false">IFERROR(INDEX(Correspondance!$D$2:$D$3000,MATCH(A10,Correspondance!$A$2:$A$3000,0)),0)</f>
        <v>2.5</v>
      </c>
      <c r="F10" s="60" t="n">
        <f aca="false">C10*E10</f>
        <v>0.365044247787611</v>
      </c>
      <c r="G10" s="61"/>
      <c r="I10" s="63"/>
    </row>
    <row r="11" customFormat="false" ht="15.75" hidden="false" customHeight="false" outlineLevel="0" collapsed="false">
      <c r="A11" s="57" t="s">
        <v>1857</v>
      </c>
      <c r="B11" s="57" t="n">
        <v>1.68</v>
      </c>
      <c r="C11" s="58" t="n">
        <f aca="false">B11/B$22*B$24</f>
        <v>2.6377390807879</v>
      </c>
      <c r="D11" s="57" t="s">
        <v>434</v>
      </c>
      <c r="E11" s="59" t="n">
        <f aca="false">IFERROR(INDEX(Correspondance!$D$2:$D$3000,MATCH(A11,Correspondance!$A$2:$A$3000,0)),0)</f>
        <v>6.5</v>
      </c>
      <c r="F11" s="60" t="n">
        <f aca="false">C11*E11</f>
        <v>17.1453040251213</v>
      </c>
      <c r="G11" s="61"/>
      <c r="I11" s="63"/>
    </row>
    <row r="12" customFormat="false" ht="18.75" hidden="false" customHeight="true" outlineLevel="0" collapsed="false">
      <c r="A12" s="57" t="s">
        <v>987</v>
      </c>
      <c r="B12" s="64" t="n">
        <v>0.559</v>
      </c>
      <c r="C12" s="58" t="n">
        <f aca="false">B12/B$22*B$24</f>
        <v>0.877676277476449</v>
      </c>
      <c r="D12" s="57" t="s">
        <v>434</v>
      </c>
      <c r="E12" s="59" t="n">
        <f aca="false">IFERROR(INDEX(Correspondance!$D$2:$D$3000,MATCH(A12,Correspondance!$A$2:$A$3000,0)),0)</f>
        <v>5</v>
      </c>
      <c r="F12" s="60" t="n">
        <f aca="false">C12*E12</f>
        <v>4.38838138738224</v>
      </c>
      <c r="G12" s="61"/>
      <c r="I12" s="63"/>
    </row>
    <row r="13" customFormat="false" ht="18.75" hidden="false" customHeight="true" outlineLevel="0" collapsed="false">
      <c r="A13" s="57" t="s">
        <v>1421</v>
      </c>
      <c r="B13" s="64" t="n">
        <v>0.279</v>
      </c>
      <c r="C13" s="58" t="n">
        <f aca="false">B13/B$22*B$24</f>
        <v>0.438053097345133</v>
      </c>
      <c r="D13" s="57" t="s">
        <v>434</v>
      </c>
      <c r="E13" s="59" t="n">
        <f aca="false">IFERROR(INDEX(Correspondance!$D$2:$D$3000,MATCH(A13,Correspondance!$A$2:$A$3000,0)),0)</f>
        <v>5</v>
      </c>
      <c r="F13" s="60" t="n">
        <f aca="false">C13*E13</f>
        <v>2.19026548672566</v>
      </c>
      <c r="G13" s="61"/>
      <c r="I13" s="63"/>
    </row>
    <row r="14" customFormat="false" ht="15.75" hidden="false" customHeight="false" outlineLevel="0" collapsed="false">
      <c r="A14" s="57" t="s">
        <v>1969</v>
      </c>
      <c r="B14" s="57"/>
      <c r="C14" s="58" t="n">
        <f aca="false">B14/B$22*B$24</f>
        <v>0</v>
      </c>
      <c r="D14" s="57" t="s">
        <v>434</v>
      </c>
      <c r="E14" s="59" t="n">
        <f aca="false">IFERROR(INDEX(Correspondance!$D$2:$D$3000,MATCH(A14,Correspondance!$A$2:$A$3000,0)),0)</f>
        <v>28</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109.158435626606</v>
      </c>
      <c r="G19" s="61"/>
      <c r="I19" s="63"/>
    </row>
    <row r="20" customFormat="false" ht="18.75" hidden="false" customHeight="true" outlineLevel="0" collapsed="false">
      <c r="A20" s="68" t="s">
        <v>2628</v>
      </c>
      <c r="B20" s="69" t="n">
        <f aca="false">F19/B24</f>
        <v>0.992349414787325</v>
      </c>
      <c r="C20" s="70"/>
      <c r="G20" s="61"/>
      <c r="I20" s="63"/>
    </row>
    <row r="21" customFormat="false" ht="15.75" hidden="false" customHeight="false" outlineLevel="0" collapsed="false">
      <c r="A21" s="71" t="s">
        <v>2629</v>
      </c>
      <c r="B21" s="71" t="n">
        <f aca="false">SUM(B3:B18)</f>
        <v>10.509</v>
      </c>
      <c r="C21" s="66"/>
      <c r="G21" s="61"/>
      <c r="I21" s="63"/>
    </row>
    <row r="22" customFormat="false" ht="15.75" hidden="false" customHeight="false" outlineLevel="0" collapsed="false">
      <c r="A22" s="0" t="s">
        <v>2630</v>
      </c>
      <c r="B22" s="72" t="n">
        <f aca="false">B21/B23</f>
        <v>70.06</v>
      </c>
      <c r="C22" s="66"/>
      <c r="G22" s="61"/>
      <c r="I22" s="63"/>
    </row>
    <row r="23" customFormat="false" ht="15.75" hidden="false" customHeight="false" outlineLevel="0" collapsed="false">
      <c r="A23" s="0" t="s">
        <v>2631</v>
      </c>
      <c r="B23" s="0" t="n">
        <v>0.15</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394</v>
      </c>
      <c r="B1" s="50"/>
      <c r="C1" s="50"/>
      <c r="D1" s="50"/>
      <c r="E1" s="51" t="s">
        <v>2619</v>
      </c>
      <c r="F1" s="51"/>
      <c r="G1" s="52" t="s">
        <v>3104</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1459</v>
      </c>
      <c r="B4" s="57" t="n">
        <v>1.02</v>
      </c>
      <c r="C4" s="58" t="n">
        <f aca="false">B4/B$22*B$24</f>
        <v>1.60409105905642</v>
      </c>
      <c r="D4" s="57" t="s">
        <v>682</v>
      </c>
      <c r="E4" s="59" t="n">
        <f aca="false">IFERROR(INDEX(Correspondance!$D$2:$D$3000,MATCH(A4,Correspondance!$A$2:$A$3000,0)),0)</f>
        <v>0</v>
      </c>
      <c r="F4" s="60" t="n">
        <f aca="false">C4*E4</f>
        <v>0</v>
      </c>
      <c r="G4" s="61" t="s">
        <v>3105</v>
      </c>
    </row>
    <row r="5" customFormat="false" ht="15.75" hidden="false" customHeight="false" outlineLevel="0" collapsed="false">
      <c r="A5" s="57" t="s">
        <v>1697</v>
      </c>
      <c r="B5" s="57" t="n">
        <v>0.511</v>
      </c>
      <c r="C5" s="58" t="n">
        <f aca="false">B5/B$22*B$24</f>
        <v>0.803618167821401</v>
      </c>
      <c r="D5" s="57" t="s">
        <v>682</v>
      </c>
      <c r="E5" s="59" t="n">
        <f aca="false">IFERROR(INDEX(Correspondance!$D$2:$D$3000,MATCH(A5,Correspondance!$A$2:$A$3000,0)),0)</f>
        <v>2.5</v>
      </c>
      <c r="F5" s="60" t="n">
        <f aca="false">C5*E5</f>
        <v>2.0090454195535</v>
      </c>
      <c r="G5" s="61"/>
      <c r="I5" s="62"/>
    </row>
    <row r="6" customFormat="false" ht="15.75" hidden="false" customHeight="false" outlineLevel="0" collapsed="false">
      <c r="A6" s="57" t="s">
        <v>1491</v>
      </c>
      <c r="B6" s="57" t="n">
        <v>0.681</v>
      </c>
      <c r="C6" s="58" t="n">
        <f aca="false">B6/B$22*B$24</f>
        <v>1.07096667766414</v>
      </c>
      <c r="D6" s="57" t="s">
        <v>434</v>
      </c>
      <c r="E6" s="59" t="n">
        <f aca="false">IFERROR(INDEX(Correspondance!$D$2:$D$3000,MATCH(A6,Correspondance!$A$2:$A$3000,0)),0)</f>
        <v>9</v>
      </c>
      <c r="F6" s="60" t="n">
        <f aca="false">C6*E6</f>
        <v>9.63870009897724</v>
      </c>
      <c r="G6" s="61"/>
      <c r="I6" s="63"/>
    </row>
    <row r="7" customFormat="false" ht="15.75" hidden="false" customHeight="false" outlineLevel="0" collapsed="false">
      <c r="A7" s="57" t="s">
        <v>1081</v>
      </c>
      <c r="B7" s="57" t="n">
        <v>0.851</v>
      </c>
      <c r="C7" s="58" t="n">
        <f aca="false">B7/B$22*B$24</f>
        <v>1.33831518750687</v>
      </c>
      <c r="D7" s="57" t="s">
        <v>434</v>
      </c>
      <c r="E7" s="59" t="n">
        <f aca="false">IFERROR(INDEX(Correspondance!$D$2:$D$3000,MATCH(A7,Correspondance!$A$2:$A$3000,0)),0)</f>
        <v>0.85</v>
      </c>
      <c r="F7" s="60" t="n">
        <f aca="false">C7*E7</f>
        <v>1.13756790938084</v>
      </c>
      <c r="G7" s="61"/>
      <c r="I7" s="63"/>
    </row>
    <row r="8" customFormat="false" ht="15.75" hidden="false" customHeight="false" outlineLevel="0" collapsed="false">
      <c r="A8" s="57" t="s">
        <v>2000</v>
      </c>
      <c r="B8" s="57" t="n">
        <v>1.53</v>
      </c>
      <c r="C8" s="58" t="n">
        <f aca="false">B8/B$22*B$24</f>
        <v>2.40613658858463</v>
      </c>
      <c r="D8" s="57" t="s">
        <v>682</v>
      </c>
      <c r="E8" s="59" t="n">
        <f aca="false">IFERROR(INDEX(Correspondance!$D$2:$D$3000,MATCH(A8,Correspondance!$A$2:$A$3000,0)),0)</f>
        <v>3.8</v>
      </c>
      <c r="F8" s="60" t="n">
        <f aca="false">C8*E8</f>
        <v>9.14331903662158</v>
      </c>
      <c r="G8" s="61"/>
      <c r="I8" s="63"/>
    </row>
    <row r="9" customFormat="false" ht="15.75" hidden="false" customHeight="false" outlineLevel="0" collapsed="false">
      <c r="A9" s="57" t="s">
        <v>1919</v>
      </c>
      <c r="B9" s="57" t="n">
        <v>0.017</v>
      </c>
      <c r="C9" s="58" t="n">
        <f aca="false">B9/B$22*B$24</f>
        <v>0.0267348509842736</v>
      </c>
      <c r="D9" s="57" t="s">
        <v>434</v>
      </c>
      <c r="E9" s="59" t="n">
        <f aca="false">IFERROR(INDEX(Correspondance!$D$2:$D$3000,MATCH(A9,Correspondance!$A$2:$A$3000,0)),0)</f>
        <v>2</v>
      </c>
      <c r="F9" s="60" t="n">
        <f aca="false">C9*E9</f>
        <v>0.0534697019685472</v>
      </c>
      <c r="G9" s="61"/>
      <c r="I9" s="63"/>
    </row>
    <row r="10" customFormat="false" ht="15.75" hidden="false" customHeight="false" outlineLevel="0" collapsed="false">
      <c r="A10" s="57" t="s">
        <v>1941</v>
      </c>
      <c r="B10" s="57" t="n">
        <v>0.017</v>
      </c>
      <c r="C10" s="58" t="n">
        <f aca="false">B10/B$22*B$24</f>
        <v>0.0267348509842736</v>
      </c>
      <c r="D10" s="57" t="s">
        <v>434</v>
      </c>
      <c r="E10" s="59" t="n">
        <f aca="false">IFERROR(INDEX(Correspondance!$D$2:$D$3000,MATCH(A10,Correspondance!$A$2:$A$3000,0)),0)</f>
        <v>1.3</v>
      </c>
      <c r="F10" s="60" t="n">
        <f aca="false">C10*E10</f>
        <v>0.0347553062795557</v>
      </c>
      <c r="G10" s="61"/>
      <c r="I10" s="63"/>
    </row>
    <row r="11" customFormat="false" ht="15.75" hidden="false" customHeight="false" outlineLevel="0" collapsed="false">
      <c r="A11" s="57" t="s">
        <v>1696</v>
      </c>
      <c r="B11" s="57" t="n">
        <v>2.55</v>
      </c>
      <c r="C11" s="58" t="n">
        <f aca="false">B11/B$22*B$24</f>
        <v>4.01022764764104</v>
      </c>
      <c r="D11" s="57" t="s">
        <v>682</v>
      </c>
      <c r="E11" s="59" t="n">
        <f aca="false">IFERROR(INDEX(Correspondance!$D$2:$D$3000,MATCH(A11,Correspondance!$A$2:$A$3000,0)),0)</f>
        <v>2.5</v>
      </c>
      <c r="F11" s="60" t="n">
        <f aca="false">C11*E11</f>
        <v>10.0255691191026</v>
      </c>
      <c r="G11" s="61"/>
      <c r="I11" s="63"/>
    </row>
    <row r="12" customFormat="false" ht="18.75" hidden="false" customHeight="true" outlineLevel="0" collapsed="false">
      <c r="A12" s="57" t="s">
        <v>1940</v>
      </c>
      <c r="B12" s="64" t="n">
        <v>0.511</v>
      </c>
      <c r="C12" s="58" t="n">
        <f aca="false">B12/B$22*B$24</f>
        <v>0.803618167821401</v>
      </c>
      <c r="D12" s="57" t="s">
        <v>434</v>
      </c>
      <c r="E12" s="59" t="n">
        <f aca="false">IFERROR(INDEX(Correspondance!$D$2:$D$3000,MATCH(A12,Correspondance!$A$2:$A$3000,0)),0)</f>
        <v>1.3</v>
      </c>
      <c r="F12" s="60" t="n">
        <f aca="false">C12*E12</f>
        <v>1.04470361816782</v>
      </c>
      <c r="G12" s="61"/>
      <c r="I12" s="63"/>
    </row>
    <row r="13" customFormat="false" ht="18.75" hidden="false" customHeight="true" outlineLevel="0" collapsed="false">
      <c r="A13" s="57" t="s">
        <v>716</v>
      </c>
      <c r="B13" s="64" t="n">
        <v>0.341</v>
      </c>
      <c r="C13" s="58" t="n">
        <f aca="false">B13/B$22*B$24</f>
        <v>0.536269657978665</v>
      </c>
      <c r="D13" s="57" t="s">
        <v>682</v>
      </c>
      <c r="E13" s="59" t="n">
        <f aca="false">IFERROR(INDEX(Correspondance!$D$2:$D$3000,MATCH(A13,Correspondance!$A$2:$A$3000,0)),0)</f>
        <v>6.5</v>
      </c>
      <c r="F13" s="60" t="n">
        <f aca="false">C13*E13</f>
        <v>3.48575277686132</v>
      </c>
      <c r="G13" s="61"/>
      <c r="I13" s="63"/>
    </row>
    <row r="14" customFormat="false" ht="15.75" hidden="false" customHeight="false" outlineLevel="0" collapsed="false">
      <c r="A14" s="57" t="s">
        <v>1853</v>
      </c>
      <c r="B14" s="57" t="n">
        <v>0.213</v>
      </c>
      <c r="C14" s="58" t="n">
        <f aca="false">B14/B$22*B$24</f>
        <v>0.334971956450017</v>
      </c>
      <c r="D14" s="57" t="s">
        <v>434</v>
      </c>
      <c r="E14" s="59" t="n">
        <f aca="false">IFERROR(INDEX(Correspondance!$D$2:$D$3000,MATCH(A14,Correspondance!$A$2:$A$3000,0)),0)</f>
        <v>6</v>
      </c>
      <c r="F14" s="60" t="n">
        <f aca="false">C14*E14</f>
        <v>2.0098317387001</v>
      </c>
      <c r="G14" s="61"/>
      <c r="I14" s="63"/>
    </row>
    <row r="15" customFormat="false" ht="15.75" hidden="false" customHeight="false" outlineLevel="0" collapsed="false">
      <c r="A15" s="57" t="s">
        <v>1102</v>
      </c>
      <c r="B15" s="57" t="n">
        <v>0.851</v>
      </c>
      <c r="C15" s="58" t="n">
        <f aca="false">B15/B$22*B$24</f>
        <v>1.33831518750687</v>
      </c>
      <c r="D15" s="57" t="s">
        <v>434</v>
      </c>
      <c r="E15" s="59" t="n">
        <f aca="false">IFERROR(INDEX(Correspondance!$D$2:$D$3000,MATCH(A15,Correspondance!$A$2:$A$3000,0)),0)</f>
        <v>4.5</v>
      </c>
      <c r="F15" s="60" t="n">
        <f aca="false">C15*E15</f>
        <v>6.02241834378093</v>
      </c>
      <c r="G15" s="61"/>
      <c r="I15" s="63"/>
    </row>
    <row r="16" customFormat="false" ht="15.75" hidden="false" customHeight="false" outlineLevel="0" collapsed="false">
      <c r="A16" s="57" t="s">
        <v>1519</v>
      </c>
      <c r="B16" s="57"/>
      <c r="C16" s="58" t="n">
        <f aca="false">B16/B$22*B$24</f>
        <v>0</v>
      </c>
      <c r="D16" s="57" t="s">
        <v>434</v>
      </c>
      <c r="E16" s="59" t="n">
        <f aca="false">IFERROR(INDEX(Correspondance!$D$2:$D$3000,MATCH(A16,Correspondance!$A$2:$A$3000,0)),0)</f>
        <v>7</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44.605133069394</v>
      </c>
      <c r="G19" s="61"/>
      <c r="I19" s="63"/>
    </row>
    <row r="20" customFormat="false" ht="18.75" hidden="false" customHeight="true" outlineLevel="0" collapsed="false">
      <c r="A20" s="68" t="s">
        <v>2628</v>
      </c>
      <c r="B20" s="69" t="n">
        <f aca="false">F19/B24</f>
        <v>0.405501209721764</v>
      </c>
      <c r="C20" s="70"/>
      <c r="G20" s="61"/>
      <c r="I20" s="63"/>
    </row>
    <row r="21" customFormat="false" ht="15.75" hidden="false" customHeight="false" outlineLevel="0" collapsed="false">
      <c r="A21" s="71" t="s">
        <v>2629</v>
      </c>
      <c r="B21" s="71" t="n">
        <f aca="false">SUM(B3:B18)</f>
        <v>9.093</v>
      </c>
      <c r="C21" s="66"/>
      <c r="G21" s="61"/>
      <c r="I21" s="63"/>
    </row>
    <row r="22" customFormat="false" ht="15.75" hidden="false" customHeight="false" outlineLevel="0" collapsed="false">
      <c r="A22" s="0" t="s">
        <v>2630</v>
      </c>
      <c r="B22" s="72" t="n">
        <f aca="false">B21/B23</f>
        <v>69.9461538461539</v>
      </c>
      <c r="C22" s="66"/>
      <c r="G22" s="61"/>
      <c r="I22" s="63"/>
    </row>
    <row r="23" customFormat="false" ht="15.75" hidden="false" customHeight="false" outlineLevel="0" collapsed="false">
      <c r="A23" s="0" t="s">
        <v>2631</v>
      </c>
      <c r="B23" s="0" t="n">
        <v>0.13</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395</v>
      </c>
      <c r="B1" s="50"/>
      <c r="C1" s="50"/>
      <c r="D1" s="50"/>
      <c r="E1" s="51" t="s">
        <v>2619</v>
      </c>
      <c r="F1" s="51"/>
      <c r="G1" s="52" t="s">
        <v>3106</v>
      </c>
    </row>
    <row r="2" customFormat="false" ht="24.75" hidden="false" customHeight="true" outlineLevel="0" collapsed="false">
      <c r="A2" s="50"/>
      <c r="B2" s="50"/>
      <c r="C2" s="50"/>
      <c r="D2" s="50"/>
      <c r="E2" s="53" t="s">
        <v>2643</v>
      </c>
      <c r="F2" s="53"/>
      <c r="G2" s="52"/>
    </row>
    <row r="3" customFormat="false" ht="51" hidden="false" customHeight="true" outlineLevel="0" collapsed="false">
      <c r="A3" s="54" t="s">
        <v>2588</v>
      </c>
      <c r="B3" s="55" t="s">
        <v>2622</v>
      </c>
      <c r="C3" s="55" t="s">
        <v>2623</v>
      </c>
      <c r="D3" s="56" t="s">
        <v>2624</v>
      </c>
      <c r="E3" s="56" t="s">
        <v>2625</v>
      </c>
      <c r="F3" s="56" t="s">
        <v>2626</v>
      </c>
      <c r="G3" s="52"/>
    </row>
    <row r="4" customFormat="false" ht="16.5" hidden="false" customHeight="true" outlineLevel="0" collapsed="false">
      <c r="A4" s="57" t="s">
        <v>1862</v>
      </c>
      <c r="B4" s="57" t="n">
        <v>2.67</v>
      </c>
      <c r="C4" s="58" t="n">
        <f aca="false">B4/B$22*B$24</f>
        <v>4.19914215686275</v>
      </c>
      <c r="D4" s="57" t="s">
        <v>434</v>
      </c>
      <c r="E4" s="59" t="n">
        <f aca="false">IFERROR(INDEX(Correspondance!$D$2:$D$3000,MATCH(A4,Correspondance!$A$2:$A$3000,0)),0)</f>
        <v>3.56</v>
      </c>
      <c r="F4" s="60" t="n">
        <f aca="false">C4*E4</f>
        <v>14.9489460784314</v>
      </c>
      <c r="G4" s="61" t="s">
        <v>3107</v>
      </c>
    </row>
    <row r="5" customFormat="false" ht="15.75" hidden="false" customHeight="false" outlineLevel="0" collapsed="false">
      <c r="A5" s="57" t="s">
        <v>1695</v>
      </c>
      <c r="B5" s="57" t="n">
        <v>2.67</v>
      </c>
      <c r="C5" s="58" t="n">
        <f aca="false">B5/B$22*B$24</f>
        <v>4.19914215686275</v>
      </c>
      <c r="D5" s="57" t="s">
        <v>682</v>
      </c>
      <c r="E5" s="59" t="n">
        <f aca="false">IFERROR(INDEX(Correspondance!$D$2:$D$3000,MATCH(A5,Correspondance!$A$2:$A$3000,0)),0)</f>
        <v>2.5</v>
      </c>
      <c r="F5" s="60" t="n">
        <f aca="false">C5*E5</f>
        <v>10.4978553921569</v>
      </c>
      <c r="G5" s="61"/>
      <c r="I5" s="62"/>
    </row>
    <row r="6" customFormat="false" ht="15.75" hidden="false" customHeight="false" outlineLevel="0" collapsed="false">
      <c r="A6" s="57" t="s">
        <v>1182</v>
      </c>
      <c r="B6" s="57" t="n">
        <v>0.445</v>
      </c>
      <c r="C6" s="58" t="n">
        <f aca="false">B6/B$22*B$24</f>
        <v>0.699857026143791</v>
      </c>
      <c r="D6" s="57" t="s">
        <v>434</v>
      </c>
      <c r="E6" s="59" t="n">
        <f aca="false">IFERROR(INDEX(Correspondance!$D$2:$D$3000,MATCH(A6,Correspondance!$A$2:$A$3000,0)),0)</f>
        <v>1.3</v>
      </c>
      <c r="F6" s="60" t="n">
        <f aca="false">C6*E6</f>
        <v>0.909814133986928</v>
      </c>
      <c r="G6" s="61"/>
      <c r="I6" s="63"/>
    </row>
    <row r="7" customFormat="false" ht="15.75" hidden="false" customHeight="false" outlineLevel="0" collapsed="false">
      <c r="A7" s="57" t="s">
        <v>716</v>
      </c>
      <c r="B7" s="57" t="n">
        <v>0.356</v>
      </c>
      <c r="C7" s="58" t="n">
        <f aca="false">B7/B$22*B$24</f>
        <v>0.559885620915033</v>
      </c>
      <c r="D7" s="57" t="s">
        <v>682</v>
      </c>
      <c r="E7" s="59" t="n">
        <f aca="false">IFERROR(INDEX(Correspondance!$D$2:$D$3000,MATCH(A7,Correspondance!$A$2:$A$3000,0)),0)</f>
        <v>6.5</v>
      </c>
      <c r="F7" s="60" t="n">
        <f aca="false">C7*E7</f>
        <v>3.63925653594771</v>
      </c>
      <c r="G7" s="61"/>
      <c r="I7" s="63"/>
    </row>
    <row r="8" customFormat="false" ht="15.75" hidden="false" customHeight="false" outlineLevel="0" collapsed="false">
      <c r="A8" s="57" t="s">
        <v>1853</v>
      </c>
      <c r="B8" s="57" t="n">
        <v>0.223</v>
      </c>
      <c r="C8" s="58" t="n">
        <f aca="false">B8/B$22*B$24</f>
        <v>0.350714869281046</v>
      </c>
      <c r="D8" s="57" t="s">
        <v>434</v>
      </c>
      <c r="E8" s="59" t="n">
        <f aca="false">IFERROR(INDEX(Correspondance!$D$2:$D$3000,MATCH(A8,Correspondance!$A$2:$A$3000,0)),0)</f>
        <v>6</v>
      </c>
      <c r="F8" s="60" t="n">
        <f aca="false">C8*E8</f>
        <v>2.10428921568628</v>
      </c>
      <c r="G8" s="61"/>
      <c r="I8" s="63"/>
    </row>
    <row r="9" customFormat="false" ht="15.75" hidden="false" customHeight="false" outlineLevel="0" collapsed="false">
      <c r="A9" s="57" t="s">
        <v>1491</v>
      </c>
      <c r="B9" s="57" t="n">
        <v>0.178</v>
      </c>
      <c r="C9" s="58" t="n">
        <f aca="false">B9/B$22*B$24</f>
        <v>0.279942810457516</v>
      </c>
      <c r="D9" s="57" t="s">
        <v>434</v>
      </c>
      <c r="E9" s="59" t="n">
        <f aca="false">IFERROR(INDEX(Correspondance!$D$2:$D$3000,MATCH(A9,Correspondance!$A$2:$A$3000,0)),0)</f>
        <v>9</v>
      </c>
      <c r="F9" s="60" t="n">
        <f aca="false">C9*E9</f>
        <v>2.51948529411765</v>
      </c>
      <c r="G9" s="61"/>
      <c r="I9" s="63"/>
    </row>
    <row r="10" customFormat="false" ht="15.75" hidden="false" customHeight="false" outlineLevel="0" collapsed="false">
      <c r="A10" s="57" t="s">
        <v>1637</v>
      </c>
      <c r="B10" s="57" t="n">
        <v>2.67</v>
      </c>
      <c r="C10" s="58" t="n">
        <f aca="false">B10/B$22*B$24</f>
        <v>4.19914215686275</v>
      </c>
      <c r="D10" s="57" t="s">
        <v>434</v>
      </c>
      <c r="E10" s="59" t="n">
        <f aca="false">IFERROR(INDEX(Correspondance!$D$2:$D$3000,MATCH(A10,Correspondance!$A$2:$A$3000,0)),0)</f>
        <v>9</v>
      </c>
      <c r="F10" s="60" t="n">
        <f aca="false">C10*E10</f>
        <v>37.7922794117647</v>
      </c>
      <c r="G10" s="61"/>
      <c r="I10" s="63"/>
    </row>
    <row r="11" customFormat="false" ht="15.75" hidden="false" customHeight="false" outlineLevel="0" collapsed="false">
      <c r="A11" s="57" t="s">
        <v>1739</v>
      </c>
      <c r="B11" s="57" t="n">
        <v>0.535</v>
      </c>
      <c r="C11" s="58" t="n">
        <f aca="false">B11/B$22*B$24</f>
        <v>0.84140114379085</v>
      </c>
      <c r="D11" s="57" t="s">
        <v>434</v>
      </c>
      <c r="E11" s="59" t="n">
        <f aca="false">IFERROR(INDEX(Correspondance!$D$2:$D$3000,MATCH(A11,Correspondance!$A$2:$A$3000,0)),0)</f>
        <v>5</v>
      </c>
      <c r="F11" s="60" t="n">
        <f aca="false">C11*E11</f>
        <v>4.20700571895425</v>
      </c>
      <c r="G11" s="61"/>
      <c r="I11" s="63"/>
    </row>
    <row r="12" customFormat="false" ht="18.75" hidden="false" customHeight="true" outlineLevel="0" collapsed="false">
      <c r="A12" s="57" t="s">
        <v>1180</v>
      </c>
      <c r="B12" s="64" t="n">
        <v>0.045</v>
      </c>
      <c r="C12" s="58" t="n">
        <f aca="false">B12/B$22*B$24</f>
        <v>0.0707720588235294</v>
      </c>
      <c r="D12" s="57" t="s">
        <v>434</v>
      </c>
      <c r="E12" s="59" t="n">
        <f aca="false">IFERROR(INDEX(Correspondance!$D$2:$D$3000,MATCH(A12,Correspondance!$A$2:$A$3000,0)),0)</f>
        <v>2</v>
      </c>
      <c r="F12" s="60" t="n">
        <f aca="false">C12*E12</f>
        <v>0.141544117647059</v>
      </c>
      <c r="G12" s="61"/>
      <c r="I12" s="63"/>
    </row>
    <row r="13" customFormat="false" ht="18.75" hidden="false" customHeight="true" outlineLevel="0" collapsed="false">
      <c r="A13" s="57" t="s">
        <v>1969</v>
      </c>
      <c r="B13" s="64"/>
      <c r="C13" s="58" t="n">
        <f aca="false">B13/B$22*B$24</f>
        <v>0</v>
      </c>
      <c r="D13" s="57" t="s">
        <v>434</v>
      </c>
      <c r="E13" s="59" t="n">
        <f aca="false">IFERROR(INDEX(Correspondance!$D$2:$D$3000,MATCH(A13,Correspondance!$A$2:$A$3000,0)),0)</f>
        <v>28</v>
      </c>
      <c r="F13" s="60" t="n">
        <f aca="false">C13*E13</f>
        <v>0</v>
      </c>
      <c r="G13" s="61"/>
      <c r="I13" s="63"/>
    </row>
    <row r="14" customFormat="false" ht="15.75" hidden="false" customHeight="false" outlineLevel="0" collapsed="false">
      <c r="A14" s="57"/>
      <c r="B14" s="57"/>
      <c r="C14" s="58" t="n">
        <f aca="false">B14/B$22*B$24</f>
        <v>0</v>
      </c>
      <c r="D14" s="57"/>
      <c r="E14" s="65" t="n">
        <f aca="false">IFERROR(INDEX(Correspondance!$D$2:$D$3000,MATCH(A14,Correspondance!$A$2:$A$3000,0)),0)</f>
        <v>0</v>
      </c>
      <c r="F14" s="60" t="n">
        <f aca="false">C14*E14</f>
        <v>0</v>
      </c>
      <c r="G14" s="61"/>
      <c r="I14" s="63"/>
    </row>
    <row r="15" customFormat="false" ht="15.75" hidden="false" customHeight="false" outlineLevel="0" collapsed="false">
      <c r="A15" s="57"/>
      <c r="B15" s="57"/>
      <c r="C15" s="58" t="n">
        <f aca="false">B15/B$22*B$24</f>
        <v>0</v>
      </c>
      <c r="D15" s="57"/>
      <c r="E15" s="65" t="n">
        <f aca="false">IFERROR(INDEX(Correspondance!$D$2:$D$3000,MATCH(A15,Correspondance!$A$2:$A$3000,0)),0)</f>
        <v>0</v>
      </c>
      <c r="F15" s="60" t="n">
        <f aca="false">C15*E15</f>
        <v>0</v>
      </c>
      <c r="G15" s="61"/>
      <c r="I15" s="63"/>
    </row>
    <row r="16" customFormat="false" ht="15.75" hidden="false" customHeight="false" outlineLevel="0" collapsed="false">
      <c r="A16" s="57"/>
      <c r="B16" s="57"/>
      <c r="C16" s="58" t="n">
        <f aca="false">B16/B$22*B$24</f>
        <v>0</v>
      </c>
      <c r="D16" s="57"/>
      <c r="E16" s="65" t="n">
        <f aca="false">IFERROR(INDEX(Correspondance!$D$2:$D$3000,MATCH(A16,Correspondance!$A$2:$A$3000,0)),0)</f>
        <v>0</v>
      </c>
      <c r="F16" s="60" t="n">
        <f aca="false">C16*E16</f>
        <v>0</v>
      </c>
      <c r="G16" s="61"/>
      <c r="I16" s="63"/>
    </row>
    <row r="17" customFormat="false" ht="15.75" hidden="false" customHeight="false" outlineLevel="0" collapsed="false">
      <c r="A17" s="57"/>
      <c r="B17" s="57"/>
      <c r="C17" s="58" t="n">
        <f aca="false">B17/B$22*B$24</f>
        <v>0</v>
      </c>
      <c r="D17" s="57"/>
      <c r="E17" s="65" t="n">
        <f aca="false">IFERROR(INDEX(Correspondance!$D$2:$D$3000,MATCH(A17,Correspondance!$A$2:$A$3000,0)),0)</f>
        <v>0</v>
      </c>
      <c r="F17" s="60" t="n">
        <f aca="false">C17*E17</f>
        <v>0</v>
      </c>
      <c r="G17" s="61"/>
      <c r="I17" s="63"/>
    </row>
    <row r="18" customFormat="false" ht="15.75" hidden="false" customHeight="false" outlineLevel="0" collapsed="false">
      <c r="A18" s="57"/>
      <c r="B18" s="57"/>
      <c r="C18" s="58" t="n">
        <f aca="false">B18/B$22*B$24</f>
        <v>0</v>
      </c>
      <c r="D18" s="57"/>
      <c r="E18" s="65" t="n">
        <f aca="false">IFERROR(INDEX(Correspondance!$D$2:$D$3000,MATCH(A18,Correspondance!$A$2:$A$3000,0)),0)</f>
        <v>0</v>
      </c>
      <c r="F18" s="60" t="n">
        <f aca="false">C18*E18</f>
        <v>0</v>
      </c>
      <c r="G18" s="61"/>
      <c r="I18" s="63"/>
    </row>
    <row r="19" customFormat="false" ht="15.75" hidden="false" customHeight="false" outlineLevel="0" collapsed="false">
      <c r="C19" s="66"/>
      <c r="F19" s="67" t="n">
        <f aca="false">SUM(F4:F18)</f>
        <v>76.7604758986928</v>
      </c>
      <c r="G19" s="61"/>
      <c r="I19" s="63"/>
    </row>
    <row r="20" customFormat="false" ht="18.75" hidden="false" customHeight="true" outlineLevel="0" collapsed="false">
      <c r="A20" s="68" t="s">
        <v>2628</v>
      </c>
      <c r="B20" s="69" t="n">
        <f aca="false">F19/B24</f>
        <v>0.697822508169935</v>
      </c>
      <c r="C20" s="70"/>
      <c r="G20" s="61"/>
      <c r="I20" s="63"/>
    </row>
    <row r="21" customFormat="false" ht="15.75" hidden="false" customHeight="false" outlineLevel="0" collapsed="false">
      <c r="A21" s="71" t="s">
        <v>2629</v>
      </c>
      <c r="B21" s="71" t="n">
        <f aca="false">SUM(B3:B18)</f>
        <v>9.792</v>
      </c>
      <c r="C21" s="66"/>
      <c r="G21" s="61"/>
      <c r="I21" s="63"/>
    </row>
    <row r="22" customFormat="false" ht="15.75" hidden="false" customHeight="false" outlineLevel="0" collapsed="false">
      <c r="A22" s="0" t="s">
        <v>2630</v>
      </c>
      <c r="B22" s="72" t="n">
        <f aca="false">B21/B23</f>
        <v>69.9428571428571</v>
      </c>
      <c r="C22" s="66"/>
      <c r="G22" s="61"/>
      <c r="I22" s="63"/>
    </row>
    <row r="23" customFormat="false" ht="15.75" hidden="false" customHeight="false" outlineLevel="0" collapsed="false">
      <c r="A23" s="0" t="s">
        <v>2631</v>
      </c>
      <c r="B23" s="0" t="n">
        <v>0.14</v>
      </c>
      <c r="C23" s="73" t="s">
        <v>2632</v>
      </c>
      <c r="D23" s="73"/>
      <c r="E23" s="73"/>
      <c r="F23" s="73"/>
      <c r="G23" s="61"/>
      <c r="I23" s="63"/>
    </row>
    <row r="24" customFormat="false" ht="18.75" hidden="false" customHeight="true" outlineLevel="0" collapsed="false">
      <c r="A24" s="74" t="s">
        <v>2633</v>
      </c>
      <c r="B24" s="74" t="n">
        <f aca="false">Paramètres!$B$5</f>
        <v>110</v>
      </c>
      <c r="C24" s="73" t="s">
        <v>2634</v>
      </c>
      <c r="D24" s="73"/>
      <c r="E24" s="73"/>
      <c r="F24" s="73"/>
      <c r="G24" s="61"/>
      <c r="I24" s="63"/>
    </row>
    <row r="25" customFormat="false" ht="15.75" hidden="false" customHeight="false" outlineLevel="0" collapsed="false">
      <c r="I25" s="63"/>
    </row>
  </sheetData>
  <mergeCells count="7">
    <mergeCell ref="A1:D2"/>
    <mergeCell ref="E1:F1"/>
    <mergeCell ref="G1:G3"/>
    <mergeCell ref="E2:F2"/>
    <mergeCell ref="G4:G24"/>
    <mergeCell ref="C23:F23"/>
    <mergeCell ref="C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3108</v>
      </c>
      <c r="B1" s="50"/>
      <c r="C1" s="50"/>
      <c r="D1" s="50"/>
      <c r="E1" s="51" t="s">
        <v>2619</v>
      </c>
      <c r="F1" s="51"/>
      <c r="G1" s="75" t="s">
        <v>2850</v>
      </c>
    </row>
    <row r="2" customFormat="false" ht="24.75" hidden="false" customHeight="true" outlineLevel="0" collapsed="false">
      <c r="A2" s="50"/>
      <c r="B2" s="50"/>
      <c r="C2" s="50"/>
      <c r="D2" s="50"/>
      <c r="E2" s="53" t="s">
        <v>2636</v>
      </c>
      <c r="F2" s="53"/>
      <c r="G2" s="75"/>
    </row>
    <row r="3" customFormat="false" ht="51.75" hidden="false" customHeight="true" outlineLevel="0" collapsed="false">
      <c r="A3" s="54" t="s">
        <v>2588</v>
      </c>
      <c r="B3" s="55" t="s">
        <v>2622</v>
      </c>
      <c r="C3" s="55" t="s">
        <v>2623</v>
      </c>
      <c r="D3" s="56" t="s">
        <v>2624</v>
      </c>
      <c r="E3" s="56" t="s">
        <v>2625</v>
      </c>
      <c r="F3" s="56" t="s">
        <v>2626</v>
      </c>
      <c r="G3" s="75"/>
    </row>
    <row r="4" customFormat="false" ht="19.5" hidden="false" customHeight="true" outlineLevel="0" collapsed="false">
      <c r="A4" s="57" t="s">
        <v>1690</v>
      </c>
      <c r="B4" s="64" t="n">
        <v>15</v>
      </c>
      <c r="C4" s="58" t="n">
        <f aca="false">B4/B$23*B$25</f>
        <v>23.5714285714286</v>
      </c>
      <c r="D4" s="57" t="s">
        <v>434</v>
      </c>
      <c r="E4" s="59" t="n">
        <f aca="false">IFERROR(INDEX(Correspondance!$D$2:$D$3000,MATCH(A4,Correspondance!$A$2:$A$3000,0)),0)</f>
        <v>10.5</v>
      </c>
      <c r="F4" s="77" t="n">
        <f aca="false">C4*E4</f>
        <v>247.5</v>
      </c>
      <c r="G4" s="78" t="s">
        <v>3109</v>
      </c>
    </row>
    <row r="5" customFormat="false" ht="18.75" hidden="false" customHeight="true" outlineLevel="0" collapsed="false">
      <c r="A5" s="57" t="s">
        <v>1746</v>
      </c>
      <c r="B5" s="64" t="n">
        <v>1.2</v>
      </c>
      <c r="C5" s="58" t="n">
        <f aca="false">B5/B$23*B$25</f>
        <v>1.88571428571429</v>
      </c>
      <c r="D5" s="57" t="s">
        <v>682</v>
      </c>
      <c r="E5" s="59" t="n">
        <f aca="false">IFERROR(INDEX(Correspondance!$D$2:$D$3000,MATCH(A5,Correspondance!$A$2:$A$3000,0)),0)</f>
        <v>1.8</v>
      </c>
      <c r="F5" s="77" t="n">
        <f aca="false">C5*E5</f>
        <v>3.39428571428571</v>
      </c>
      <c r="G5" s="78"/>
      <c r="I5" s="62"/>
    </row>
    <row r="6" customFormat="false" ht="18.75" hidden="false" customHeight="true" outlineLevel="0" collapsed="false">
      <c r="A6" s="57" t="s">
        <v>1473</v>
      </c>
      <c r="B6" s="64" t="n">
        <v>0.015</v>
      </c>
      <c r="C6" s="58" t="n">
        <f aca="false">B6/B$23*B$25</f>
        <v>0.0235714285714286</v>
      </c>
      <c r="D6" s="57" t="s">
        <v>434</v>
      </c>
      <c r="E6" s="59" t="n">
        <f aca="false">IFERROR(INDEX(Correspondance!$D$2:$D$3000,MATCH(A6,Correspondance!$A$2:$A$3000,0)),0)</f>
        <v>6</v>
      </c>
      <c r="F6" s="77" t="n">
        <f aca="false">C6*E6</f>
        <v>0.141428571428571</v>
      </c>
      <c r="G6" s="78"/>
      <c r="I6" s="63"/>
    </row>
    <row r="7" customFormat="false" ht="18.75" hidden="false" customHeight="true" outlineLevel="0" collapsed="false">
      <c r="A7" s="57" t="s">
        <v>1675</v>
      </c>
      <c r="B7" s="64" t="n">
        <v>0.45</v>
      </c>
      <c r="C7" s="58" t="n">
        <f aca="false">B7/B$23*B$25</f>
        <v>0.707142857142857</v>
      </c>
      <c r="D7" s="57" t="s">
        <v>434</v>
      </c>
      <c r="E7" s="59" t="n">
        <f aca="false">IFERROR(INDEX(Correspondance!$D$2:$D$3000,MATCH(A7,Correspondance!$A$2:$A$3000,0)),0)</f>
        <v>2.2</v>
      </c>
      <c r="F7" s="77" t="n">
        <f aca="false">C7*E7</f>
        <v>1.55571428571429</v>
      </c>
      <c r="G7" s="78"/>
      <c r="I7" s="63"/>
    </row>
    <row r="8" customFormat="false" ht="18.75" hidden="false" customHeight="true" outlineLevel="0" collapsed="false">
      <c r="A8" s="57" t="s">
        <v>1535</v>
      </c>
      <c r="B8" s="64" t="n">
        <v>0.45</v>
      </c>
      <c r="C8" s="58" t="n">
        <f aca="false">B8/B$23*B$25</f>
        <v>0.707142857142857</v>
      </c>
      <c r="D8" s="57" t="s">
        <v>682</v>
      </c>
      <c r="E8" s="59" t="n">
        <f aca="false">IFERROR(INDEX(Correspondance!$D$2:$D$3000,MATCH(A8,Correspondance!$A$2:$A$3000,0)),0)</f>
        <v>9.5</v>
      </c>
      <c r="F8" s="77" t="n">
        <f aca="false">C8*E8</f>
        <v>6.71785714285714</v>
      </c>
      <c r="G8" s="78"/>
      <c r="I8" s="63"/>
    </row>
    <row r="9" customFormat="false" ht="18.75" hidden="false" customHeight="true" outlineLevel="0" collapsed="false">
      <c r="A9" s="57" t="s">
        <v>1481</v>
      </c>
      <c r="B9" s="64" t="n">
        <v>3</v>
      </c>
      <c r="C9" s="58" t="n">
        <f aca="false">B9/B$23*B$25</f>
        <v>4.71428571428571</v>
      </c>
      <c r="D9" s="57" t="s">
        <v>434</v>
      </c>
      <c r="E9" s="59" t="n">
        <f aca="false">IFERROR(INDEX(Correspondance!$D$2:$D$3000,MATCH(A9,Correspondance!$A$2:$A$3000,0)),0)</f>
        <v>2.6</v>
      </c>
      <c r="F9" s="77" t="n">
        <f aca="false">C9*E9</f>
        <v>12.2571428571429</v>
      </c>
      <c r="G9" s="78"/>
      <c r="I9" s="63"/>
    </row>
    <row r="10" customFormat="false" ht="18.75" hidden="false" customHeight="true" outlineLevel="0" collapsed="false">
      <c r="A10" s="57" t="s">
        <v>812</v>
      </c>
      <c r="B10" s="64" t="n">
        <v>1.2</v>
      </c>
      <c r="C10" s="58" t="n">
        <f aca="false">B10/B$23*B$25</f>
        <v>1.88571428571429</v>
      </c>
      <c r="D10" s="57" t="s">
        <v>434</v>
      </c>
      <c r="E10" s="59" t="n">
        <f aca="false">IFERROR(INDEX(Correspondance!$D$2:$D$3000,MATCH(A10,Correspondance!$A$2:$A$3000,0)),0)</f>
        <v>2.8</v>
      </c>
      <c r="F10" s="77" t="n">
        <f aca="false">C10*E10</f>
        <v>5.28</v>
      </c>
      <c r="G10" s="78"/>
      <c r="I10" s="63"/>
    </row>
    <row r="11" customFormat="false" ht="18.75" hidden="false" customHeight="true" outlineLevel="0" collapsed="false">
      <c r="A11" s="57" t="s">
        <v>1785</v>
      </c>
      <c r="B11" s="64" t="n">
        <v>0.007</v>
      </c>
      <c r="C11" s="58" t="n">
        <f aca="false">B11/B$23*B$25</f>
        <v>0.011</v>
      </c>
      <c r="D11" s="57" t="s">
        <v>434</v>
      </c>
      <c r="E11" s="59" t="n">
        <f aca="false">IFERROR(INDEX(Correspondance!$D$2:$D$3000,MATCH(A11,Correspondance!$A$2:$A$3000,0)),0)</f>
        <v>60</v>
      </c>
      <c r="F11" s="77" t="n">
        <f aca="false">C11*E11</f>
        <v>0.66</v>
      </c>
      <c r="G11" s="78"/>
      <c r="I11" s="63"/>
    </row>
    <row r="12" customFormat="false" ht="18.75" hidden="false" customHeight="true" outlineLevel="0" collapsed="false">
      <c r="A12" s="57" t="s">
        <v>1645</v>
      </c>
      <c r="B12" s="64" t="n">
        <v>0.3</v>
      </c>
      <c r="C12" s="58" t="n">
        <f aca="false">B12/B$23*B$25</f>
        <v>0.471428571428572</v>
      </c>
      <c r="D12" s="57" t="s">
        <v>434</v>
      </c>
      <c r="E12" s="59" t="n">
        <f aca="false">IFERROR(INDEX(Correspondance!$D$2:$D$3000,MATCH(A12,Correspondance!$A$2:$A$3000,0)),0)</f>
        <v>2.2</v>
      </c>
      <c r="F12" s="77" t="n">
        <f aca="false">C12*E12</f>
        <v>1.03714285714286</v>
      </c>
      <c r="G12" s="78"/>
      <c r="I12" s="63"/>
    </row>
    <row r="13" customFormat="false" ht="18.75" hidden="false" customHeight="true" outlineLevel="0" collapsed="false">
      <c r="A13" s="57" t="s">
        <v>1197</v>
      </c>
      <c r="B13" s="64" t="n">
        <v>0.345</v>
      </c>
      <c r="C13" s="58" t="n">
        <f aca="false">B13/B$23*B$25</f>
        <v>0.542142857142857</v>
      </c>
      <c r="D13" s="57" t="s">
        <v>434</v>
      </c>
      <c r="E13" s="59" t="n">
        <f aca="false">IFERROR(INDEX(Correspondance!$D$2:$D$3000,MATCH(A13,Correspondance!$A$2:$A$3000,0)),0)</f>
        <v>2.6</v>
      </c>
      <c r="F13" s="77" t="n">
        <f aca="false">C13*E13</f>
        <v>1.40957142857143</v>
      </c>
      <c r="G13" s="78"/>
      <c r="I13" s="63"/>
    </row>
    <row r="14" customFormat="false" ht="18.75" hidden="false" customHeight="true" outlineLevel="0" collapsed="false">
      <c r="A14" s="57" t="s">
        <v>1974</v>
      </c>
      <c r="B14" s="64" t="n">
        <v>1.5</v>
      </c>
      <c r="C14" s="58" t="n">
        <f aca="false">B14/B$23*B$25</f>
        <v>2.35714285714286</v>
      </c>
      <c r="D14" s="57" t="s">
        <v>682</v>
      </c>
      <c r="E14" s="59" t="n">
        <f aca="false">IFERROR(INDEX(Correspondance!$D$2:$D$3000,MATCH(A14,Correspondance!$A$2:$A$3000,0)),0)</f>
        <v>2</v>
      </c>
      <c r="F14" s="77" t="n">
        <f aca="false">C14*E14</f>
        <v>4.71428571428571</v>
      </c>
      <c r="G14" s="78"/>
      <c r="I14" s="63"/>
    </row>
    <row r="15" customFormat="false" ht="15.75" hidden="false" customHeight="false" outlineLevel="0" collapsed="false">
      <c r="A15" s="57"/>
      <c r="B15" s="57"/>
      <c r="C15" s="58" t="n">
        <f aca="false">B15/B$23*B$25</f>
        <v>0</v>
      </c>
      <c r="D15" s="57" t="s">
        <v>682</v>
      </c>
      <c r="E15" s="65"/>
      <c r="F15" s="77" t="n">
        <f aca="false">C15*E15</f>
        <v>0</v>
      </c>
      <c r="G15" s="78"/>
      <c r="I15" s="63"/>
    </row>
    <row r="16" customFormat="false" ht="15.75" hidden="false" customHeight="false" outlineLevel="0" collapsed="false">
      <c r="A16" s="57"/>
      <c r="B16" s="57"/>
      <c r="C16" s="58" t="n">
        <f aca="false">B16/B$23*B$25</f>
        <v>0</v>
      </c>
      <c r="D16" s="57" t="s">
        <v>434</v>
      </c>
      <c r="E16" s="65"/>
      <c r="F16" s="77" t="n">
        <f aca="false">C16*E16</f>
        <v>0</v>
      </c>
      <c r="G16" s="78"/>
      <c r="I16" s="63"/>
    </row>
    <row r="17" customFormat="false" ht="15.75" hidden="false" customHeight="false" outlineLevel="0" collapsed="false">
      <c r="A17" s="57"/>
      <c r="B17" s="57"/>
      <c r="C17" s="58" t="n">
        <f aca="false">B17/B$23*B$25</f>
        <v>0</v>
      </c>
      <c r="D17" s="57" t="s">
        <v>434</v>
      </c>
      <c r="E17" s="65"/>
      <c r="F17" s="77" t="n">
        <f aca="false">C17*E17</f>
        <v>0</v>
      </c>
      <c r="G17" s="78"/>
      <c r="I17" s="63"/>
    </row>
    <row r="18" customFormat="false" ht="15.75" hidden="false" customHeight="false" outlineLevel="0" collapsed="false">
      <c r="A18" s="57"/>
      <c r="B18" s="57"/>
      <c r="C18" s="58" t="n">
        <f aca="false">B18/B$23*B$25</f>
        <v>0</v>
      </c>
      <c r="D18" s="57"/>
      <c r="E18" s="65"/>
      <c r="F18" s="77" t="n">
        <f aca="false">C18*E18</f>
        <v>0</v>
      </c>
      <c r="G18" s="78"/>
      <c r="I18" s="63"/>
    </row>
    <row r="19" customFormat="false" ht="15.75" hidden="false" customHeight="false" outlineLevel="0" collapsed="false">
      <c r="A19" s="57"/>
      <c r="B19" s="57"/>
      <c r="C19" s="58" t="n">
        <f aca="false">B19/B$23*B$25</f>
        <v>0</v>
      </c>
      <c r="D19" s="57"/>
      <c r="E19" s="65"/>
      <c r="F19" s="77" t="n">
        <f aca="false">C19*E19</f>
        <v>0</v>
      </c>
      <c r="G19" s="78"/>
      <c r="I19" s="63"/>
    </row>
    <row r="20" customFormat="false" ht="15.75" hidden="false" customHeight="false" outlineLevel="0" collapsed="false">
      <c r="C20" s="66"/>
      <c r="F20" s="67" t="n">
        <f aca="false">SUM(F4:F19)</f>
        <v>284.667428571429</v>
      </c>
      <c r="G20" s="78"/>
      <c r="I20" s="63"/>
    </row>
    <row r="21" customFormat="false" ht="18.75" hidden="false" customHeight="true" outlineLevel="0" collapsed="false">
      <c r="A21" s="68" t="s">
        <v>2628</v>
      </c>
      <c r="B21" s="69" t="n">
        <f aca="false">F20/B25</f>
        <v>2.58788571428571</v>
      </c>
      <c r="C21" s="70"/>
      <c r="G21" s="78"/>
      <c r="I21" s="63"/>
    </row>
    <row r="22" customFormat="false" ht="15.75" hidden="false" customHeight="false" outlineLevel="0" collapsed="false">
      <c r="A22" s="71" t="s">
        <v>2629</v>
      </c>
      <c r="B22" s="71" t="n">
        <v>10.5</v>
      </c>
      <c r="C22" s="66"/>
      <c r="G22" s="78"/>
      <c r="I22" s="63"/>
    </row>
    <row r="23" customFormat="false" ht="15.75" hidden="false" customHeight="false" outlineLevel="0" collapsed="false">
      <c r="A23" s="0" t="s">
        <v>2630</v>
      </c>
      <c r="B23" s="72" t="n">
        <f aca="false">B22/B24</f>
        <v>70</v>
      </c>
      <c r="C23" s="66"/>
      <c r="G23" s="78"/>
      <c r="I23" s="63"/>
    </row>
    <row r="24" customFormat="false" ht="15.75" hidden="false" customHeight="false" outlineLevel="0" collapsed="false">
      <c r="A24" s="0" t="s">
        <v>2631</v>
      </c>
      <c r="B24" s="0" t="n">
        <v>0.15</v>
      </c>
      <c r="C24" s="79" t="s">
        <v>2632</v>
      </c>
      <c r="G24" s="78"/>
      <c r="I24" s="63"/>
    </row>
    <row r="25" customFormat="false" ht="18.75" hidden="false" customHeight="true" outlineLevel="0" collapsed="false">
      <c r="A25" s="74" t="s">
        <v>2633</v>
      </c>
      <c r="B25" s="74" t="n">
        <f aca="false">Paramètres!$B$5</f>
        <v>110</v>
      </c>
      <c r="C25" s="79" t="s">
        <v>2634</v>
      </c>
      <c r="G25" s="78"/>
      <c r="I25" s="63"/>
    </row>
    <row r="26" customFormat="false" ht="15.75" hidden="false" customHeight="false" outlineLevel="0" collapsed="false">
      <c r="I26" s="63"/>
    </row>
  </sheetData>
  <mergeCells count="5">
    <mergeCell ref="A1:D2"/>
    <mergeCell ref="E1:F1"/>
    <mergeCell ref="G1:G3"/>
    <mergeCell ref="E2:F2"/>
    <mergeCell ref="G4:G2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3110</v>
      </c>
      <c r="B1" s="50"/>
      <c r="C1" s="50"/>
      <c r="D1" s="50"/>
      <c r="E1" s="51" t="s">
        <v>2619</v>
      </c>
      <c r="F1" s="51"/>
      <c r="G1" s="75" t="s">
        <v>3018</v>
      </c>
    </row>
    <row r="2" customFormat="false" ht="24.75" hidden="false" customHeight="true" outlineLevel="0" collapsed="false">
      <c r="A2" s="50"/>
      <c r="B2" s="50"/>
      <c r="C2" s="50"/>
      <c r="D2" s="50"/>
      <c r="E2" s="53" t="s">
        <v>2636</v>
      </c>
      <c r="F2" s="53"/>
      <c r="G2" s="75"/>
    </row>
    <row r="3" customFormat="false" ht="51.75" hidden="false" customHeight="true" outlineLevel="0" collapsed="false">
      <c r="A3" s="54" t="s">
        <v>2588</v>
      </c>
      <c r="B3" s="55" t="s">
        <v>2622</v>
      </c>
      <c r="C3" s="55" t="s">
        <v>2623</v>
      </c>
      <c r="D3" s="56" t="s">
        <v>2624</v>
      </c>
      <c r="E3" s="56" t="s">
        <v>2625</v>
      </c>
      <c r="F3" s="56" t="s">
        <v>2626</v>
      </c>
      <c r="G3" s="75"/>
    </row>
    <row r="4" customFormat="false" ht="16.5" hidden="false" customHeight="true" outlineLevel="0" collapsed="false">
      <c r="A4" s="57" t="s">
        <v>399</v>
      </c>
      <c r="B4" s="57" t="n">
        <v>1.39</v>
      </c>
      <c r="C4" s="58" t="n">
        <f aca="false">B4/B$23*B$25</f>
        <v>2.18741058655222</v>
      </c>
      <c r="D4" s="57" t="s">
        <v>434</v>
      </c>
      <c r="E4" s="59" t="n">
        <f aca="false">IFERROR(INDEX(Correspondance!$D$2:$D$3000,MATCH(A4,Correspondance!$A$2:$A$3000,0)),0)</f>
        <v>4</v>
      </c>
      <c r="F4" s="77" t="n">
        <f aca="false">C4*E4</f>
        <v>8.74964234620887</v>
      </c>
      <c r="G4" s="78" t="s">
        <v>3111</v>
      </c>
    </row>
    <row r="5" customFormat="false" ht="15.75" hidden="false" customHeight="false" outlineLevel="0" collapsed="false">
      <c r="A5" s="57" t="s">
        <v>1919</v>
      </c>
      <c r="B5" s="57" t="n">
        <v>0.046</v>
      </c>
      <c r="C5" s="58" t="n">
        <f aca="false">B5/B$23*B$25</f>
        <v>0.0723891273247496</v>
      </c>
      <c r="D5" s="57" t="s">
        <v>434</v>
      </c>
      <c r="E5" s="59" t="n">
        <f aca="false">IFERROR(INDEX(Correspondance!$D$2:$D$3000,MATCH(A5,Correspondance!$A$2:$A$3000,0)),0)</f>
        <v>2</v>
      </c>
      <c r="F5" s="77" t="n">
        <f aca="false">C5*E5</f>
        <v>0.144778254649499</v>
      </c>
      <c r="G5" s="78"/>
      <c r="I5" s="62"/>
    </row>
    <row r="6" customFormat="false" ht="15.75" hidden="false" customHeight="false" outlineLevel="0" collapsed="false">
      <c r="A6" s="57" t="s">
        <v>1533</v>
      </c>
      <c r="B6" s="57" t="n">
        <v>0.046</v>
      </c>
      <c r="C6" s="58" t="n">
        <f aca="false">B6/B$23*B$25</f>
        <v>0.0723891273247496</v>
      </c>
      <c r="D6" s="57" t="s">
        <v>434</v>
      </c>
      <c r="E6" s="59" t="n">
        <f aca="false">IFERROR(INDEX(Correspondance!$D$2:$D$3000,MATCH(A6,Correspondance!$A$2:$A$3000,0)),0)</f>
        <v>13</v>
      </c>
      <c r="F6" s="77" t="n">
        <f aca="false">C6*E6</f>
        <v>0.941058655221745</v>
      </c>
      <c r="G6" s="78"/>
      <c r="I6" s="63"/>
    </row>
    <row r="7" customFormat="false" ht="15.75" hidden="false" customHeight="false" outlineLevel="0" collapsed="false">
      <c r="A7" s="57" t="s">
        <v>1459</v>
      </c>
      <c r="B7" s="57" t="n">
        <v>4.18</v>
      </c>
      <c r="C7" s="58" t="n">
        <f aca="false">B7/B$23*B$25</f>
        <v>6.57796852646638</v>
      </c>
      <c r="D7" s="57" t="s">
        <v>434</v>
      </c>
      <c r="E7" s="59" t="n">
        <f aca="false">IFERROR(INDEX(Correspondance!$D$2:$D$3000,MATCH(A7,Correspondance!$A$2:$A$3000,0)),0)</f>
        <v>0</v>
      </c>
      <c r="F7" s="77" t="n">
        <f aca="false">C7*E7</f>
        <v>0</v>
      </c>
      <c r="G7" s="78"/>
      <c r="I7" s="63"/>
    </row>
    <row r="8" customFormat="false" ht="15.75" hidden="false" customHeight="false" outlineLevel="0" collapsed="false">
      <c r="A8" s="57" t="s">
        <v>1819</v>
      </c>
      <c r="B8" s="57" t="n">
        <v>0.93</v>
      </c>
      <c r="C8" s="58" t="n">
        <f aca="false">B8/B$23*B$25</f>
        <v>1.46351931330472</v>
      </c>
      <c r="D8" s="57" t="s">
        <v>434</v>
      </c>
      <c r="E8" s="59" t="n">
        <f aca="false">IFERROR(INDEX(Correspondance!$D$2:$D$3000,MATCH(A8,Correspondance!$A$2:$A$3000,0)),0)</f>
        <v>3</v>
      </c>
      <c r="F8" s="77" t="n">
        <f aca="false">C8*E8</f>
        <v>4.39055793991416</v>
      </c>
      <c r="G8" s="78"/>
      <c r="I8" s="63"/>
    </row>
    <row r="9" customFormat="false" ht="15.75" hidden="false" customHeight="false" outlineLevel="0" collapsed="false">
      <c r="A9" s="57" t="s">
        <v>1702</v>
      </c>
      <c r="B9" s="57"/>
      <c r="C9" s="58" t="n">
        <f aca="false">B9/B$23*B$25</f>
        <v>0</v>
      </c>
      <c r="D9" s="57" t="s">
        <v>434</v>
      </c>
      <c r="E9" s="59" t="n">
        <f aca="false">IFERROR(INDEX(Correspondance!$D$2:$D$3000,MATCH(A9,Correspondance!$A$2:$A$3000,0)),0)</f>
        <v>16</v>
      </c>
      <c r="F9" s="77" t="n">
        <f aca="false">C9*E9</f>
        <v>0</v>
      </c>
      <c r="G9" s="78"/>
      <c r="I9" s="63"/>
    </row>
    <row r="10" customFormat="false" ht="15.75" hidden="false" customHeight="false" outlineLevel="0" collapsed="false">
      <c r="A10" s="57"/>
      <c r="B10" s="57"/>
      <c r="C10" s="58" t="n">
        <f aca="false">B10/B$23*B$25</f>
        <v>0</v>
      </c>
      <c r="D10" s="57" t="s">
        <v>434</v>
      </c>
      <c r="E10" s="65"/>
      <c r="F10" s="77" t="n">
        <f aca="false">C10*E10</f>
        <v>0</v>
      </c>
      <c r="G10" s="78"/>
      <c r="I10" s="63"/>
    </row>
    <row r="11" customFormat="false" ht="15.75" hidden="false" customHeight="false" outlineLevel="0" collapsed="false">
      <c r="A11" s="57" t="s">
        <v>1515</v>
      </c>
      <c r="B11" s="57" t="n">
        <v>0.93</v>
      </c>
      <c r="C11" s="58" t="n">
        <f aca="false">B11/B$23*B$25</f>
        <v>1.46351931330472</v>
      </c>
      <c r="D11" s="57" t="s">
        <v>434</v>
      </c>
      <c r="E11" s="59" t="n">
        <f aca="false">IFERROR(INDEX(Correspondance!$D$2:$D$3000,MATCH(A11,Correspondance!$A$2:$A$3000,0)),0)</f>
        <v>4</v>
      </c>
      <c r="F11" s="77" t="n">
        <f aca="false">C11*E11</f>
        <v>5.85407725321888</v>
      </c>
      <c r="G11" s="78"/>
      <c r="I11" s="63"/>
    </row>
    <row r="12" customFormat="false" ht="15.75" hidden="false" customHeight="false" outlineLevel="0" collapsed="false">
      <c r="A12" s="57" t="s">
        <v>1120</v>
      </c>
      <c r="B12" s="57" t="n">
        <v>0.167</v>
      </c>
      <c r="C12" s="58" t="n">
        <f aca="false">B12/B$23*B$25</f>
        <v>0.262804005722461</v>
      </c>
      <c r="D12" s="57" t="s">
        <v>434</v>
      </c>
      <c r="E12" s="59" t="n">
        <f aca="false">IFERROR(INDEX(Correspondance!$D$2:$D$3000,MATCH(A12,Correspondance!$A$2:$A$3000,0)),0)</f>
        <v>7.5</v>
      </c>
      <c r="F12" s="77" t="n">
        <f aca="false">C12*E12</f>
        <v>1.97103004291845</v>
      </c>
      <c r="G12" s="78"/>
      <c r="I12" s="63"/>
    </row>
    <row r="13" customFormat="false" ht="18.75" hidden="false" customHeight="true" outlineLevel="0" collapsed="false">
      <c r="A13" s="57"/>
      <c r="B13" s="64"/>
      <c r="C13" s="58" t="n">
        <f aca="false">B13/B$23*B$25</f>
        <v>0</v>
      </c>
      <c r="D13" s="57"/>
      <c r="E13" s="65"/>
      <c r="F13" s="77" t="n">
        <f aca="false">C13*E13</f>
        <v>0</v>
      </c>
      <c r="G13" s="78"/>
      <c r="I13" s="63"/>
    </row>
    <row r="14" customFormat="false" ht="18.75" hidden="false" customHeight="true" outlineLevel="0" collapsed="false">
      <c r="A14" s="57"/>
      <c r="B14" s="64"/>
      <c r="C14" s="58" t="n">
        <f aca="false">B14/B$23*B$25</f>
        <v>0</v>
      </c>
      <c r="D14" s="57"/>
      <c r="E14" s="65"/>
      <c r="F14" s="77" t="n">
        <f aca="false">C14*E14</f>
        <v>0</v>
      </c>
      <c r="G14" s="78"/>
      <c r="I14" s="63"/>
    </row>
    <row r="15" customFormat="false" ht="15.75" hidden="false" customHeight="false" outlineLevel="0" collapsed="false">
      <c r="A15" s="57"/>
      <c r="B15" s="57"/>
      <c r="C15" s="58" t="n">
        <f aca="false">B15/B$23*B$25</f>
        <v>0</v>
      </c>
      <c r="D15" s="57"/>
      <c r="E15" s="65"/>
      <c r="F15" s="77" t="n">
        <f aca="false">C15*E15</f>
        <v>0</v>
      </c>
      <c r="G15" s="78"/>
      <c r="I15" s="63"/>
    </row>
    <row r="16" customFormat="false" ht="15.75" hidden="false" customHeight="false" outlineLevel="0" collapsed="false">
      <c r="A16" s="57"/>
      <c r="B16" s="57"/>
      <c r="C16" s="58" t="n">
        <f aca="false">B16/B$23*B$25</f>
        <v>0</v>
      </c>
      <c r="D16" s="57"/>
      <c r="E16" s="65"/>
      <c r="F16" s="77" t="n">
        <f aca="false">C16*E16</f>
        <v>0</v>
      </c>
      <c r="G16" s="78"/>
      <c r="I16" s="63"/>
    </row>
    <row r="17" customFormat="false" ht="15.75" hidden="false" customHeight="false" outlineLevel="0" collapsed="false">
      <c r="A17" s="57"/>
      <c r="B17" s="57"/>
      <c r="C17" s="58" t="n">
        <f aca="false">B17/B$23*B$25</f>
        <v>0</v>
      </c>
      <c r="D17" s="57"/>
      <c r="E17" s="65"/>
      <c r="F17" s="77" t="n">
        <f aca="false">C17*E17</f>
        <v>0</v>
      </c>
      <c r="G17" s="78"/>
      <c r="I17" s="63"/>
    </row>
    <row r="18" customFormat="false" ht="15.75" hidden="false" customHeight="false" outlineLevel="0" collapsed="false">
      <c r="A18" s="57"/>
      <c r="B18" s="57"/>
      <c r="C18" s="58" t="n">
        <f aca="false">B18/B$23*B$25</f>
        <v>0</v>
      </c>
      <c r="D18" s="57"/>
      <c r="E18" s="65"/>
      <c r="F18" s="77" t="n">
        <f aca="false">C18*E18</f>
        <v>0</v>
      </c>
      <c r="G18" s="78"/>
      <c r="I18" s="63"/>
    </row>
    <row r="19" customFormat="false" ht="15.75" hidden="false" customHeight="false" outlineLevel="0" collapsed="false">
      <c r="A19" s="57"/>
      <c r="B19" s="57"/>
      <c r="C19" s="58" t="n">
        <f aca="false">B19/B$23*B$25</f>
        <v>0</v>
      </c>
      <c r="D19" s="57"/>
      <c r="E19" s="65"/>
      <c r="F19" s="77" t="n">
        <f aca="false">C19*E19</f>
        <v>0</v>
      </c>
      <c r="G19" s="78"/>
      <c r="I19" s="63"/>
    </row>
    <row r="20" customFormat="false" ht="15.75" hidden="false" customHeight="false" outlineLevel="0" collapsed="false">
      <c r="C20" s="66"/>
      <c r="F20" s="67" t="n">
        <f aca="false">SUM(F4:F19)</f>
        <v>22.0511444921316</v>
      </c>
      <c r="G20" s="78"/>
      <c r="I20" s="63"/>
    </row>
    <row r="21" customFormat="false" ht="18.75" hidden="false" customHeight="true" outlineLevel="0" collapsed="false">
      <c r="A21" s="68" t="s">
        <v>2628</v>
      </c>
      <c r="B21" s="69" t="n">
        <f aca="false">F20/B25</f>
        <v>0.200464949928469</v>
      </c>
      <c r="C21" s="70"/>
      <c r="G21" s="78"/>
      <c r="I21" s="63"/>
    </row>
    <row r="22" customFormat="false" ht="15.75" hidden="false" customHeight="false" outlineLevel="0" collapsed="false">
      <c r="A22" s="71" t="s">
        <v>2629</v>
      </c>
      <c r="B22" s="71" t="n">
        <f aca="false">SUM(B4:B19)</f>
        <v>7.689</v>
      </c>
      <c r="C22" s="66"/>
      <c r="G22" s="78"/>
      <c r="I22" s="63"/>
    </row>
    <row r="23" customFormat="false" ht="15.75" hidden="false" customHeight="false" outlineLevel="0" collapsed="false">
      <c r="A23" s="0" t="s">
        <v>2630</v>
      </c>
      <c r="B23" s="72" t="n">
        <f aca="false">B22/B24</f>
        <v>69.9</v>
      </c>
      <c r="C23" s="66"/>
      <c r="G23" s="78"/>
      <c r="I23" s="63"/>
    </row>
    <row r="24" customFormat="false" ht="15.75" hidden="false" customHeight="false" outlineLevel="0" collapsed="false">
      <c r="A24" s="0" t="s">
        <v>2631</v>
      </c>
      <c r="B24" s="0" t="n">
        <v>0.11</v>
      </c>
      <c r="C24" s="79" t="s">
        <v>2632</v>
      </c>
      <c r="G24" s="78"/>
      <c r="I24" s="63"/>
    </row>
    <row r="25" customFormat="false" ht="18.75" hidden="false" customHeight="true" outlineLevel="0" collapsed="false">
      <c r="A25" s="74" t="s">
        <v>2633</v>
      </c>
      <c r="B25" s="74" t="n">
        <f aca="false">Paramètres!$B$5</f>
        <v>110</v>
      </c>
      <c r="C25" s="79" t="s">
        <v>2634</v>
      </c>
      <c r="G25" s="78"/>
      <c r="I25" s="63"/>
    </row>
    <row r="26" customFormat="false" ht="15.75" hidden="false" customHeight="false" outlineLevel="0" collapsed="false">
      <c r="I26" s="63"/>
    </row>
  </sheetData>
  <mergeCells count="5">
    <mergeCell ref="A1:D2"/>
    <mergeCell ref="E1:F1"/>
    <mergeCell ref="G1:G3"/>
    <mergeCell ref="E2:F2"/>
    <mergeCell ref="G4:G2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3112</v>
      </c>
      <c r="B1" s="50"/>
      <c r="C1" s="50"/>
      <c r="D1" s="50"/>
      <c r="E1" s="51" t="s">
        <v>2619</v>
      </c>
      <c r="F1" s="51"/>
      <c r="G1" s="75" t="s">
        <v>2884</v>
      </c>
    </row>
    <row r="2" customFormat="false" ht="24.75" hidden="false" customHeight="true" outlineLevel="0" collapsed="false">
      <c r="A2" s="50"/>
      <c r="B2" s="50"/>
      <c r="C2" s="50"/>
      <c r="D2" s="50"/>
      <c r="E2" s="53" t="s">
        <v>2636</v>
      </c>
      <c r="F2" s="53"/>
      <c r="G2" s="75"/>
    </row>
    <row r="3" customFormat="false" ht="51.75" hidden="false" customHeight="true" outlineLevel="0" collapsed="false">
      <c r="A3" s="54" t="s">
        <v>2588</v>
      </c>
      <c r="B3" s="55" t="s">
        <v>2622</v>
      </c>
      <c r="C3" s="55" t="s">
        <v>2623</v>
      </c>
      <c r="D3" s="56" t="s">
        <v>2624</v>
      </c>
      <c r="E3" s="56" t="s">
        <v>2625</v>
      </c>
      <c r="F3" s="56" t="s">
        <v>2626</v>
      </c>
      <c r="G3" s="75"/>
    </row>
    <row r="4" customFormat="false" ht="16.5" hidden="false" customHeight="true" outlineLevel="0" collapsed="false">
      <c r="A4" s="57" t="s">
        <v>1660</v>
      </c>
      <c r="B4" s="57" t="n">
        <v>1.36</v>
      </c>
      <c r="C4" s="58" t="n">
        <f aca="false">B4/B$23*B$25</f>
        <v>2.13576986223142</v>
      </c>
      <c r="D4" s="57" t="s">
        <v>434</v>
      </c>
      <c r="E4" s="59" t="n">
        <f aca="false">IFERROR(INDEX(Correspondance!$D$2:$D$3000,MATCH(A4,Correspondance!$A$2:$A$3000,0)),0)</f>
        <v>4</v>
      </c>
      <c r="F4" s="77" t="n">
        <f aca="false">C4*E4</f>
        <v>8.54307944892569</v>
      </c>
      <c r="G4" s="78" t="s">
        <v>2885</v>
      </c>
    </row>
    <row r="5" customFormat="false" ht="15.75" hidden="false" customHeight="false" outlineLevel="0" collapsed="false">
      <c r="A5" s="57" t="s">
        <v>1712</v>
      </c>
      <c r="B5" s="57" t="n">
        <v>0.67</v>
      </c>
      <c r="C5" s="58" t="n">
        <f aca="false">B5/B$23*B$25</f>
        <v>1.05218074095225</v>
      </c>
      <c r="D5" s="57" t="s">
        <v>434</v>
      </c>
      <c r="E5" s="59" t="n">
        <f aca="false">IFERROR(INDEX(Correspondance!$D$2:$D$3000,MATCH(A5,Correspondance!$A$2:$A$3000,0)),0)</f>
        <v>2.2</v>
      </c>
      <c r="F5" s="77" t="n">
        <f aca="false">C5*E5</f>
        <v>2.31479763009494</v>
      </c>
      <c r="G5" s="78"/>
      <c r="I5" s="62"/>
    </row>
    <row r="6" customFormat="false" ht="15.75" hidden="false" customHeight="false" outlineLevel="0" collapsed="false">
      <c r="A6" s="57" t="s">
        <v>1822</v>
      </c>
      <c r="B6" s="57" t="n">
        <v>0.849</v>
      </c>
      <c r="C6" s="58" t="n">
        <f aca="false">B6/B$23*B$25</f>
        <v>1.33328574487829</v>
      </c>
      <c r="D6" s="57" t="s">
        <v>434</v>
      </c>
      <c r="E6" s="59" t="n">
        <f aca="false">IFERROR(INDEX(Correspondance!$D$2:$D$3000,MATCH(A6,Correspondance!$A$2:$A$3000,0)),0)</f>
        <v>3</v>
      </c>
      <c r="F6" s="77" t="n">
        <f aca="false">C6*E6</f>
        <v>3.99985723463488</v>
      </c>
      <c r="G6" s="78"/>
      <c r="I6" s="63"/>
    </row>
    <row r="7" customFormat="false" ht="15.75" hidden="false" customHeight="false" outlineLevel="0" collapsed="false">
      <c r="A7" s="57" t="s">
        <v>1744</v>
      </c>
      <c r="B7" s="57" t="n">
        <v>0.396</v>
      </c>
      <c r="C7" s="58" t="n">
        <f aca="false">B7/B$23*B$25</f>
        <v>0.621885930473267</v>
      </c>
      <c r="D7" s="57" t="s">
        <v>434</v>
      </c>
      <c r="E7" s="59" t="n">
        <f aca="false">IFERROR(INDEX(Correspondance!$D$2:$D$3000,MATCH(A7,Correspondance!$A$2:$A$3000,0)),0)</f>
        <v>2.5</v>
      </c>
      <c r="F7" s="77" t="n">
        <f aca="false">C7*E7</f>
        <v>1.55471482618317</v>
      </c>
      <c r="G7" s="78"/>
      <c r="I7" s="63"/>
    </row>
    <row r="8" customFormat="false" ht="15.75" hidden="false" customHeight="false" outlineLevel="0" collapsed="false">
      <c r="A8" s="57" t="s">
        <v>894</v>
      </c>
      <c r="B8" s="57" t="n">
        <v>0.066</v>
      </c>
      <c r="C8" s="58" t="n">
        <f aca="false">B8/B$23*B$25</f>
        <v>0.103647655078878</v>
      </c>
      <c r="D8" s="57" t="s">
        <v>434</v>
      </c>
      <c r="E8" s="59" t="n">
        <f aca="false">IFERROR(INDEX(Correspondance!$D$2:$D$3000,MATCH(A8,Correspondance!$A$2:$A$3000,0)),0)</f>
        <v>5.5</v>
      </c>
      <c r="F8" s="77" t="n">
        <f aca="false">C8*E8</f>
        <v>0.570062102933828</v>
      </c>
      <c r="G8" s="78"/>
      <c r="I8" s="63"/>
    </row>
    <row r="9" customFormat="false" ht="15.75" hidden="false" customHeight="false" outlineLevel="0" collapsed="false">
      <c r="A9" s="57" t="s">
        <v>1558</v>
      </c>
      <c r="B9" s="57" t="n">
        <v>3.1</v>
      </c>
      <c r="C9" s="58" t="n">
        <f aca="false">B9/B$23*B$25</f>
        <v>4.86829895067457</v>
      </c>
      <c r="D9" s="57" t="s">
        <v>434</v>
      </c>
      <c r="E9" s="59" t="n">
        <f aca="false">IFERROR(INDEX(Correspondance!$D$2:$D$3000,MATCH(A9,Correspondance!$A$2:$A$3000,0)),0)</f>
        <v>1.6</v>
      </c>
      <c r="F9" s="77" t="n">
        <f aca="false">C9*E9</f>
        <v>7.78927832107931</v>
      </c>
      <c r="G9" s="78"/>
      <c r="I9" s="63"/>
    </row>
    <row r="10" customFormat="false" ht="15.75" hidden="false" customHeight="false" outlineLevel="0" collapsed="false">
      <c r="A10" s="57" t="s">
        <v>1197</v>
      </c>
      <c r="B10" s="57" t="n">
        <v>0.274</v>
      </c>
      <c r="C10" s="58" t="n">
        <f aca="false">B10/B$23*B$25</f>
        <v>0.430294810478978</v>
      </c>
      <c r="D10" s="57" t="s">
        <v>434</v>
      </c>
      <c r="E10" s="59" t="n">
        <f aca="false">IFERROR(INDEX(Correspondance!$D$2:$D$3000,MATCH(A10,Correspondance!$A$2:$A$3000,0)),0)</f>
        <v>2.6</v>
      </c>
      <c r="F10" s="77" t="n">
        <f aca="false">C10*E10</f>
        <v>1.11876650724534</v>
      </c>
      <c r="G10" s="78"/>
      <c r="I10" s="63"/>
    </row>
    <row r="11" customFormat="false" ht="15.75" hidden="false" customHeight="false" outlineLevel="0" collapsed="false">
      <c r="A11" s="57" t="s">
        <v>1990</v>
      </c>
      <c r="B11" s="57" t="n">
        <v>3.78</v>
      </c>
      <c r="C11" s="58" t="n">
        <f aca="false">B11/B$23*B$25</f>
        <v>5.93618388179028</v>
      </c>
      <c r="D11" s="57" t="s">
        <v>434</v>
      </c>
      <c r="E11" s="59" t="n">
        <f aca="false">IFERROR(INDEX(Correspondance!$D$2:$D$3000,MATCH(A11,Correspondance!$A$2:$A$3000,0)),0)</f>
        <v>8</v>
      </c>
      <c r="F11" s="77" t="n">
        <f aca="false">C11*E11</f>
        <v>47.4894710543222</v>
      </c>
      <c r="G11" s="78"/>
      <c r="I11" s="63"/>
    </row>
    <row r="12" customFormat="false" ht="15.75" hidden="false" customHeight="false" outlineLevel="0" collapsed="false">
      <c r="A12" s="57" t="s">
        <v>1919</v>
      </c>
      <c r="B12" s="57" t="n">
        <v>0.057</v>
      </c>
      <c r="C12" s="58" t="n">
        <f aca="false">B12/B$23*B$25</f>
        <v>0.0895138839317582</v>
      </c>
      <c r="D12" s="57" t="s">
        <v>434</v>
      </c>
      <c r="E12" s="59" t="n">
        <f aca="false">IFERROR(INDEX(Correspondance!$D$2:$D$3000,MATCH(A12,Correspondance!$A$2:$A$3000,0)),0)</f>
        <v>2</v>
      </c>
      <c r="F12" s="77" t="n">
        <f aca="false">C12*E12</f>
        <v>0.179027767863516</v>
      </c>
      <c r="G12" s="78"/>
      <c r="I12" s="63"/>
    </row>
    <row r="13" customFormat="false" ht="18.75" hidden="false" customHeight="true" outlineLevel="0" collapsed="false">
      <c r="A13" s="57" t="s">
        <v>1608</v>
      </c>
      <c r="B13" s="64" t="n">
        <v>0.023</v>
      </c>
      <c r="C13" s="58" t="n">
        <f aca="false">B13/B$23*B$25</f>
        <v>0.0361196373759726</v>
      </c>
      <c r="D13" s="57"/>
      <c r="E13" s="59" t="n">
        <f aca="false">IFERROR(INDEX(Correspondance!$D$2:$D$3000,MATCH(A13,Correspondance!$A$2:$A$3000,0)),0)</f>
        <v>13</v>
      </c>
      <c r="F13" s="77" t="n">
        <f aca="false">C13*E13</f>
        <v>0.469555285887644</v>
      </c>
      <c r="G13" s="78"/>
      <c r="I13" s="63"/>
    </row>
    <row r="14" customFormat="false" ht="18.75" hidden="false" customHeight="true" outlineLevel="0" collapsed="false">
      <c r="A14" s="57" t="s">
        <v>1459</v>
      </c>
      <c r="B14" s="64" t="n">
        <v>3.17</v>
      </c>
      <c r="C14" s="58" t="n">
        <f aca="false">B14/B$23*B$25</f>
        <v>4.97822828181883</v>
      </c>
      <c r="D14" s="57"/>
      <c r="E14" s="59" t="n">
        <f aca="false">IFERROR(INDEX(Correspondance!$D$2:$D$3000,MATCH(A14,Correspondance!$A$2:$A$3000,0)),0)</f>
        <v>0</v>
      </c>
      <c r="F14" s="77" t="n">
        <f aca="false">C14*E14</f>
        <v>0</v>
      </c>
      <c r="G14" s="78"/>
      <c r="I14" s="63"/>
    </row>
    <row r="15" customFormat="false" ht="15.75" hidden="false" customHeight="false" outlineLevel="0" collapsed="false">
      <c r="A15" s="57" t="s">
        <v>1645</v>
      </c>
      <c r="B15" s="57" t="n">
        <v>0.094</v>
      </c>
      <c r="C15" s="58" t="n">
        <f aca="false">B15/B$23*B$25</f>
        <v>0.147619387536584</v>
      </c>
      <c r="D15" s="57"/>
      <c r="E15" s="59" t="n">
        <f aca="false">IFERROR(INDEX(Correspondance!$D$2:$D$3000,MATCH(A15,Correspondance!$A$2:$A$3000,0)),0)</f>
        <v>2.2</v>
      </c>
      <c r="F15" s="77" t="n">
        <f aca="false">C15*E15</f>
        <v>0.324762652580484</v>
      </c>
      <c r="G15" s="78"/>
      <c r="I15" s="63"/>
    </row>
    <row r="16" customFormat="false" ht="15.75" hidden="false" customHeight="false" outlineLevel="0" collapsed="false">
      <c r="A16" s="57" t="s">
        <v>1120</v>
      </c>
      <c r="B16" s="57" t="n">
        <v>0.17</v>
      </c>
      <c r="C16" s="58" t="n">
        <f aca="false">B16/B$23*B$25</f>
        <v>0.266971232778928</v>
      </c>
      <c r="D16" s="57"/>
      <c r="E16" s="59" t="n">
        <f aca="false">IFERROR(INDEX(Correspondance!$D$2:$D$3000,MATCH(A16,Correspondance!$A$2:$A$3000,0)),0)</f>
        <v>7.5</v>
      </c>
      <c r="F16" s="77" t="n">
        <f aca="false">C16*E16</f>
        <v>2.00228424584196</v>
      </c>
      <c r="G16" s="78"/>
      <c r="I16" s="63"/>
    </row>
    <row r="17" customFormat="false" ht="15.75" hidden="false" customHeight="false" outlineLevel="0" collapsed="false">
      <c r="A17" s="57"/>
      <c r="B17" s="57"/>
      <c r="C17" s="58" t="n">
        <f aca="false">B17/B$23*B$25</f>
        <v>0</v>
      </c>
      <c r="D17" s="57"/>
      <c r="E17" s="65"/>
      <c r="F17" s="77" t="n">
        <f aca="false">C17*E17</f>
        <v>0</v>
      </c>
      <c r="G17" s="78"/>
      <c r="I17" s="63"/>
    </row>
    <row r="18" customFormat="false" ht="15.75" hidden="false" customHeight="false" outlineLevel="0" collapsed="false">
      <c r="A18" s="57"/>
      <c r="B18" s="57"/>
      <c r="C18" s="58" t="n">
        <f aca="false">B18/B$23*B$25</f>
        <v>0</v>
      </c>
      <c r="D18" s="57"/>
      <c r="E18" s="65"/>
      <c r="F18" s="77" t="n">
        <f aca="false">C18*E18</f>
        <v>0</v>
      </c>
      <c r="G18" s="78"/>
      <c r="I18" s="63"/>
    </row>
    <row r="19" customFormat="false" ht="15.75" hidden="false" customHeight="false" outlineLevel="0" collapsed="false">
      <c r="A19" s="57"/>
      <c r="B19" s="57"/>
      <c r="C19" s="58" t="n">
        <f aca="false">B19/B$23*B$25</f>
        <v>0</v>
      </c>
      <c r="D19" s="57"/>
      <c r="E19" s="65"/>
      <c r="F19" s="77" t="n">
        <f aca="false">C19*E19</f>
        <v>0</v>
      </c>
      <c r="G19" s="78"/>
      <c r="I19" s="63"/>
    </row>
    <row r="20" customFormat="false" ht="15.75" hidden="false" customHeight="false" outlineLevel="0" collapsed="false">
      <c r="C20" s="66"/>
      <c r="F20" s="67" t="n">
        <f aca="false">SUM(F4:F19)</f>
        <v>76.355657077593</v>
      </c>
      <c r="G20" s="78"/>
      <c r="I20" s="63"/>
    </row>
    <row r="21" customFormat="false" ht="18.75" hidden="false" customHeight="true" outlineLevel="0" collapsed="false">
      <c r="A21" s="68" t="s">
        <v>2628</v>
      </c>
      <c r="B21" s="69" t="n">
        <f aca="false">F20/B25</f>
        <v>0.694142337069027</v>
      </c>
      <c r="C21" s="70"/>
      <c r="G21" s="78"/>
      <c r="I21" s="63"/>
    </row>
    <row r="22" customFormat="false" ht="15.75" hidden="false" customHeight="false" outlineLevel="0" collapsed="false">
      <c r="A22" s="71" t="s">
        <v>2629</v>
      </c>
      <c r="B22" s="71" t="n">
        <f aca="false">SUM(B4:B19)</f>
        <v>14.009</v>
      </c>
      <c r="C22" s="66"/>
      <c r="G22" s="78"/>
      <c r="I22" s="63"/>
    </row>
    <row r="23" customFormat="false" ht="15.75" hidden="false" customHeight="false" outlineLevel="0" collapsed="false">
      <c r="A23" s="0" t="s">
        <v>2630</v>
      </c>
      <c r="B23" s="72" t="n">
        <f aca="false">B22/B24</f>
        <v>70.045</v>
      </c>
      <c r="C23" s="66"/>
      <c r="G23" s="78"/>
      <c r="I23" s="63"/>
    </row>
    <row r="24" customFormat="false" ht="15.75" hidden="false" customHeight="false" outlineLevel="0" collapsed="false">
      <c r="A24" s="0" t="s">
        <v>2631</v>
      </c>
      <c r="B24" s="0" t="n">
        <v>0.2</v>
      </c>
      <c r="C24" s="79" t="s">
        <v>2632</v>
      </c>
      <c r="G24" s="78"/>
      <c r="I24" s="63"/>
    </row>
    <row r="25" customFormat="false" ht="18.75" hidden="false" customHeight="true" outlineLevel="0" collapsed="false">
      <c r="A25" s="74" t="s">
        <v>2633</v>
      </c>
      <c r="B25" s="74" t="n">
        <f aca="false">Paramètres!$B$5</f>
        <v>110</v>
      </c>
      <c r="C25" s="79" t="s">
        <v>2634</v>
      </c>
      <c r="G25" s="78"/>
      <c r="I25" s="63"/>
    </row>
    <row r="26" customFormat="false" ht="15.75" hidden="false" customHeight="false" outlineLevel="0" collapsed="false">
      <c r="I26" s="63"/>
    </row>
  </sheetData>
  <mergeCells count="5">
    <mergeCell ref="A1:D2"/>
    <mergeCell ref="E1:F1"/>
    <mergeCell ref="G1:G3"/>
    <mergeCell ref="E2:F2"/>
    <mergeCell ref="G4:G2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3113</v>
      </c>
      <c r="B1" s="50"/>
      <c r="C1" s="50"/>
      <c r="D1" s="50"/>
      <c r="E1" s="51" t="s">
        <v>2619</v>
      </c>
      <c r="F1" s="51"/>
      <c r="G1" s="75" t="s">
        <v>3018</v>
      </c>
    </row>
    <row r="2" customFormat="false" ht="24.75" hidden="false" customHeight="true" outlineLevel="0" collapsed="false">
      <c r="A2" s="50"/>
      <c r="B2" s="50"/>
      <c r="C2" s="50"/>
      <c r="D2" s="50"/>
      <c r="E2" s="53" t="s">
        <v>2636</v>
      </c>
      <c r="F2" s="53"/>
      <c r="G2" s="75"/>
    </row>
    <row r="3" customFormat="false" ht="51.75" hidden="false" customHeight="true" outlineLevel="0" collapsed="false">
      <c r="A3" s="54" t="s">
        <v>2588</v>
      </c>
      <c r="B3" s="55" t="s">
        <v>2622</v>
      </c>
      <c r="C3" s="55" t="s">
        <v>2623</v>
      </c>
      <c r="D3" s="56" t="s">
        <v>2624</v>
      </c>
      <c r="E3" s="56" t="s">
        <v>2625</v>
      </c>
      <c r="F3" s="56" t="s">
        <v>2626</v>
      </c>
      <c r="G3" s="75"/>
    </row>
    <row r="4" customFormat="false" ht="16.5" hidden="false" customHeight="true" outlineLevel="0" collapsed="false">
      <c r="A4" s="57" t="s">
        <v>332</v>
      </c>
      <c r="B4" s="57" t="n">
        <v>3.32</v>
      </c>
      <c r="C4" s="83" t="n">
        <f aca="false">B4/B$23*B$25</f>
        <v>5.22102133013095</v>
      </c>
      <c r="D4" s="57" t="s">
        <v>434</v>
      </c>
      <c r="E4" s="59" t="n">
        <f aca="false">IFERROR(INDEX(Correspondance!$D$2:$D$3000,MATCH(A4,Correspondance!$A$2:$A$3000,0)),0)</f>
        <v>6</v>
      </c>
      <c r="F4" s="77" t="n">
        <f aca="false">C4*E4</f>
        <v>31.3261279807857</v>
      </c>
      <c r="G4" s="78" t="s">
        <v>3114</v>
      </c>
    </row>
    <row r="5" customFormat="false" ht="15.75" hidden="false" customHeight="false" outlineLevel="0" collapsed="false">
      <c r="A5" s="57" t="s">
        <v>1520</v>
      </c>
      <c r="B5" s="57" t="n">
        <v>1.99</v>
      </c>
      <c r="C5" s="83" t="n">
        <f aca="false">B5/B$23*B$25</f>
        <v>3.1294676045062</v>
      </c>
      <c r="D5" s="57" t="s">
        <v>434</v>
      </c>
      <c r="E5" s="59" t="n">
        <f aca="false">IFERROR(INDEX(Correspondance!$D$2:$D$3000,MATCH(A5,Correspondance!$A$2:$A$3000,0)),0)</f>
        <v>8</v>
      </c>
      <c r="F5" s="77" t="n">
        <f aca="false">C5*E5</f>
        <v>25.0357408360496</v>
      </c>
      <c r="G5" s="78"/>
      <c r="I5" s="62"/>
    </row>
    <row r="6" customFormat="false" ht="15.75" hidden="false" customHeight="false" outlineLevel="0" collapsed="false">
      <c r="A6" s="57" t="s">
        <v>1535</v>
      </c>
      <c r="B6" s="57" t="n">
        <v>0.665</v>
      </c>
      <c r="C6" s="83" t="n">
        <f aca="false">B6/B$23*B$25</f>
        <v>1.04577686281238</v>
      </c>
      <c r="D6" s="57" t="s">
        <v>434</v>
      </c>
      <c r="E6" s="59" t="n">
        <f aca="false">IFERROR(INDEX(Correspondance!$D$2:$D$3000,MATCH(A6,Correspondance!$A$2:$A$3000,0)),0)</f>
        <v>9.5</v>
      </c>
      <c r="F6" s="77" t="n">
        <f aca="false">C6*E6</f>
        <v>9.93488019671756</v>
      </c>
      <c r="G6" s="78"/>
      <c r="I6" s="63"/>
    </row>
    <row r="7" customFormat="false" ht="15.75" hidden="false" customHeight="false" outlineLevel="0" collapsed="false">
      <c r="A7" s="57" t="s">
        <v>1819</v>
      </c>
      <c r="B7" s="57" t="n">
        <v>1.33</v>
      </c>
      <c r="C7" s="83" t="n">
        <f aca="false">B7/B$23*B$25</f>
        <v>2.09155372562475</v>
      </c>
      <c r="D7" s="57" t="s">
        <v>434</v>
      </c>
      <c r="E7" s="59" t="n">
        <f aca="false">IFERROR(INDEX(Correspondance!$D$2:$D$3000,MATCH(A7,Correspondance!$A$2:$A$3000,0)),0)</f>
        <v>3</v>
      </c>
      <c r="F7" s="77" t="n">
        <f aca="false">C7*E7</f>
        <v>6.27466117687425</v>
      </c>
      <c r="G7" s="78"/>
      <c r="I7" s="63"/>
    </row>
    <row r="8" customFormat="false" ht="15.75" hidden="false" customHeight="false" outlineLevel="0" collapsed="false">
      <c r="A8" s="57" t="s">
        <v>1512</v>
      </c>
      <c r="B8" s="57" t="n">
        <v>0.997</v>
      </c>
      <c r="C8" s="83" t="n">
        <f aca="false">B8/B$23*B$25</f>
        <v>1.56787899582547</v>
      </c>
      <c r="D8" s="57" t="s">
        <v>434</v>
      </c>
      <c r="E8" s="59" t="n">
        <f aca="false">IFERROR(INDEX(Correspondance!$D$2:$D$3000,MATCH(A8,Correspondance!$A$2:$A$3000,0)),0)</f>
        <v>4</v>
      </c>
      <c r="F8" s="77" t="n">
        <f aca="false">C8*E8</f>
        <v>6.27151598330188</v>
      </c>
      <c r="G8" s="78"/>
      <c r="I8" s="63"/>
    </row>
    <row r="9" customFormat="false" ht="15.75" hidden="false" customHeight="false" outlineLevel="0" collapsed="false">
      <c r="A9" s="57" t="s">
        <v>1197</v>
      </c>
      <c r="B9" s="57" t="n">
        <v>0.332</v>
      </c>
      <c r="C9" s="83" t="n">
        <f aca="false">B9/B$23*B$25</f>
        <v>0.522102133013095</v>
      </c>
      <c r="D9" s="57" t="s">
        <v>434</v>
      </c>
      <c r="E9" s="59" t="n">
        <f aca="false">IFERROR(INDEX(Correspondance!$D$2:$D$3000,MATCH(A9,Correspondance!$A$2:$A$3000,0)),0)</f>
        <v>2.6</v>
      </c>
      <c r="F9" s="77" t="n">
        <f aca="false">C9*E9</f>
        <v>1.35746554583405</v>
      </c>
      <c r="G9" s="78"/>
      <c r="I9" s="63"/>
    </row>
    <row r="10" customFormat="false" ht="15.75" hidden="false" customHeight="false" outlineLevel="0" collapsed="false">
      <c r="A10" s="57" t="s">
        <v>1498</v>
      </c>
      <c r="B10" s="57" t="n">
        <v>3.32</v>
      </c>
      <c r="C10" s="83" t="n">
        <f aca="false">B10/B$23*B$25</f>
        <v>5.22102133013095</v>
      </c>
      <c r="D10" s="57" t="s">
        <v>434</v>
      </c>
      <c r="E10" s="59" t="n">
        <f aca="false">IFERROR(INDEX(Correspondance!$D$2:$D$3000,MATCH(A10,Correspondance!$A$2:$A$3000,0)),0)</f>
        <v>6.5</v>
      </c>
      <c r="F10" s="77" t="n">
        <f aca="false">C10*E10</f>
        <v>33.9366386458512</v>
      </c>
      <c r="G10" s="78"/>
      <c r="I10" s="63"/>
    </row>
    <row r="11" customFormat="false" ht="15.75" hidden="false" customHeight="false" outlineLevel="0" collapsed="false">
      <c r="A11" s="57" t="s">
        <v>1786</v>
      </c>
      <c r="B11" s="57"/>
      <c r="C11" s="83" t="n">
        <f aca="false">B11/B$23*B$25</f>
        <v>0</v>
      </c>
      <c r="D11" s="57" t="s">
        <v>434</v>
      </c>
      <c r="E11" s="59" t="n">
        <f aca="false">IFERROR(INDEX(Correspondance!$D$2:$D$3000,MATCH(A11,Correspondance!$A$2:$A$3000,0)),0)</f>
        <v>60</v>
      </c>
      <c r="F11" s="77" t="n">
        <f aca="false">C11*E11</f>
        <v>0</v>
      </c>
      <c r="G11" s="78"/>
      <c r="I11" s="63"/>
    </row>
    <row r="12" customFormat="false" ht="15.75" hidden="false" customHeight="false" outlineLevel="0" collapsed="false">
      <c r="A12" s="57" t="s">
        <v>894</v>
      </c>
      <c r="B12" s="57" t="n">
        <v>0.133</v>
      </c>
      <c r="C12" s="83" t="n">
        <f aca="false">B12/B$23*B$25</f>
        <v>0.209155372562475</v>
      </c>
      <c r="D12" s="57" t="s">
        <v>434</v>
      </c>
      <c r="E12" s="59" t="n">
        <f aca="false">IFERROR(INDEX(Correspondance!$D$2:$D$3000,MATCH(A12,Correspondance!$A$2:$A$3000,0)),0)</f>
        <v>5.5</v>
      </c>
      <c r="F12" s="77" t="n">
        <f aca="false">C12*E12</f>
        <v>1.15035454909361</v>
      </c>
      <c r="G12" s="78"/>
      <c r="I12" s="63"/>
    </row>
    <row r="13" customFormat="false" ht="18.75" hidden="false" customHeight="true" outlineLevel="0" collapsed="false">
      <c r="A13" s="57" t="s">
        <v>1919</v>
      </c>
      <c r="B13" s="64" t="n">
        <v>0.08</v>
      </c>
      <c r="C13" s="83" t="n">
        <f aca="false">B13/B$23*B$25</f>
        <v>0.125807742894722</v>
      </c>
      <c r="D13" s="57"/>
      <c r="E13" s="59" t="n">
        <f aca="false">IFERROR(INDEX(Correspondance!$D$2:$D$3000,MATCH(A13,Correspondance!$A$2:$A$3000,0)),0)</f>
        <v>2</v>
      </c>
      <c r="F13" s="77" t="n">
        <f aca="false">C13*E13</f>
        <v>0.251615485789444</v>
      </c>
      <c r="G13" s="78"/>
      <c r="I13" s="63"/>
    </row>
    <row r="14" customFormat="false" ht="18.75" hidden="false" customHeight="true" outlineLevel="0" collapsed="false">
      <c r="A14" s="57" t="s">
        <v>1459</v>
      </c>
      <c r="B14" s="64" t="n">
        <v>5.32</v>
      </c>
      <c r="C14" s="83" t="n">
        <f aca="false">B14/B$23*B$25</f>
        <v>8.366214902499</v>
      </c>
      <c r="D14" s="57"/>
      <c r="E14" s="59" t="n">
        <f aca="false">IFERROR(INDEX(Correspondance!$D$2:$D$3000,MATCH(A14,Correspondance!$A$2:$A$3000,0)),0)</f>
        <v>0</v>
      </c>
      <c r="F14" s="77" t="n">
        <f aca="false">C14*E14</f>
        <v>0</v>
      </c>
      <c r="G14" s="78"/>
      <c r="I14" s="63"/>
    </row>
    <row r="15" customFormat="false" ht="15.75" hidden="false" customHeight="false" outlineLevel="0" collapsed="false">
      <c r="A15" s="57"/>
      <c r="B15" s="57"/>
      <c r="C15" s="83" t="n">
        <f aca="false">B15/B$23*B$25</f>
        <v>0</v>
      </c>
      <c r="D15" s="57"/>
      <c r="E15" s="65"/>
      <c r="F15" s="77" t="n">
        <f aca="false">C15*E15</f>
        <v>0</v>
      </c>
      <c r="G15" s="78"/>
      <c r="I15" s="63"/>
    </row>
    <row r="16" customFormat="false" ht="15.75" hidden="false" customHeight="false" outlineLevel="0" collapsed="false">
      <c r="A16" s="57"/>
      <c r="B16" s="57"/>
      <c r="C16" s="83" t="n">
        <f aca="false">B16/B$23*B$25</f>
        <v>0</v>
      </c>
      <c r="D16" s="57"/>
      <c r="E16" s="65"/>
      <c r="F16" s="77" t="n">
        <f aca="false">C16*E16</f>
        <v>0</v>
      </c>
      <c r="G16" s="78"/>
      <c r="I16" s="63"/>
    </row>
    <row r="17" customFormat="false" ht="15.75" hidden="false" customHeight="false" outlineLevel="0" collapsed="false">
      <c r="A17" s="57"/>
      <c r="B17" s="57"/>
      <c r="C17" s="83" t="n">
        <f aca="false">B17/B$23*B$25</f>
        <v>0</v>
      </c>
      <c r="D17" s="57"/>
      <c r="E17" s="65"/>
      <c r="F17" s="77" t="n">
        <f aca="false">C17*E17</f>
        <v>0</v>
      </c>
      <c r="G17" s="78"/>
      <c r="I17" s="63"/>
    </row>
    <row r="18" customFormat="false" ht="15.75" hidden="false" customHeight="false" outlineLevel="0" collapsed="false">
      <c r="A18" s="57"/>
      <c r="B18" s="57"/>
      <c r="C18" s="83" t="n">
        <f aca="false">B18/B$23*B$25</f>
        <v>0</v>
      </c>
      <c r="D18" s="57"/>
      <c r="E18" s="65"/>
      <c r="F18" s="77" t="n">
        <f aca="false">C18*E18</f>
        <v>0</v>
      </c>
      <c r="G18" s="78"/>
      <c r="I18" s="63"/>
    </row>
    <row r="19" customFormat="false" ht="15.75" hidden="false" customHeight="false" outlineLevel="0" collapsed="false">
      <c r="A19" s="57"/>
      <c r="B19" s="57"/>
      <c r="C19" s="83" t="n">
        <f aca="false">B19/B$23*B$25</f>
        <v>0</v>
      </c>
      <c r="D19" s="57"/>
      <c r="E19" s="65"/>
      <c r="F19" s="77" t="n">
        <f aca="false">C19*E19</f>
        <v>0</v>
      </c>
      <c r="G19" s="78"/>
      <c r="I19" s="63"/>
    </row>
    <row r="20" customFormat="false" ht="15.75" hidden="false" customHeight="false" outlineLevel="0" collapsed="false">
      <c r="C20" s="66"/>
      <c r="F20" s="67" t="n">
        <f aca="false">SUM(F4:F19)</f>
        <v>115.539000400297</v>
      </c>
      <c r="G20" s="78"/>
      <c r="I20" s="63"/>
    </row>
    <row r="21" customFormat="false" ht="18.75" hidden="false" customHeight="true" outlineLevel="0" collapsed="false">
      <c r="A21" s="68" t="s">
        <v>2628</v>
      </c>
      <c r="B21" s="69" t="n">
        <f aca="false">F20/B25</f>
        <v>1.05035454909361</v>
      </c>
      <c r="C21" s="70"/>
      <c r="G21" s="78"/>
      <c r="I21" s="63"/>
    </row>
    <row r="22" customFormat="false" ht="15.75" hidden="false" customHeight="false" outlineLevel="0" collapsed="false">
      <c r="A22" s="71" t="s">
        <v>2629</v>
      </c>
      <c r="B22" s="71" t="n">
        <f aca="false">SUM(B4:B19)</f>
        <v>17.487</v>
      </c>
      <c r="C22" s="66"/>
      <c r="G22" s="78"/>
      <c r="I22" s="63"/>
    </row>
    <row r="23" customFormat="false" ht="15.75" hidden="false" customHeight="false" outlineLevel="0" collapsed="false">
      <c r="A23" s="0" t="s">
        <v>2630</v>
      </c>
      <c r="B23" s="72" t="n">
        <f aca="false">B22/B24</f>
        <v>69.948</v>
      </c>
      <c r="C23" s="66"/>
      <c r="G23" s="78"/>
      <c r="I23" s="63"/>
    </row>
    <row r="24" customFormat="false" ht="15.75" hidden="false" customHeight="false" outlineLevel="0" collapsed="false">
      <c r="A24" s="0" t="s">
        <v>2631</v>
      </c>
      <c r="B24" s="0" t="n">
        <v>0.25</v>
      </c>
      <c r="C24" s="79" t="s">
        <v>2632</v>
      </c>
      <c r="G24" s="78"/>
      <c r="I24" s="63"/>
    </row>
    <row r="25" customFormat="false" ht="18.75" hidden="false" customHeight="true" outlineLevel="0" collapsed="false">
      <c r="A25" s="74" t="s">
        <v>2633</v>
      </c>
      <c r="B25" s="74" t="n">
        <f aca="false">Paramètres!$B$5</f>
        <v>110</v>
      </c>
      <c r="C25" s="79" t="s">
        <v>2634</v>
      </c>
      <c r="G25" s="78"/>
      <c r="I25" s="63"/>
    </row>
    <row r="26" customFormat="false" ht="15.75" hidden="false" customHeight="false" outlineLevel="0" collapsed="false">
      <c r="I26" s="63"/>
    </row>
    <row r="28" customFormat="false" ht="15.75" hidden="false" customHeight="false" outlineLevel="0" collapsed="false">
      <c r="A28" s="0" t="s">
        <v>3115</v>
      </c>
      <c r="B28" s="0" t="n">
        <v>2.114</v>
      </c>
    </row>
    <row r="29" customFormat="false" ht="15.75" hidden="false" customHeight="false" outlineLevel="0" collapsed="false">
      <c r="A29" s="0" t="s">
        <v>3116</v>
      </c>
      <c r="B29" s="0" t="n">
        <v>2.092</v>
      </c>
    </row>
    <row r="30" customFormat="false" ht="15.75" hidden="false" customHeight="false" outlineLevel="0" collapsed="false">
      <c r="A30" s="0" t="s">
        <v>3117</v>
      </c>
      <c r="B30" s="0" t="n">
        <v>1.996</v>
      </c>
    </row>
    <row r="31" customFormat="false" ht="15.75" hidden="false" customHeight="false" outlineLevel="0" collapsed="false">
      <c r="B31" s="0" t="n">
        <f aca="false">B28-B30</f>
        <v>0.118</v>
      </c>
    </row>
    <row r="32" customFormat="false" ht="15.75" hidden="false" customHeight="false" outlineLevel="0" collapsed="false">
      <c r="B32" s="85" t="n">
        <f aca="false">B31/B28</f>
        <v>0.0558183538315988</v>
      </c>
    </row>
    <row r="34" customFormat="false" ht="15.75" hidden="false" customHeight="false" outlineLevel="0" collapsed="false">
      <c r="A34" s="0" t="s">
        <v>3118</v>
      </c>
      <c r="B34" s="0" t="n">
        <v>1.81</v>
      </c>
    </row>
    <row r="35" customFormat="false" ht="15.75" hidden="false" customHeight="false" outlineLevel="0" collapsed="false">
      <c r="A35" s="0" t="s">
        <v>3116</v>
      </c>
      <c r="B35" s="0" t="n">
        <v>2.092</v>
      </c>
    </row>
    <row r="36" customFormat="false" ht="15.75" hidden="false" customHeight="false" outlineLevel="0" collapsed="false">
      <c r="A36" s="0" t="s">
        <v>3117</v>
      </c>
      <c r="B36" s="0" t="n">
        <v>1.78</v>
      </c>
    </row>
    <row r="37" customFormat="false" ht="15.75" hidden="false" customHeight="false" outlineLevel="0" collapsed="false">
      <c r="B37" s="0" t="n">
        <f aca="false">B34-B36</f>
        <v>0.03</v>
      </c>
    </row>
    <row r="38" customFormat="false" ht="15.75" hidden="false" customHeight="false" outlineLevel="0" collapsed="false">
      <c r="B38" s="85" t="n">
        <f aca="false">B37/B34</f>
        <v>0.0165745856353591</v>
      </c>
    </row>
  </sheetData>
  <mergeCells count="5">
    <mergeCell ref="A1:D2"/>
    <mergeCell ref="E1:F1"/>
    <mergeCell ref="G1:G3"/>
    <mergeCell ref="E2:F2"/>
    <mergeCell ref="G4:G2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31.5"/>
    <col collapsed="false" customWidth="true" hidden="false" outlineLevel="0" max="7" min="7" style="0" width="48.84"/>
    <col collapsed="false" customWidth="true" hidden="false" outlineLevel="0" max="8" min="8" style="0" width="42"/>
  </cols>
  <sheetData>
    <row r="1" customFormat="false" ht="27" hidden="false" customHeight="true" outlineLevel="0" collapsed="false">
      <c r="A1" s="50" t="s">
        <v>3119</v>
      </c>
      <c r="B1" s="50"/>
      <c r="C1" s="50"/>
      <c r="D1" s="50"/>
      <c r="E1" s="51" t="s">
        <v>2619</v>
      </c>
      <c r="F1" s="51"/>
      <c r="G1" s="75" t="s">
        <v>3120</v>
      </c>
    </row>
    <row r="2" customFormat="false" ht="24.75" hidden="false" customHeight="true" outlineLevel="0" collapsed="false">
      <c r="A2" s="50"/>
      <c r="B2" s="50"/>
      <c r="C2" s="50"/>
      <c r="D2" s="50"/>
      <c r="E2" s="53" t="s">
        <v>2636</v>
      </c>
      <c r="F2" s="53"/>
      <c r="G2" s="75"/>
    </row>
    <row r="3" customFormat="false" ht="51.75" hidden="false" customHeight="true" outlineLevel="0" collapsed="false">
      <c r="A3" s="54" t="s">
        <v>2588</v>
      </c>
      <c r="B3" s="55" t="s">
        <v>2622</v>
      </c>
      <c r="C3" s="55" t="s">
        <v>2623</v>
      </c>
      <c r="D3" s="56" t="s">
        <v>2624</v>
      </c>
      <c r="E3" s="56" t="s">
        <v>2625</v>
      </c>
      <c r="F3" s="56" t="s">
        <v>2626</v>
      </c>
      <c r="G3" s="75"/>
    </row>
    <row r="4" customFormat="false" ht="18" hidden="false" customHeight="true" outlineLevel="0" collapsed="false">
      <c r="A4" s="76" t="s">
        <v>1794</v>
      </c>
      <c r="B4" s="57" t="n">
        <v>1.65</v>
      </c>
      <c r="C4" s="58" t="n">
        <f aca="false">B4/B$23*B$25</f>
        <v>2.59285714285714</v>
      </c>
      <c r="D4" s="57" t="s">
        <v>434</v>
      </c>
      <c r="E4" s="59" t="n">
        <f aca="false">IFERROR(INDEX(Correspondance!$D$2:$D$3000,MATCH(A4,Correspondance!$A$2:$A$3000,0)),0)</f>
        <v>3.2</v>
      </c>
      <c r="F4" s="77" t="n">
        <f aca="false">C4*E4</f>
        <v>8.29714285714286</v>
      </c>
      <c r="G4" s="78" t="s">
        <v>2885</v>
      </c>
    </row>
    <row r="5" customFormat="false" ht="15.75" hidden="false" customHeight="false" outlineLevel="0" collapsed="false">
      <c r="A5" s="57" t="s">
        <v>1919</v>
      </c>
      <c r="B5" s="57" t="n">
        <v>0.055</v>
      </c>
      <c r="C5" s="58" t="n">
        <f aca="false">B5/B$23*B$25</f>
        <v>0.0864285714285714</v>
      </c>
      <c r="D5" s="57" t="s">
        <v>434</v>
      </c>
      <c r="E5" s="59" t="n">
        <f aca="false">IFERROR(INDEX(Correspondance!$D$2:$D$3000,MATCH(A5,Correspondance!$A$2:$A$3000,0)),0)</f>
        <v>2</v>
      </c>
      <c r="F5" s="77" t="n">
        <f aca="false">C5*E5</f>
        <v>0.172857142857143</v>
      </c>
      <c r="G5" s="78"/>
      <c r="I5" s="62"/>
    </row>
    <row r="6" customFormat="false" ht="15.75" hidden="false" customHeight="false" outlineLevel="0" collapsed="false">
      <c r="A6" s="57" t="s">
        <v>1557</v>
      </c>
      <c r="B6" s="57" t="n">
        <v>0.165</v>
      </c>
      <c r="C6" s="58" t="n">
        <f aca="false">B6/B$23*B$25</f>
        <v>0.259285714285714</v>
      </c>
      <c r="D6" s="57" t="s">
        <v>434</v>
      </c>
      <c r="E6" s="59" t="n">
        <f aca="false">IFERROR(INDEX(Correspondance!$D$2:$D$3000,MATCH(A6,Correspondance!$A$2:$A$3000,0)),0)</f>
        <v>14</v>
      </c>
      <c r="F6" s="77" t="n">
        <f aca="false">C6*E6</f>
        <v>3.63</v>
      </c>
      <c r="G6" s="78"/>
      <c r="I6" s="63"/>
    </row>
    <row r="7" customFormat="false" ht="15.75" hidden="false" customHeight="false" outlineLevel="0" collapsed="false">
      <c r="A7" s="57" t="s">
        <v>1459</v>
      </c>
      <c r="B7" s="57" t="n">
        <v>4.95</v>
      </c>
      <c r="C7" s="58" t="n">
        <f aca="false">B7/B$23*B$25</f>
        <v>7.77857142857143</v>
      </c>
      <c r="D7" s="57" t="s">
        <v>434</v>
      </c>
      <c r="E7" s="59" t="n">
        <f aca="false">IFERROR(INDEX(Correspondance!$D$2:$D$3000,MATCH(A7,Correspondance!$A$2:$A$3000,0)),0)</f>
        <v>0</v>
      </c>
      <c r="F7" s="77" t="n">
        <f aca="false">C7*E7</f>
        <v>0</v>
      </c>
      <c r="G7" s="78"/>
      <c r="I7" s="63"/>
    </row>
    <row r="8" customFormat="false" ht="15.75" hidden="false" customHeight="false" outlineLevel="0" collapsed="false">
      <c r="A8" s="57"/>
      <c r="B8" s="57"/>
      <c r="C8" s="58" t="n">
        <f aca="false">B8/B$23*B$25</f>
        <v>0</v>
      </c>
      <c r="D8" s="57" t="s">
        <v>434</v>
      </c>
      <c r="E8" s="65"/>
      <c r="F8" s="77" t="n">
        <f aca="false">C8*E8</f>
        <v>0</v>
      </c>
      <c r="G8" s="78"/>
      <c r="I8" s="63"/>
    </row>
    <row r="9" customFormat="false" ht="15.75" hidden="false" customHeight="false" outlineLevel="0" collapsed="false">
      <c r="A9" s="57" t="s">
        <v>1702</v>
      </c>
      <c r="B9" s="57"/>
      <c r="C9" s="58" t="n">
        <f aca="false">B9/B$23*B$25</f>
        <v>0</v>
      </c>
      <c r="D9" s="57" t="s">
        <v>434</v>
      </c>
      <c r="E9" s="59" t="n">
        <f aca="false">IFERROR(INDEX(Correspondance!$D$2:$D$3000,MATCH(A9,Correspondance!$A$2:$A$3000,0)),0)</f>
        <v>16</v>
      </c>
      <c r="F9" s="77" t="n">
        <f aca="false">C9*E9</f>
        <v>0</v>
      </c>
      <c r="G9" s="78"/>
      <c r="I9" s="63"/>
    </row>
    <row r="10" customFormat="false" ht="15.75" hidden="false" customHeight="false" outlineLevel="0" collapsed="false">
      <c r="A10" s="57"/>
      <c r="B10" s="57"/>
      <c r="C10" s="58" t="n">
        <f aca="false">B10/B$23*B$25</f>
        <v>0</v>
      </c>
      <c r="D10" s="57" t="s">
        <v>434</v>
      </c>
      <c r="E10" s="65"/>
      <c r="F10" s="77" t="n">
        <f aca="false">C10*E10</f>
        <v>0</v>
      </c>
      <c r="G10" s="78"/>
      <c r="I10" s="63"/>
    </row>
    <row r="11" customFormat="false" ht="15.75" hidden="false" customHeight="false" outlineLevel="0" collapsed="false">
      <c r="A11" s="57" t="s">
        <v>1516</v>
      </c>
      <c r="B11" s="57" t="n">
        <v>1.1</v>
      </c>
      <c r="C11" s="58" t="n">
        <f aca="false">B11/B$23*B$25</f>
        <v>1.72857142857143</v>
      </c>
      <c r="D11" s="57" t="s">
        <v>434</v>
      </c>
      <c r="E11" s="59" t="n">
        <f aca="false">IFERROR(INDEX(Correspondance!$D$2:$D$3000,MATCH(A11,Correspondance!$A$2:$A$3000,0)),0)</f>
        <v>4</v>
      </c>
      <c r="F11" s="77" t="n">
        <f aca="false">C11*E11</f>
        <v>6.91428571428572</v>
      </c>
      <c r="G11" s="78"/>
      <c r="I11" s="63"/>
    </row>
    <row r="12" customFormat="false" ht="15.75" hidden="false" customHeight="false" outlineLevel="0" collapsed="false">
      <c r="A12" s="57" t="s">
        <v>1120</v>
      </c>
      <c r="B12" s="57" t="n">
        <v>0.198</v>
      </c>
      <c r="C12" s="58" t="n">
        <f aca="false">B12/B$23*B$25</f>
        <v>0.311142857142857</v>
      </c>
      <c r="D12" s="57" t="s">
        <v>434</v>
      </c>
      <c r="E12" s="59" t="n">
        <f aca="false">IFERROR(INDEX(Correspondance!$D$2:$D$3000,MATCH(A12,Correspondance!$A$2:$A$3000,0)),0)</f>
        <v>7.5</v>
      </c>
      <c r="F12" s="77" t="n">
        <f aca="false">C12*E12</f>
        <v>2.33357142857143</v>
      </c>
      <c r="G12" s="78"/>
      <c r="I12" s="63"/>
    </row>
    <row r="13" customFormat="false" ht="18.75" hidden="false" customHeight="true" outlineLevel="0" collapsed="false">
      <c r="A13" s="57"/>
      <c r="B13" s="64"/>
      <c r="C13" s="58" t="n">
        <f aca="false">B13/B$23*B$25</f>
        <v>0</v>
      </c>
      <c r="D13" s="57"/>
      <c r="E13" s="65"/>
      <c r="F13" s="77" t="n">
        <f aca="false">C13*E13</f>
        <v>0</v>
      </c>
      <c r="G13" s="78"/>
      <c r="I13" s="63"/>
    </row>
    <row r="14" customFormat="false" ht="18.75" hidden="false" customHeight="true" outlineLevel="0" collapsed="false">
      <c r="A14" s="57"/>
      <c r="B14" s="64"/>
      <c r="C14" s="58" t="n">
        <f aca="false">B14/B$23*B$25</f>
        <v>0</v>
      </c>
      <c r="D14" s="57"/>
      <c r="E14" s="65"/>
      <c r="F14" s="77" t="n">
        <f aca="false">C14*E14</f>
        <v>0</v>
      </c>
      <c r="G14" s="78"/>
      <c r="I14" s="63"/>
    </row>
    <row r="15" customFormat="false" ht="15.75" hidden="false" customHeight="false" outlineLevel="0" collapsed="false">
      <c r="A15" s="57"/>
      <c r="B15" s="57"/>
      <c r="C15" s="58" t="n">
        <f aca="false">B15/B$23*B$25</f>
        <v>0</v>
      </c>
      <c r="D15" s="57"/>
      <c r="E15" s="65"/>
      <c r="F15" s="77" t="n">
        <f aca="false">C15*E15</f>
        <v>0</v>
      </c>
      <c r="G15" s="78"/>
      <c r="I15" s="63"/>
    </row>
    <row r="16" customFormat="false" ht="15.75" hidden="false" customHeight="false" outlineLevel="0" collapsed="false">
      <c r="A16" s="57"/>
      <c r="B16" s="57"/>
      <c r="C16" s="58" t="n">
        <f aca="false">B16/B$23*B$25</f>
        <v>0</v>
      </c>
      <c r="D16" s="57"/>
      <c r="E16" s="65"/>
      <c r="F16" s="77" t="n">
        <f aca="false">C16*E16</f>
        <v>0</v>
      </c>
      <c r="G16" s="78"/>
      <c r="I16" s="63"/>
    </row>
    <row r="17" customFormat="false" ht="15.75" hidden="false" customHeight="false" outlineLevel="0" collapsed="false">
      <c r="A17" s="57"/>
      <c r="B17" s="57"/>
      <c r="C17" s="58" t="n">
        <f aca="false">B17/B$23*B$25</f>
        <v>0</v>
      </c>
      <c r="D17" s="57"/>
      <c r="E17" s="65"/>
      <c r="F17" s="77" t="n">
        <f aca="false">C17*E17</f>
        <v>0</v>
      </c>
      <c r="G17" s="78"/>
      <c r="I17" s="63"/>
    </row>
    <row r="18" customFormat="false" ht="15.75" hidden="false" customHeight="false" outlineLevel="0" collapsed="false">
      <c r="A18" s="57"/>
      <c r="B18" s="57"/>
      <c r="C18" s="58" t="n">
        <f aca="false">B18/B$23*B$25</f>
        <v>0</v>
      </c>
      <c r="D18" s="57"/>
      <c r="E18" s="65"/>
      <c r="F18" s="77" t="n">
        <f aca="false">C18*E18</f>
        <v>0</v>
      </c>
      <c r="G18" s="78"/>
      <c r="I18" s="63"/>
    </row>
    <row r="19" customFormat="false" ht="15.75" hidden="false" customHeight="false" outlineLevel="0" collapsed="false">
      <c r="A19" s="57"/>
      <c r="B19" s="57"/>
      <c r="C19" s="58" t="n">
        <f aca="false">B19/B$23*B$25</f>
        <v>0</v>
      </c>
      <c r="D19" s="57"/>
      <c r="E19" s="65"/>
      <c r="F19" s="77" t="n">
        <f aca="false">C19*E19</f>
        <v>0</v>
      </c>
      <c r="G19" s="78"/>
      <c r="I19" s="63"/>
    </row>
    <row r="20" customFormat="false" ht="15.75" hidden="false" customHeight="false" outlineLevel="0" collapsed="false">
      <c r="C20" s="66"/>
      <c r="F20" s="67" t="n">
        <f aca="false">SUM(F4:F19)</f>
        <v>21.3478571428571</v>
      </c>
      <c r="G20" s="78"/>
      <c r="I20" s="63"/>
    </row>
    <row r="21" customFormat="false" ht="18.75" hidden="false" customHeight="true" outlineLevel="0" collapsed="false">
      <c r="A21" s="68" t="s">
        <v>2628</v>
      </c>
      <c r="B21" s="69" t="n">
        <f aca="false">F20/B25</f>
        <v>0.194071428571429</v>
      </c>
      <c r="C21" s="70"/>
      <c r="G21" s="78"/>
      <c r="I21" s="63"/>
    </row>
    <row r="22" customFormat="false" ht="15.75" hidden="false" customHeight="false" outlineLevel="0" collapsed="false">
      <c r="A22" s="71" t="s">
        <v>2629</v>
      </c>
      <c r="B22" s="71" t="n">
        <v>7.7</v>
      </c>
      <c r="C22" s="66"/>
      <c r="G22" s="78"/>
      <c r="I22" s="63"/>
    </row>
    <row r="23" customFormat="false" ht="15.75" hidden="false" customHeight="false" outlineLevel="0" collapsed="false">
      <c r="A23" s="0" t="s">
        <v>2630</v>
      </c>
      <c r="B23" s="72" t="n">
        <f aca="false">B22/B24</f>
        <v>70</v>
      </c>
      <c r="C23" s="66"/>
      <c r="G23" s="78"/>
      <c r="I23" s="63"/>
    </row>
    <row r="24" customFormat="false" ht="15.75" hidden="false" customHeight="false" outlineLevel="0" collapsed="false">
      <c r="A24" s="0" t="s">
        <v>2631</v>
      </c>
      <c r="B24" s="0" t="n">
        <v>0.11</v>
      </c>
      <c r="C24" s="79" t="s">
        <v>2632</v>
      </c>
      <c r="G24" s="78"/>
      <c r="I24" s="63"/>
    </row>
    <row r="25" customFormat="false" ht="18.75" hidden="false" customHeight="true" outlineLevel="0" collapsed="false">
      <c r="A25" s="74" t="s">
        <v>2633</v>
      </c>
      <c r="B25" s="74" t="n">
        <f aca="false">Paramètres!$B$5</f>
        <v>110</v>
      </c>
      <c r="C25" s="79" t="s">
        <v>2634</v>
      </c>
      <c r="G25" s="78"/>
      <c r="I25" s="63"/>
    </row>
    <row r="26" customFormat="false" ht="15.75" hidden="false" customHeight="false" outlineLevel="0" collapsed="false">
      <c r="I26" s="63"/>
    </row>
  </sheetData>
  <mergeCells count="5">
    <mergeCell ref="A1:D2"/>
    <mergeCell ref="E1:F1"/>
    <mergeCell ref="G1:G3"/>
    <mergeCell ref="E2:F2"/>
    <mergeCell ref="G4:G2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2022-02-01T08:33:00Z</dcterms:created>
  <dc:creator>Microsoft Office User</dc:creator>
  <dc:description/>
  <dc:language>en-US</dc:language>
  <cp:lastModifiedBy>Franck BERGE</cp:lastModifiedBy>
  <cp:lastPrinted>2024-12-10T12:25:24Z</cp:lastPrinted>
  <dcterms:modified xsi:type="dcterms:W3CDTF">2026-10-15T13:02:22Z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