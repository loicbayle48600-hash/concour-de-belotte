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fbce/Documents/Cuisson Expertise/2-Commercial/Contrats/1-EN COURS/AET GRANDRIEU/Doc Tech/"/>
    </mc:Choice>
  </mc:AlternateContent>
  <xr:revisionPtr revIDLastSave="0" documentId="13_ncr:1_{25A417F6-3ED9-854A-940A-5C6955884567}" xr6:coauthVersionLast="47" xr6:coauthVersionMax="47" xr10:uidLastSave="{00000000-0000-0000-0000-000000000000}"/>
  <bookViews>
    <workbookView xWindow="0" yWindow="600" windowWidth="34560" windowHeight="19580" xr2:uid="{E856826E-BE97-3A4D-97AD-C3D58FF9B24F}"/>
  </bookViews>
  <sheets>
    <sheet name="Bourguignon" sheetId="1" r:id="rId1"/>
    <sheet name="Blanquette-Veau" sheetId="14" r:id="rId2"/>
    <sheet name="Joue de boeuf" sheetId="4" r:id="rId3"/>
    <sheet name="Pot au feu" sheetId="5" r:id="rId4"/>
    <sheet name="Haricots rouges" sheetId="6" r:id="rId5"/>
    <sheet name="Chili-CHR-Viande" sheetId="15" r:id="rId6"/>
    <sheet name="Chili-viande à part" sheetId="16" r:id="rId7"/>
    <sheet name="Haricots blancs" sheetId="8" r:id="rId8"/>
    <sheet name="COCO-Catalans" sheetId="13" r:id="rId9"/>
    <sheet name="Lentilles" sheetId="9" r:id="rId10"/>
    <sheet name="Lentilles vinaig nuit" sheetId="17" r:id="rId11"/>
    <sheet name="Pois Chiches" sheetId="7" r:id="rId12"/>
    <sheet name="Ratatouille" sheetId="3" r:id="rId13"/>
    <sheet name="Sauté Veau" sheetId="10" r:id="rId14"/>
    <sheet name="Echine de porc" sheetId="11" r:id="rId15"/>
  </sheets>
  <definedNames>
    <definedName name="_xlnm.Print_Area" localSheetId="0">Bourguignon!$A$1:$G$26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7" l="1"/>
  <c r="B22" i="9"/>
  <c r="B22" i="13"/>
  <c r="B23" i="13" s="1"/>
  <c r="C10" i="13" s="1"/>
  <c r="F10" i="13" s="1"/>
  <c r="B21" i="8"/>
  <c r="B22" i="16"/>
  <c r="B22" i="15"/>
  <c r="B22" i="6"/>
  <c r="B23" i="11"/>
  <c r="C19" i="11"/>
  <c r="F19" i="11" s="1"/>
  <c r="C18" i="11"/>
  <c r="F18" i="11" s="1"/>
  <c r="C17" i="11"/>
  <c r="F17" i="11" s="1"/>
  <c r="C16" i="11"/>
  <c r="F16" i="11" s="1"/>
  <c r="F15" i="11"/>
  <c r="C15" i="11"/>
  <c r="C14" i="11"/>
  <c r="F14" i="11" s="1"/>
  <c r="C13" i="11"/>
  <c r="F13" i="11" s="1"/>
  <c r="C12" i="11"/>
  <c r="F12" i="11" s="1"/>
  <c r="C11" i="11"/>
  <c r="F11" i="11" s="1"/>
  <c r="C10" i="11"/>
  <c r="F10" i="11" s="1"/>
  <c r="F9" i="11"/>
  <c r="C9" i="11"/>
  <c r="C8" i="11"/>
  <c r="F8" i="11" s="1"/>
  <c r="C7" i="11"/>
  <c r="F7" i="11" s="1"/>
  <c r="C6" i="11"/>
  <c r="F6" i="11" s="1"/>
  <c r="C5" i="11"/>
  <c r="F5" i="11" s="1"/>
  <c r="C4" i="11"/>
  <c r="F4" i="11" s="1"/>
  <c r="B23" i="17"/>
  <c r="C7" i="17" s="1"/>
  <c r="F7" i="17" s="1"/>
  <c r="B23" i="16"/>
  <c r="C14" i="16" s="1"/>
  <c r="F14" i="16" s="1"/>
  <c r="C18" i="16"/>
  <c r="F18" i="16" s="1"/>
  <c r="C17" i="16"/>
  <c r="F17" i="16" s="1"/>
  <c r="C16" i="16"/>
  <c r="F16" i="16" s="1"/>
  <c r="C15" i="16"/>
  <c r="F15" i="16" s="1"/>
  <c r="C7" i="16"/>
  <c r="F7" i="16" s="1"/>
  <c r="C6" i="16"/>
  <c r="F6" i="16" s="1"/>
  <c r="C5" i="16"/>
  <c r="F5" i="16" s="1"/>
  <c r="C4" i="16"/>
  <c r="F4" i="16" s="1"/>
  <c r="B23" i="15"/>
  <c r="C19" i="15" s="1"/>
  <c r="F19" i="15" s="1"/>
  <c r="C10" i="15"/>
  <c r="F10" i="15" s="1"/>
  <c r="C7" i="15"/>
  <c r="F7" i="15" s="1"/>
  <c r="B37" i="13"/>
  <c r="B38" i="13" s="1"/>
  <c r="B32" i="13"/>
  <c r="B31" i="13"/>
  <c r="B23" i="14"/>
  <c r="C16" i="14" s="1"/>
  <c r="F16" i="14" s="1"/>
  <c r="C10" i="17" l="1"/>
  <c r="F10" i="17" s="1"/>
  <c r="C15" i="17"/>
  <c r="F15" i="17" s="1"/>
  <c r="C16" i="17"/>
  <c r="F16" i="17" s="1"/>
  <c r="C17" i="17"/>
  <c r="F17" i="17" s="1"/>
  <c r="C5" i="17"/>
  <c r="F5" i="17" s="1"/>
  <c r="C19" i="17"/>
  <c r="F19" i="17" s="1"/>
  <c r="C9" i="17"/>
  <c r="F9" i="17" s="1"/>
  <c r="C12" i="17"/>
  <c r="F12" i="17" s="1"/>
  <c r="C4" i="17"/>
  <c r="F4" i="17" s="1"/>
  <c r="C8" i="17"/>
  <c r="F8" i="17" s="1"/>
  <c r="C11" i="17"/>
  <c r="F11" i="17" s="1"/>
  <c r="C13" i="17"/>
  <c r="F13" i="17" s="1"/>
  <c r="C14" i="17"/>
  <c r="F14" i="17" s="1"/>
  <c r="C18" i="17"/>
  <c r="F18" i="17" s="1"/>
  <c r="C6" i="17"/>
  <c r="F6" i="17" s="1"/>
  <c r="F20" i="17" s="1"/>
  <c r="B21" i="17" s="1"/>
  <c r="C9" i="16"/>
  <c r="F9" i="16" s="1"/>
  <c r="C19" i="16"/>
  <c r="F19" i="16" s="1"/>
  <c r="C8" i="16"/>
  <c r="F8" i="16" s="1"/>
  <c r="C12" i="16"/>
  <c r="F12" i="16" s="1"/>
  <c r="C13" i="16"/>
  <c r="F13" i="16" s="1"/>
  <c r="C10" i="16"/>
  <c r="F10" i="16" s="1"/>
  <c r="C11" i="16"/>
  <c r="F11" i="16" s="1"/>
  <c r="C15" i="15"/>
  <c r="F15" i="15" s="1"/>
  <c r="C17" i="15"/>
  <c r="F17" i="15" s="1"/>
  <c r="C11" i="15"/>
  <c r="F11" i="15" s="1"/>
  <c r="C6" i="15"/>
  <c r="F6" i="15" s="1"/>
  <c r="C14" i="15"/>
  <c r="F14" i="15" s="1"/>
  <c r="F20" i="11"/>
  <c r="B21" i="11" s="1"/>
  <c r="F20" i="16"/>
  <c r="B21" i="16" s="1"/>
  <c r="C4" i="15"/>
  <c r="F4" i="15" s="1"/>
  <c r="C8" i="15"/>
  <c r="F8" i="15" s="1"/>
  <c r="C12" i="15"/>
  <c r="F12" i="15" s="1"/>
  <c r="C18" i="15"/>
  <c r="F18" i="15" s="1"/>
  <c r="C5" i="15"/>
  <c r="F5" i="15" s="1"/>
  <c r="C9" i="15"/>
  <c r="F9" i="15" s="1"/>
  <c r="C13" i="15"/>
  <c r="F13" i="15" s="1"/>
  <c r="C16" i="15"/>
  <c r="F16" i="15" s="1"/>
  <c r="C7" i="14"/>
  <c r="F7" i="14" s="1"/>
  <c r="C11" i="14"/>
  <c r="F11" i="14" s="1"/>
  <c r="C15" i="14"/>
  <c r="F15" i="14" s="1"/>
  <c r="C4" i="14"/>
  <c r="F4" i="14" s="1"/>
  <c r="C10" i="14"/>
  <c r="F10" i="14" s="1"/>
  <c r="C14" i="14"/>
  <c r="F14" i="14" s="1"/>
  <c r="C18" i="14"/>
  <c r="F18" i="14" s="1"/>
  <c r="C5" i="14"/>
  <c r="F5" i="14" s="1"/>
  <c r="C9" i="14"/>
  <c r="F9" i="14" s="1"/>
  <c r="C13" i="14"/>
  <c r="F13" i="14" s="1"/>
  <c r="C17" i="14"/>
  <c r="F17" i="14" s="1"/>
  <c r="C19" i="14"/>
  <c r="F19" i="14" s="1"/>
  <c r="C6" i="14"/>
  <c r="F6" i="14" s="1"/>
  <c r="C8" i="14"/>
  <c r="F8" i="14" s="1"/>
  <c r="C12" i="14"/>
  <c r="F12" i="14" s="1"/>
  <c r="C7" i="13"/>
  <c r="F7" i="13" s="1"/>
  <c r="C16" i="13"/>
  <c r="F16" i="13" s="1"/>
  <c r="C4" i="13"/>
  <c r="F4" i="13" s="1"/>
  <c r="C8" i="13"/>
  <c r="F8" i="13" s="1"/>
  <c r="C13" i="13"/>
  <c r="F13" i="13" s="1"/>
  <c r="C17" i="13"/>
  <c r="F17" i="13" s="1"/>
  <c r="C12" i="13"/>
  <c r="F12" i="13" s="1"/>
  <c r="C5" i="13"/>
  <c r="F5" i="13" s="1"/>
  <c r="C9" i="13"/>
  <c r="F9" i="13" s="1"/>
  <c r="C14" i="13"/>
  <c r="F14" i="13" s="1"/>
  <c r="C18" i="13"/>
  <c r="F18" i="13" s="1"/>
  <c r="C11" i="13"/>
  <c r="F11" i="13" s="1"/>
  <c r="C6" i="13"/>
  <c r="F6" i="13" s="1"/>
  <c r="C15" i="13"/>
  <c r="F15" i="13" s="1"/>
  <c r="C19" i="13"/>
  <c r="F19" i="13" s="1"/>
  <c r="F20" i="15" l="1"/>
  <c r="B21" i="15" s="1"/>
  <c r="F20" i="14"/>
  <c r="B21" i="14" s="1"/>
  <c r="F20" i="13"/>
  <c r="B21" i="13" s="1"/>
  <c r="B23" i="10" l="1"/>
  <c r="C6" i="10" s="1"/>
  <c r="F6" i="10" s="1"/>
  <c r="B23" i="9"/>
  <c r="C18" i="9" s="1"/>
  <c r="F18" i="9" s="1"/>
  <c r="C16" i="9"/>
  <c r="F16" i="9" s="1"/>
  <c r="C15" i="9"/>
  <c r="F15" i="9" s="1"/>
  <c r="C14" i="9"/>
  <c r="F14" i="9" s="1"/>
  <c r="C13" i="9"/>
  <c r="F13" i="9" s="1"/>
  <c r="C12" i="9"/>
  <c r="F12" i="9" s="1"/>
  <c r="C11" i="9"/>
  <c r="F11" i="9" s="1"/>
  <c r="C10" i="9"/>
  <c r="F10" i="9" s="1"/>
  <c r="C9" i="9"/>
  <c r="F9" i="9" s="1"/>
  <c r="C8" i="9"/>
  <c r="F8" i="9" s="1"/>
  <c r="C7" i="9"/>
  <c r="F7" i="9" s="1"/>
  <c r="C6" i="9"/>
  <c r="F6" i="9" s="1"/>
  <c r="C5" i="9"/>
  <c r="F5" i="9" s="1"/>
  <c r="C4" i="9"/>
  <c r="F4" i="9" s="1"/>
  <c r="B22" i="8"/>
  <c r="C15" i="8" s="1"/>
  <c r="F15" i="8" s="1"/>
  <c r="B23" i="7"/>
  <c r="F19" i="7"/>
  <c r="C19" i="7"/>
  <c r="C18" i="7"/>
  <c r="F18" i="7" s="1"/>
  <c r="F17" i="7"/>
  <c r="C17" i="7"/>
  <c r="C16" i="7"/>
  <c r="F16" i="7" s="1"/>
  <c r="F15" i="7"/>
  <c r="C15" i="7"/>
  <c r="C14" i="7"/>
  <c r="F14" i="7" s="1"/>
  <c r="F13" i="7"/>
  <c r="C13" i="7"/>
  <c r="C12" i="7"/>
  <c r="F12" i="7" s="1"/>
  <c r="F11" i="7"/>
  <c r="C11" i="7"/>
  <c r="C10" i="7"/>
  <c r="F10" i="7" s="1"/>
  <c r="F9" i="7"/>
  <c r="C9" i="7"/>
  <c r="C8" i="7"/>
  <c r="F8" i="7" s="1"/>
  <c r="F7" i="7"/>
  <c r="C7" i="7"/>
  <c r="C6" i="7"/>
  <c r="F6" i="7" s="1"/>
  <c r="F5" i="7"/>
  <c r="C5" i="7"/>
  <c r="C4" i="7"/>
  <c r="F4" i="7" s="1"/>
  <c r="B23" i="6"/>
  <c r="C18" i="6" s="1"/>
  <c r="F18" i="6" s="1"/>
  <c r="C19" i="9" l="1"/>
  <c r="F19" i="9" s="1"/>
  <c r="C17" i="9"/>
  <c r="F17" i="9" s="1"/>
  <c r="C5" i="8"/>
  <c r="F5" i="8" s="1"/>
  <c r="C5" i="10"/>
  <c r="F5" i="10" s="1"/>
  <c r="C17" i="10"/>
  <c r="F17" i="10" s="1"/>
  <c r="C4" i="10"/>
  <c r="F4" i="10" s="1"/>
  <c r="C8" i="10"/>
  <c r="F8" i="10" s="1"/>
  <c r="C10" i="10"/>
  <c r="F10" i="10" s="1"/>
  <c r="C12" i="10"/>
  <c r="F12" i="10" s="1"/>
  <c r="C14" i="10"/>
  <c r="F14" i="10" s="1"/>
  <c r="C16" i="10"/>
  <c r="F16" i="10" s="1"/>
  <c r="C18" i="10"/>
  <c r="F18" i="10" s="1"/>
  <c r="C7" i="10"/>
  <c r="F7" i="10" s="1"/>
  <c r="C9" i="10"/>
  <c r="F9" i="10" s="1"/>
  <c r="C11" i="10"/>
  <c r="F11" i="10" s="1"/>
  <c r="C13" i="10"/>
  <c r="F13" i="10" s="1"/>
  <c r="C15" i="10"/>
  <c r="F15" i="10" s="1"/>
  <c r="C19" i="10"/>
  <c r="F19" i="10" s="1"/>
  <c r="C9" i="8"/>
  <c r="F9" i="8" s="1"/>
  <c r="C14" i="8"/>
  <c r="F14" i="8" s="1"/>
  <c r="C13" i="8"/>
  <c r="F13" i="8" s="1"/>
  <c r="C17" i="8"/>
  <c r="F17" i="8" s="1"/>
  <c r="C7" i="8"/>
  <c r="F7" i="8" s="1"/>
  <c r="C10" i="8"/>
  <c r="F10" i="8" s="1"/>
  <c r="C12" i="8"/>
  <c r="F12" i="8" s="1"/>
  <c r="C16" i="8"/>
  <c r="F16" i="8" s="1"/>
  <c r="C18" i="8"/>
  <c r="F18" i="8" s="1"/>
  <c r="C4" i="8"/>
  <c r="F4" i="8" s="1"/>
  <c r="C6" i="8"/>
  <c r="F6" i="8" s="1"/>
  <c r="C8" i="8"/>
  <c r="F8" i="8" s="1"/>
  <c r="C11" i="8"/>
  <c r="F11" i="8" s="1"/>
  <c r="F20" i="7"/>
  <c r="B21" i="7" s="1"/>
  <c r="C5" i="6"/>
  <c r="F5" i="6" s="1"/>
  <c r="C7" i="6"/>
  <c r="F7" i="6" s="1"/>
  <c r="C9" i="6"/>
  <c r="F9" i="6" s="1"/>
  <c r="C11" i="6"/>
  <c r="F11" i="6" s="1"/>
  <c r="C13" i="6"/>
  <c r="F13" i="6" s="1"/>
  <c r="C15" i="6"/>
  <c r="F15" i="6" s="1"/>
  <c r="C17" i="6"/>
  <c r="F17" i="6" s="1"/>
  <c r="C19" i="6"/>
  <c r="F19" i="6" s="1"/>
  <c r="C4" i="6"/>
  <c r="F4" i="6" s="1"/>
  <c r="C6" i="6"/>
  <c r="F6" i="6" s="1"/>
  <c r="C8" i="6"/>
  <c r="F8" i="6" s="1"/>
  <c r="C10" i="6"/>
  <c r="F10" i="6" s="1"/>
  <c r="C12" i="6"/>
  <c r="F12" i="6" s="1"/>
  <c r="C14" i="6"/>
  <c r="F14" i="6" s="1"/>
  <c r="C16" i="6"/>
  <c r="F16" i="6" s="1"/>
  <c r="F20" i="9" l="1"/>
  <c r="B21" i="9" s="1"/>
  <c r="F20" i="10"/>
  <c r="B21" i="10" s="1"/>
  <c r="F19" i="8"/>
  <c r="B20" i="8" s="1"/>
  <c r="F20" i="6"/>
  <c r="B21" i="6" s="1"/>
  <c r="B23" i="5" l="1"/>
  <c r="C10" i="5" s="1"/>
  <c r="F10" i="5" s="1"/>
  <c r="C19" i="5"/>
  <c r="F19" i="5" s="1"/>
  <c r="C18" i="5"/>
  <c r="F18" i="5" s="1"/>
  <c r="C17" i="5"/>
  <c r="F17" i="5" s="1"/>
  <c r="C16" i="5"/>
  <c r="F16" i="5" s="1"/>
  <c r="C15" i="5"/>
  <c r="F15" i="5" s="1"/>
  <c r="C14" i="5"/>
  <c r="F14" i="5" s="1"/>
  <c r="C13" i="5"/>
  <c r="F13" i="5" s="1"/>
  <c r="C12" i="5"/>
  <c r="F12" i="5" s="1"/>
  <c r="C11" i="5"/>
  <c r="F11" i="5" s="1"/>
  <c r="C9" i="5"/>
  <c r="F9" i="5" s="1"/>
  <c r="C8" i="5"/>
  <c r="F8" i="5" s="1"/>
  <c r="C7" i="5"/>
  <c r="F7" i="5" s="1"/>
  <c r="C6" i="5"/>
  <c r="F6" i="5" s="1"/>
  <c r="C5" i="5"/>
  <c r="F5" i="5" s="1"/>
  <c r="C4" i="5"/>
  <c r="F4" i="5" s="1"/>
  <c r="B22" i="3"/>
  <c r="B23" i="3" s="1"/>
  <c r="B23" i="4"/>
  <c r="C18" i="4" s="1"/>
  <c r="F18" i="4" s="1"/>
  <c r="B24" i="1"/>
  <c r="C9" i="1" l="1"/>
  <c r="F9" i="1" s="1"/>
  <c r="C6" i="1"/>
  <c r="C10" i="4"/>
  <c r="F10" i="4" s="1"/>
  <c r="C4" i="4"/>
  <c r="F4" i="4" s="1"/>
  <c r="C11" i="4"/>
  <c r="F11" i="4" s="1"/>
  <c r="C15" i="4"/>
  <c r="F15" i="4" s="1"/>
  <c r="C5" i="4"/>
  <c r="F5" i="4" s="1"/>
  <c r="C8" i="4"/>
  <c r="F8" i="4" s="1"/>
  <c r="C12" i="4"/>
  <c r="F12" i="4" s="1"/>
  <c r="C6" i="4"/>
  <c r="F6" i="4" s="1"/>
  <c r="C9" i="4"/>
  <c r="F9" i="4" s="1"/>
  <c r="C13" i="4"/>
  <c r="F13" i="4" s="1"/>
  <c r="C16" i="4"/>
  <c r="F16" i="4" s="1"/>
  <c r="C19" i="4"/>
  <c r="F19" i="4" s="1"/>
  <c r="C17" i="4"/>
  <c r="F17" i="4" s="1"/>
  <c r="C7" i="4"/>
  <c r="F7" i="4" s="1"/>
  <c r="C14" i="4"/>
  <c r="F14" i="4" s="1"/>
  <c r="F20" i="5"/>
  <c r="B21" i="5" s="1"/>
  <c r="C18" i="3"/>
  <c r="F18" i="3" s="1"/>
  <c r="C17" i="3"/>
  <c r="F17" i="3" s="1"/>
  <c r="C9" i="3"/>
  <c r="F9" i="3" s="1"/>
  <c r="C15" i="3"/>
  <c r="F15" i="3" s="1"/>
  <c r="C7" i="3"/>
  <c r="F7" i="3" s="1"/>
  <c r="C19" i="3"/>
  <c r="F19" i="3" s="1"/>
  <c r="C13" i="3"/>
  <c r="F13" i="3" s="1"/>
  <c r="C5" i="3"/>
  <c r="F5" i="3" s="1"/>
  <c r="C11" i="3"/>
  <c r="F11" i="3" s="1"/>
  <c r="C4" i="3"/>
  <c r="F4" i="3" s="1"/>
  <c r="C6" i="3"/>
  <c r="F6" i="3" s="1"/>
  <c r="C8" i="3"/>
  <c r="F8" i="3" s="1"/>
  <c r="C10" i="3"/>
  <c r="F10" i="3" s="1"/>
  <c r="C12" i="3"/>
  <c r="F12" i="3" s="1"/>
  <c r="C14" i="3"/>
  <c r="F14" i="3" s="1"/>
  <c r="C16" i="3"/>
  <c r="F16" i="3" s="1"/>
  <c r="C4" i="1"/>
  <c r="F4" i="1" s="1"/>
  <c r="C7" i="1"/>
  <c r="F7" i="1" s="1"/>
  <c r="C11" i="1"/>
  <c r="F11" i="1" s="1"/>
  <c r="C13" i="1"/>
  <c r="F13" i="1" s="1"/>
  <c r="C15" i="1"/>
  <c r="F15" i="1" s="1"/>
  <c r="C17" i="1"/>
  <c r="F17" i="1" s="1"/>
  <c r="C19" i="1"/>
  <c r="F19" i="1" s="1"/>
  <c r="C5" i="1"/>
  <c r="F5" i="1" s="1"/>
  <c r="C8" i="1"/>
  <c r="F8" i="1" s="1"/>
  <c r="C10" i="1"/>
  <c r="F10" i="1" s="1"/>
  <c r="C12" i="1"/>
  <c r="F12" i="1" s="1"/>
  <c r="C14" i="1"/>
  <c r="F14" i="1" s="1"/>
  <c r="C16" i="1"/>
  <c r="F16" i="1" s="1"/>
  <c r="C18" i="1"/>
  <c r="F18" i="1" s="1"/>
  <c r="C20" i="1"/>
  <c r="F20" i="1" s="1"/>
  <c r="F20" i="4" l="1"/>
  <c r="B21" i="4" s="1"/>
  <c r="F20" i="3"/>
  <c r="B21" i="3" s="1"/>
  <c r="F21" i="1"/>
  <c r="B22" i="1" s="1"/>
</calcChain>
</file>

<file path=xl/sharedStrings.xml><?xml version="1.0" encoding="utf-8"?>
<sst xmlns="http://schemas.openxmlformats.org/spreadsheetml/2006/main" count="552" uniqueCount="140">
  <si>
    <t>Produits</t>
  </si>
  <si>
    <t>Qté recette base</t>
  </si>
  <si>
    <t>Qté production</t>
  </si>
  <si>
    <t>U</t>
  </si>
  <si>
    <t>PU</t>
  </si>
  <si>
    <t>Total €</t>
  </si>
  <si>
    <t>Kg</t>
  </si>
  <si>
    <t>Vin rouge</t>
  </si>
  <si>
    <t>L</t>
  </si>
  <si>
    <t>Concentré de tomates</t>
  </si>
  <si>
    <t>Sel</t>
  </si>
  <si>
    <t>Poivre</t>
  </si>
  <si>
    <t>Prix unitaire portion</t>
  </si>
  <si>
    <t>Poids total ou ingrédient principal</t>
  </si>
  <si>
    <t>Nombre portions recette base</t>
  </si>
  <si>
    <t>Poids net portions</t>
  </si>
  <si>
    <t>Nombre portions à produire</t>
  </si>
  <si>
    <t xml:space="preserve">Bourguignon cuisson de nuit </t>
  </si>
  <si>
    <t>Oignons cubes surgelés</t>
  </si>
  <si>
    <t>Carottes rondelles surgelées</t>
  </si>
  <si>
    <t>Fécule de pomme de terre</t>
  </si>
  <si>
    <t>Ail</t>
  </si>
  <si>
    <t>Huile cuisson</t>
  </si>
  <si>
    <t>Laurier, thym, baies de genièvre PM</t>
  </si>
  <si>
    <t>VP Théorique minimum</t>
  </si>
  <si>
    <t>&gt; à 10 000</t>
  </si>
  <si>
    <t>Aubergines</t>
  </si>
  <si>
    <t>Poivrons rouges et verts</t>
  </si>
  <si>
    <t>Tomates</t>
  </si>
  <si>
    <t>Oignons</t>
  </si>
  <si>
    <t>Huile d'olive</t>
  </si>
  <si>
    <t>Piment d'espelette</t>
  </si>
  <si>
    <t>Herbes de provence PM</t>
  </si>
  <si>
    <t>Colombo</t>
  </si>
  <si>
    <t>taouille</t>
  </si>
  <si>
    <t>Ratatouille de nuit</t>
  </si>
  <si>
    <t>joue de bœuf découpée</t>
  </si>
  <si>
    <t>Oignons cubes</t>
  </si>
  <si>
    <t xml:space="preserve">Joue de bœuf aubergine et chorizo 
cuisson de nuit </t>
  </si>
  <si>
    <t>Chorizo</t>
  </si>
  <si>
    <t>Fenouil</t>
  </si>
  <si>
    <t>Fécule</t>
  </si>
  <si>
    <t xml:space="preserve">Vin Blanc </t>
  </si>
  <si>
    <r>
      <t xml:space="preserve">Mode opératoire :
</t>
    </r>
    <r>
      <rPr>
        <sz val="12"/>
        <color theme="1"/>
        <rFont val="Calibri"/>
        <family val="2"/>
        <scheme val="minor"/>
      </rPr>
      <t>Peser tous les ingrédients d'épicerie
Faire revenir le sauté avec les oignons à feu vif pour obtenir une belle coloration sans ébullition
Déglacer auvin blanc et laisser réduire
Ajouter aubergines, fenouil ail et tous les ingrédients d'épicerie
Le mélange doit devenir un peu épais
Répartir dans les bacs, ajouter un couvercle sans</t>
    </r>
    <r>
      <rPr>
        <b/>
        <u/>
        <sz val="12"/>
        <color theme="1"/>
        <rFont val="Calibri (Corps)"/>
      </rPr>
      <t xml:space="preserve"> trou.
</t>
    </r>
    <r>
      <rPr>
        <sz val="12"/>
        <color theme="1"/>
        <rFont val="Calibri (Corps)"/>
      </rPr>
      <t xml:space="preserve">Cuisson vapeur 83°C pendant 14H00 à 18H00
</t>
    </r>
    <r>
      <rPr>
        <sz val="12"/>
        <color theme="1"/>
        <rFont val="Calibri"/>
        <family val="2"/>
        <scheme val="minor"/>
      </rPr>
      <t xml:space="preserve">
 </t>
    </r>
    <r>
      <rPr>
        <b/>
        <sz val="12"/>
        <color theme="1"/>
        <rFont val="Calibri"/>
        <family val="2"/>
        <scheme val="minor"/>
      </rPr>
      <t xml:space="preserve">
</t>
    </r>
  </si>
  <si>
    <t>Programme joue de bœuf cuisson de nuit CHV
Bac gastro avec couvercles</t>
  </si>
  <si>
    <t>Courgettes</t>
  </si>
  <si>
    <t>Piment d'Espelette</t>
  </si>
  <si>
    <t>Fécule pomme de terre</t>
  </si>
  <si>
    <r>
      <t xml:space="preserve">Mode opératoire :
</t>
    </r>
    <r>
      <rPr>
        <sz val="12"/>
        <color theme="1"/>
        <rFont val="Calibri"/>
        <family val="2"/>
        <scheme val="minor"/>
      </rPr>
      <t>Peser tous les ingrédients d'épicerie
Laver tailler les légumes et les dispôser dans un bac por assaisonnement
Ajouter tous les ingrédients et mélanger
Répartir dans les bacs cuisson  ajouter un couvercle sans</t>
    </r>
    <r>
      <rPr>
        <b/>
        <u/>
        <sz val="12"/>
        <color theme="1"/>
        <rFont val="Calibri (Corps)"/>
      </rPr>
      <t xml:space="preserve"> trou.
</t>
    </r>
    <r>
      <rPr>
        <sz val="12"/>
        <color theme="1"/>
        <rFont val="Calibri (Corps)"/>
      </rPr>
      <t>Cuisson vapeur 83°C pendant 14H00 à 18H00</t>
    </r>
    <r>
      <rPr>
        <sz val="12"/>
        <color theme="1"/>
        <rFont val="Calibri"/>
        <family val="2"/>
        <scheme val="minor"/>
      </rPr>
      <t xml:space="preserve">
 </t>
    </r>
    <r>
      <rPr>
        <b/>
        <sz val="12"/>
        <color theme="1"/>
        <rFont val="Calibri"/>
        <family val="2"/>
        <scheme val="minor"/>
      </rPr>
      <t xml:space="preserve">
</t>
    </r>
  </si>
  <si>
    <t>Programme ratatouille cuisson de nuit
Bac gastro avec couvercles</t>
  </si>
  <si>
    <t xml:space="preserve">Pot au feu
cuisson de nuit </t>
  </si>
  <si>
    <t>Pièces de bœuf à braiser</t>
  </si>
  <si>
    <t>Vin blanc</t>
  </si>
  <si>
    <t>PDT</t>
  </si>
  <si>
    <t>Potimarron</t>
  </si>
  <si>
    <t>Poireaux</t>
  </si>
  <si>
    <t>Panais ou carottes</t>
  </si>
  <si>
    <r>
      <t xml:space="preserve">Mode opératoire :
</t>
    </r>
    <r>
      <rPr>
        <sz val="12"/>
        <color theme="1"/>
        <rFont val="Calibri"/>
        <family val="2"/>
        <scheme val="minor"/>
      </rPr>
      <t>Peser tous les ingrédients d'épicerie
Laver et tailler les légumes
Répartir tous les ingrédients dans des bacs
Verser le vin blanc et mouiller à hauteur avec de l'eau froide et saler
Répartir dans les bacs, ajouter un couvercle sans</t>
    </r>
    <r>
      <rPr>
        <b/>
        <u/>
        <sz val="12"/>
        <color theme="1"/>
        <rFont val="Calibri (Corps)"/>
      </rPr>
      <t xml:space="preserve"> trou.
</t>
    </r>
    <r>
      <rPr>
        <sz val="12"/>
        <color theme="1"/>
        <rFont val="Calibri (Corps)"/>
      </rPr>
      <t xml:space="preserve">Possibilité de cuire en sauteuse à la même température. Penser également à mouiller à hauteur.
Cuisson vapeur 85°C pendant 14H00 à 18H00
</t>
    </r>
    <r>
      <rPr>
        <sz val="12"/>
        <color theme="1"/>
        <rFont val="Calibri"/>
        <family val="2"/>
        <scheme val="minor"/>
      </rPr>
      <t xml:space="preserve">
 </t>
    </r>
    <r>
      <rPr>
        <b/>
        <sz val="12"/>
        <color theme="1"/>
        <rFont val="Calibri"/>
        <family val="2"/>
        <scheme val="minor"/>
      </rPr>
      <t xml:space="preserve">
</t>
    </r>
  </si>
  <si>
    <t>Haricots rouges</t>
  </si>
  <si>
    <t>Eau</t>
  </si>
  <si>
    <t>Chili</t>
  </si>
  <si>
    <t>Poivrons lanières</t>
  </si>
  <si>
    <t>Brunoise surgelée</t>
  </si>
  <si>
    <t>Programme Légumineuse nuit  CHV
Bac gastro avec couvercles</t>
  </si>
  <si>
    <r>
      <t xml:space="preserve">Mode opératoire :
</t>
    </r>
    <r>
      <rPr>
        <sz val="12"/>
        <color theme="1"/>
        <rFont val="Calibri"/>
        <family val="2"/>
        <scheme val="minor"/>
      </rPr>
      <t xml:space="preserve">Dans des bacs  mettre tous les ingrédients (voir colonne B quantité pour un bac)
Mélanger et ajouter un couvercle
Cuisson : 95°C vapeur 12H00 minimum et 18h00 au maximum
Refroidir en cellule (63°C à 10°C en moins de deux heures) pour une remise en T° différée 
 </t>
    </r>
    <r>
      <rPr>
        <b/>
        <sz val="12"/>
        <color theme="1"/>
        <rFont val="Calibri"/>
        <family val="2"/>
        <scheme val="minor"/>
      </rPr>
      <t xml:space="preserve">
</t>
    </r>
  </si>
  <si>
    <t>Laurier - Thym PM</t>
  </si>
  <si>
    <t xml:space="preserve">Haricots Rouges Chili
cuisson de nuit </t>
  </si>
  <si>
    <t xml:space="preserve">Pois chiches
cuisson de nuit </t>
  </si>
  <si>
    <t>Pois chiches</t>
  </si>
  <si>
    <t>COLOMBO OU CURRY</t>
  </si>
  <si>
    <t>Brunoise surgelée (FACULTATIF)</t>
  </si>
  <si>
    <t xml:space="preserve">Lentilles
cuisson de nuit </t>
  </si>
  <si>
    <t>Moutarde</t>
  </si>
  <si>
    <t>Lardons facultatifs</t>
  </si>
  <si>
    <t>Beurre</t>
  </si>
  <si>
    <t>Haricots blancs</t>
  </si>
  <si>
    <t xml:space="preserve">Haricots blancs
cuisson de nuit </t>
  </si>
  <si>
    <r>
      <t xml:space="preserve">Mode opératoire :
</t>
    </r>
    <r>
      <rPr>
        <sz val="12"/>
        <color theme="1"/>
        <rFont val="Calibri"/>
        <family val="2"/>
        <scheme val="minor"/>
      </rPr>
      <t xml:space="preserve">Dans des bacs  mettre tous les ingrédients (voir colonne B quantité pour un bac)
Mélanger et ajouter un couvercle
Cuisson : 95°C vapeur 12H00 minimum et 18h00 au maximum
Refroidir en cellule (63°C à 10°C en moins de deux heures) pour une remise en T° différée )
 </t>
    </r>
    <r>
      <rPr>
        <b/>
        <sz val="12"/>
        <color theme="1"/>
        <rFont val="Calibri"/>
        <family val="2"/>
        <scheme val="minor"/>
      </rPr>
      <t xml:space="preserve">
</t>
    </r>
  </si>
  <si>
    <t xml:space="preserve">Sauté de veau colombo
cuisson de nuit </t>
  </si>
  <si>
    <t>Brunoise</t>
  </si>
  <si>
    <t>Colombo ou curry</t>
  </si>
  <si>
    <r>
      <t xml:space="preserve">Mode opératoire :
</t>
    </r>
    <r>
      <rPr>
        <sz val="12"/>
        <color theme="1"/>
        <rFont val="Calibri"/>
        <family val="2"/>
        <scheme val="minor"/>
      </rPr>
      <t>Peser tous les ingrédients d'épicerie
Faire revenir le sauté avec la brunoises à feu vif pour obtenir une belle coloration sans ébullition
Déglacer au vin blanc et laisser réduire
Ajouter  tous les autres ingrédients
Répartir dans les bacs, ajouter un couvercle sans</t>
    </r>
    <r>
      <rPr>
        <b/>
        <u/>
        <sz val="12"/>
        <color theme="1"/>
        <rFont val="Calibri (Corps)"/>
      </rPr>
      <t xml:space="preserve"> trou.
</t>
    </r>
    <r>
      <rPr>
        <sz val="12"/>
        <color theme="1"/>
        <rFont val="Calibri (Corps)"/>
      </rPr>
      <t>Cuisson vapeur 
Phase 1 : Vapeur 85°C pendant 3h00
Phase 2 : 72°C vapeur continue
Attention si sauté avec épaule et bas carré phase 2 = 66°C vapeur continue</t>
    </r>
    <r>
      <rPr>
        <sz val="12"/>
        <color theme="1"/>
        <rFont val="Calibri"/>
        <family val="2"/>
        <scheme val="minor"/>
      </rPr>
      <t xml:space="preserve">
 </t>
    </r>
    <r>
      <rPr>
        <b/>
        <sz val="12"/>
        <color theme="1"/>
        <rFont val="Calibri"/>
        <family val="2"/>
        <scheme val="minor"/>
      </rPr>
      <t xml:space="preserve">
</t>
    </r>
  </si>
  <si>
    <t>Sauté de bœuf de préférence gélatineux 40/60g</t>
  </si>
  <si>
    <t xml:space="preserve">Coco Catalans
cuisson de nuit </t>
  </si>
  <si>
    <t>Bisque</t>
  </si>
  <si>
    <t>Calamars OU SEICHES surgelés</t>
  </si>
  <si>
    <t>Ail surgelé</t>
  </si>
  <si>
    <t>Piment d'Espelette (FACULTATIF) PM</t>
  </si>
  <si>
    <r>
      <t xml:space="preserve">Mode opératoire :
</t>
    </r>
    <r>
      <rPr>
        <sz val="12"/>
        <color theme="1"/>
        <rFont val="Calibri"/>
        <family val="2"/>
        <scheme val="minor"/>
      </rPr>
      <t xml:space="preserve">Passer les calamars 15 minus à 85 en vapeur
Dans des bacs  mettre tous les ingrédients  y compris les calamars(voir colonne B quantité pour un bac)
Mélanger et ajouter un couvercle
Cuisson : 95°C vapeur 12H00 minimum et 18h00 au maximum
Refroidir en cellule (63°C à 10°C en moins de deux heures) pour une remise en T° différée )
 </t>
    </r>
    <r>
      <rPr>
        <b/>
        <sz val="12"/>
        <color theme="1"/>
        <rFont val="Calibri"/>
        <family val="2"/>
        <scheme val="minor"/>
      </rPr>
      <t xml:space="preserve">
</t>
    </r>
  </si>
  <si>
    <t>Brunoise de légumes surgelée crue</t>
  </si>
  <si>
    <t>Champignons surgelés</t>
  </si>
  <si>
    <t>Blanquette de veau - CBT° Nuit</t>
  </si>
  <si>
    <t>Cuisson 74°C four vapeur
Bac gastro avec couvercles</t>
  </si>
  <si>
    <t>Sauté de veau blanquette</t>
  </si>
  <si>
    <t>Fécule de PDT</t>
  </si>
  <si>
    <t>Crème 35%</t>
  </si>
  <si>
    <t>Etiquette rôti Porc</t>
  </si>
  <si>
    <t>Rôti+jus</t>
  </si>
  <si>
    <t>Rôti</t>
  </si>
  <si>
    <t>Etiquette gigot</t>
  </si>
  <si>
    <t>95°C VAPEUR
Bac gastro avec couvercles</t>
  </si>
  <si>
    <t>Haricots rouges SECS</t>
  </si>
  <si>
    <t>Poivrons surgelés</t>
  </si>
  <si>
    <t>Maïs boite</t>
  </si>
  <si>
    <t>Oignons 4ÈME g</t>
  </si>
  <si>
    <t>Concassée tomate</t>
  </si>
  <si>
    <t>Epice Chili</t>
  </si>
  <si>
    <t xml:space="preserve">Haricots Rouges - Chili- Cuisson avaec viande
cuisson de nuit </t>
  </si>
  <si>
    <t>Égréné de bœuf</t>
  </si>
  <si>
    <t xml:space="preserve">Haricots Rouges - Chili- viande à part
cuisson de nuit </t>
  </si>
  <si>
    <t>Sauté de veau à blanquette collagénique</t>
  </si>
  <si>
    <t>&gt; à 1200</t>
  </si>
  <si>
    <t>&gt; à  1200</t>
  </si>
  <si>
    <t xml:space="preserve">Lentilles vinaigrette nuit
cuisson de nuit </t>
  </si>
  <si>
    <t>Lentilles</t>
  </si>
  <si>
    <t>Vinaigrette</t>
  </si>
  <si>
    <t>Finition J+1</t>
  </si>
  <si>
    <t>Ciboulette surgelée</t>
  </si>
  <si>
    <t>Cuisson nuit vapeur
Bac gastro ou grilles ou sauteuse</t>
  </si>
  <si>
    <t>Rôti de porc Echine</t>
  </si>
  <si>
    <t>Rôti Echine cuisson de nuit</t>
  </si>
  <si>
    <r>
      <t xml:space="preserve">Mode opératoire :
</t>
    </r>
    <r>
      <rPr>
        <sz val="12"/>
        <color theme="1"/>
        <rFont val="Calibri"/>
        <family val="2"/>
        <scheme val="minor"/>
      </rPr>
      <t xml:space="preserve">Plaquer les échines en bacs ou sur grilles
Si cuisson en bac mouiller à mi-hauteur des rôtis et ne pas ajouter de couvercle
Pour une cuisson en sauteuse mouiller à hauteur
</t>
    </r>
    <r>
      <rPr>
        <b/>
        <u/>
        <sz val="12"/>
        <color theme="1"/>
        <rFont val="Calibri (Corps)"/>
      </rPr>
      <t>Phase 1 :</t>
    </r>
    <r>
      <rPr>
        <sz val="12"/>
        <color theme="1"/>
        <rFont val="Calibri"/>
        <family val="2"/>
        <scheme val="minor"/>
      </rPr>
      <t xml:space="preserve"> 
Four 80°C ambiance vapeur pour le four jusqu'à 72°C à coeur.
Sauteuse : 80°C ambiance vapeur  jusqu'à 72°C à coeur.
</t>
    </r>
    <r>
      <rPr>
        <b/>
        <sz val="12"/>
        <color theme="1"/>
        <rFont val="Calibri"/>
        <family val="2"/>
        <scheme val="minor"/>
      </rPr>
      <t xml:space="preserve">Phase 2 :
</t>
    </r>
    <r>
      <rPr>
        <sz val="12"/>
        <color theme="1"/>
        <rFont val="Calibri"/>
        <family val="2"/>
        <scheme val="minor"/>
      </rPr>
      <t xml:space="preserve">Four 65°C ambiance vapeur jusqu'au lendemain matin 
Sauteuse : 65°C  jusqu'au lendemain matin
 </t>
    </r>
    <r>
      <rPr>
        <b/>
        <sz val="12"/>
        <color theme="1"/>
        <rFont val="Calibri"/>
        <family val="2"/>
        <scheme val="minor"/>
      </rPr>
      <t xml:space="preserve">
</t>
    </r>
  </si>
  <si>
    <t>&gt; à 150</t>
  </si>
  <si>
    <t xml:space="preserve">Lentilles
 </t>
  </si>
  <si>
    <t>Cuisson 85°C four vapeur
Bac gastro avec couvercles ou sauteuse</t>
  </si>
  <si>
    <r>
      <t xml:space="preserve">Mode opératoire :
</t>
    </r>
    <r>
      <rPr>
        <sz val="12"/>
        <color theme="1"/>
        <rFont val="Calibri"/>
        <family val="2"/>
        <scheme val="minor"/>
      </rPr>
      <t xml:space="preserve">Dans des bacs  mettre tous les ingrédients (voir colonne B quantité pour un bac)
Mélanger et ajouter un couvercle
Cuisson : 
1)95°C vapeur pendant 2HOO
2)Intégrer une phase à 100°C vapeur pendant 45 minutes après les deux premières heures, 
3)Cuison 90°C vapeur en continu
Refroidir en cellule (63°C à 10°C en moins de deux heures) pour une remise en T° différée 
 </t>
    </r>
    <r>
      <rPr>
        <b/>
        <sz val="12"/>
        <color theme="1"/>
        <rFont val="Calibri"/>
        <family val="2"/>
        <scheme val="minor"/>
      </rPr>
      <t xml:space="preserve">
</t>
    </r>
  </si>
  <si>
    <t xml:space="preserve">Eau </t>
  </si>
  <si>
    <t>Bouillon de bœuf</t>
  </si>
  <si>
    <r>
      <t xml:space="preserve">Mode opératoire :
</t>
    </r>
    <r>
      <rPr>
        <sz val="12"/>
        <color theme="1"/>
        <rFont val="Calibri"/>
        <family val="2"/>
        <scheme val="minor"/>
      </rPr>
      <t xml:space="preserve">Peser tous les ingrédients d'épicerie
Mettre le vin à ébullition avec thym, laurier et baies
Faire revenir le sauté avec les oignons à feu vif pour obtenir une belle coloration sans ébullition
Ajouter les carottes , l'ail, le concentré, sel, poivre et singer avec la fécule, mouiller avec le vin.
Le mélange doit devenir un peu épais
Appliquer le programme de cuisson : 
Sauté de Boeuf Cuisson de nuit CHPV
 </t>
    </r>
    <r>
      <rPr>
        <b/>
        <sz val="12"/>
        <color theme="1"/>
        <rFont val="Calibri"/>
        <family val="2"/>
        <scheme val="minor"/>
      </rPr>
      <t xml:space="preserve">
</t>
    </r>
  </si>
  <si>
    <t>Haricots blancs secs</t>
  </si>
  <si>
    <t>Possibilité de saisir le grammage</t>
  </si>
  <si>
    <t>Possibilité de saisir le nombre de portions</t>
  </si>
  <si>
    <r>
      <t xml:space="preserve">Mode opératoire :
Four :
</t>
    </r>
    <r>
      <rPr>
        <sz val="11"/>
        <color theme="1"/>
        <rFont val="Calibri"/>
        <family val="2"/>
        <scheme val="minor"/>
      </rPr>
      <t xml:space="preserve">Dans des bacs  1/1 (H10 ou 15) mettre tous les ingrédients (voir colonne B quantité pour un bac)
Mélanger et ajouter un couvercle
Cuisson : 95°C vapeur 12H00 minimum et 18h00 au maximum
</t>
    </r>
    <r>
      <rPr>
        <u/>
        <sz val="11"/>
        <color theme="1"/>
        <rFont val="Calibri (Corps)"/>
      </rPr>
      <t>Le lendemain :</t>
    </r>
    <r>
      <rPr>
        <sz val="11"/>
        <color theme="1"/>
        <rFont val="Calibri"/>
        <family val="2"/>
        <scheme val="minor"/>
      </rPr>
      <t xml:space="preserve">
Refroidir en cellule (63°C à 10°C en moins de deux heures) pour une remise en T° différée ) ou maintenir en étuve pour un service en liaison chaude.
</t>
    </r>
    <r>
      <rPr>
        <b/>
        <sz val="11"/>
        <color theme="1"/>
        <rFont val="Calibri"/>
        <family val="2"/>
        <scheme val="minor"/>
      </rPr>
      <t>Sauteuse ou marmite (compatible cuisson de nuit)</t>
    </r>
    <r>
      <rPr>
        <sz val="11"/>
        <color theme="1"/>
        <rFont val="Calibri"/>
        <family val="2"/>
        <scheme val="minor"/>
      </rPr>
      <t xml:space="preserve">
Mettre tous les ingrédients (voir colonne C quantité production)
Mélanger et ajouter et couvrir
Cuisson : 95°C fonction mijotage, 12H00 minimum et 18h00 au maximum
</t>
    </r>
    <r>
      <rPr>
        <b/>
        <sz val="11"/>
        <color theme="1"/>
        <rFont val="Calibri"/>
        <family val="2"/>
        <scheme val="minor"/>
      </rPr>
      <t xml:space="preserve">Le lendemain :
</t>
    </r>
    <r>
      <rPr>
        <sz val="11"/>
        <color theme="1"/>
        <rFont val="Calibri"/>
        <family val="2"/>
        <scheme val="minor"/>
      </rPr>
      <t xml:space="preserve">Transférer en bacs et couvrir 
Refroidir en cellule (63°C à 10°C en moins de deux heures) pour une remise en T° différée ) ou maintenir en étuve pour un service en liaison chaude.
 </t>
    </r>
    <r>
      <rPr>
        <b/>
        <sz val="11"/>
        <color theme="1"/>
        <rFont val="Calibri"/>
        <family val="2"/>
        <scheme val="minor"/>
      </rPr>
      <t xml:space="preserve">
</t>
    </r>
  </si>
  <si>
    <r>
      <t xml:space="preserve">Cuisson 95°C four vapeur
Bac gastro avec couvercles
Ou
Cuisson sauteuse </t>
    </r>
    <r>
      <rPr>
        <sz val="11"/>
        <color theme="1"/>
        <rFont val="Calibri (Corps)"/>
      </rPr>
      <t>(compatible cuisson de nuit)</t>
    </r>
  </si>
  <si>
    <t>Oignons ciselés</t>
  </si>
  <si>
    <t>Lait ou bouillon</t>
  </si>
  <si>
    <r>
      <t xml:space="preserve">Mode opératoire :
</t>
    </r>
    <r>
      <rPr>
        <sz val="12"/>
        <color theme="1"/>
        <rFont val="Calibri"/>
        <family val="2"/>
        <scheme val="minor"/>
      </rPr>
      <t xml:space="preserve">Blanchir la blanquette et décanter
Suer les oignons et la garniture, déblacer au vin blanc. Stopper la chauffe, ajouter le liant délayé dans le bouillon et la crème. Ajouter la viande. Conditionner en poche. Refroidir. Conditionner sous vide. Cuire à 75°C entre 12H00 et 18H00
</t>
    </r>
    <r>
      <rPr>
        <b/>
        <sz val="12"/>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
</t>
    </r>
  </si>
  <si>
    <t>Cuisson nuit 93°C vapeur
Bac gastro avec couvercles</t>
  </si>
  <si>
    <r>
      <t xml:space="preserve">Mode opératoire :
</t>
    </r>
    <r>
      <rPr>
        <sz val="12"/>
        <color theme="1"/>
        <rFont val="Calibri"/>
        <family val="2"/>
        <scheme val="minor"/>
      </rPr>
      <t xml:space="preserve">Dans des bacs  mettre tous les ingrédients (sauf ciboulette)
Mélanger et ajouter un couvercle
Cuisson : 93°C vapeur 12H00 minimum et 18h00 au maximum
Refroidir en cellule (63°C à 10°C en moins de deux heures
Finaliser l'assaisonnement avec la ciboulette avant le conditionnement
 </t>
    </r>
    <r>
      <rPr>
        <b/>
        <sz val="12"/>
        <color theme="1"/>
        <rFont val="Calibri"/>
        <family val="2"/>
        <scheme val="minor"/>
      </rPr>
      <t xml:space="preserve">
</t>
    </r>
  </si>
  <si>
    <t>Cuisson 95°C
Bac gastro avec couvercles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</si>
</sst>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0"/>
  </numFmts>
  <fonts count="15" x14ac:knownFonts="1">
    <font>
      <sz val="12"/>
      <color theme="1"/>
      <name val="Calibri"/>
      <family val="2"/>
      <scheme val="minor"/>
    </font>
    <font>
      <b/>
      <sz val="12"/>
      <color theme="1"/>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b/>
      <u/>
      <sz val="12"/>
      <color theme="1"/>
      <name val="Calibri (Corps)"/>
    </font>
    <font>
      <sz val="12"/>
      <color theme="1"/>
      <name val="Calibri (Corps)"/>
    </font>
    <font>
      <sz val="16"/>
      <color theme="1"/>
      <name val="Calibri"/>
      <family val="2"/>
      <scheme val="minor"/>
    </font>
    <font>
      <sz val="18"/>
      <color theme="1"/>
      <name val="Calibri"/>
      <family val="2"/>
      <scheme val="minor"/>
    </font>
    <font>
      <sz val="11"/>
      <color theme="1"/>
      <name val="Calibri"/>
      <family val="2"/>
      <scheme val="minor"/>
    </font>
    <font>
      <sz val="10"/>
      <color theme="1"/>
      <name val="Calibri"/>
      <family val="2"/>
      <scheme val="minor"/>
    </font>
    <font>
      <sz val="11"/>
      <color theme="1"/>
      <name val="Calibri (Corps)"/>
    </font>
    <font>
      <b/>
      <sz val="11"/>
      <color theme="1"/>
      <name val="Calibri"/>
      <family val="2"/>
      <scheme val="minor"/>
    </font>
    <font>
      <u/>
      <sz val="11"/>
      <color theme="1"/>
      <name val="Calibri (Corps)"/>
    </font>
  </fonts>
  <fills count="8">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3"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1" xfId="0" applyBorder="1"/>
    <xf numFmtId="0" fontId="0" fillId="0" borderId="1" xfId="0" applyBorder="1" applyAlignment="1">
      <alignment horizontal="center"/>
    </xf>
    <xf numFmtId="164" fontId="0" fillId="0" borderId="1" xfId="0" applyNumberFormat="1" applyBorder="1"/>
    <xf numFmtId="0" fontId="0" fillId="0" borderId="2" xfId="0" applyBorder="1" applyAlignment="1">
      <alignment vertical="top" wrapText="1"/>
    </xf>
    <xf numFmtId="0" fontId="0" fillId="0" borderId="0" xfId="0" applyAlignment="1">
      <alignment vertical="top"/>
    </xf>
    <xf numFmtId="0" fontId="0" fillId="0" borderId="0" xfId="0" applyAlignment="1">
      <alignment horizontal="center"/>
    </xf>
    <xf numFmtId="164" fontId="1" fillId="4" borderId="0" xfId="0" applyNumberFormat="1" applyFont="1" applyFill="1"/>
    <xf numFmtId="0" fontId="4" fillId="0" borderId="0" xfId="0" applyFont="1"/>
    <xf numFmtId="164" fontId="4" fillId="0" borderId="0" xfId="0" applyNumberFormat="1" applyFont="1"/>
    <xf numFmtId="0" fontId="0" fillId="0" borderId="0" xfId="0" applyAlignment="1">
      <alignment horizontal="center" vertical="center"/>
    </xf>
    <xf numFmtId="0" fontId="0" fillId="5" borderId="0" xfId="0" applyFill="1"/>
    <xf numFmtId="2" fontId="0" fillId="0" borderId="0" xfId="0" applyNumberFormat="1"/>
    <xf numFmtId="0" fontId="5" fillId="6" borderId="0" xfId="0" applyFont="1" applyFill="1"/>
    <xf numFmtId="2" fontId="1" fillId="0" borderId="1" xfId="0" applyNumberFormat="1" applyFont="1" applyBorder="1" applyAlignment="1">
      <alignment horizontal="center"/>
    </xf>
    <xf numFmtId="0" fontId="5" fillId="0" borderId="1" xfId="0" applyFont="1" applyBorder="1"/>
    <xf numFmtId="0" fontId="10" fillId="0" borderId="1" xfId="0" applyFont="1" applyBorder="1"/>
    <xf numFmtId="0" fontId="5" fillId="0" borderId="8" xfId="0" applyFont="1" applyBorder="1"/>
    <xf numFmtId="0" fontId="0" fillId="0" borderId="1" xfId="0" applyBorder="1" applyAlignment="1">
      <alignment wrapText="1"/>
    </xf>
    <xf numFmtId="0" fontId="11" fillId="0" borderId="1" xfId="0" applyFont="1" applyBorder="1"/>
    <xf numFmtId="2" fontId="11" fillId="0" borderId="1" xfId="0" applyNumberFormat="1" applyFont="1" applyBorder="1"/>
    <xf numFmtId="10" fontId="0" fillId="0" borderId="0" xfId="0" applyNumberFormat="1"/>
    <xf numFmtId="165" fontId="1" fillId="0" borderId="1" xfId="0" applyNumberFormat="1" applyFont="1" applyBorder="1" applyAlignment="1">
      <alignment horizontal="center"/>
    </xf>
    <xf numFmtId="0" fontId="0" fillId="0" borderId="0" xfId="0" applyAlignment="1">
      <alignment vertical="top" wrapText="1"/>
    </xf>
    <xf numFmtId="164" fontId="0" fillId="0" borderId="9" xfId="0" applyNumberFormat="1" applyBorder="1"/>
    <xf numFmtId="0" fontId="2" fillId="2" borderId="0" xfId="0" applyFont="1" applyFill="1" applyAlignment="1">
      <alignment horizontal="center"/>
    </xf>
    <xf numFmtId="0" fontId="1" fillId="7" borderId="4" xfId="0" applyFont="1" applyFill="1" applyBorder="1" applyAlignment="1">
      <alignment horizontal="center" vertical="center"/>
    </xf>
    <xf numFmtId="0" fontId="1" fillId="7" borderId="3" xfId="0" applyFont="1" applyFill="1" applyBorder="1" applyAlignment="1">
      <alignment horizontal="center" vertical="center"/>
    </xf>
    <xf numFmtId="0" fontId="2" fillId="3" borderId="7" xfId="0" applyFont="1" applyFill="1" applyBorder="1" applyAlignment="1">
      <alignment horizontal="center" vertical="center" wrapText="1"/>
    </xf>
    <xf numFmtId="0" fontId="9" fillId="3" borderId="7" xfId="0" applyFont="1" applyFill="1" applyBorder="1" applyAlignment="1">
      <alignment horizontal="center" vertical="center"/>
    </xf>
    <xf numFmtId="0" fontId="9" fillId="3" borderId="5" xfId="0" applyFont="1" applyFill="1" applyBorder="1" applyAlignment="1">
      <alignment horizontal="center" vertic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1" fillId="0" borderId="2" xfId="0" applyFont="1" applyBorder="1" applyAlignment="1">
      <alignment vertical="top" wrapText="1"/>
    </xf>
    <xf numFmtId="0" fontId="0" fillId="0" borderId="0" xfId="0" applyAlignment="1">
      <alignment vertical="top" wrapText="1"/>
    </xf>
    <xf numFmtId="0" fontId="2" fillId="2" borderId="0" xfId="0" applyFont="1" applyFill="1" applyAlignment="1">
      <alignment horizontal="center" wrapText="1"/>
    </xf>
    <xf numFmtId="0" fontId="13" fillId="0" borderId="10" xfId="0" applyFont="1" applyBorder="1" applyAlignment="1">
      <alignment vertical="top" wrapText="1"/>
    </xf>
    <xf numFmtId="0" fontId="10" fillId="0" borderId="8" xfId="0" applyFont="1" applyBorder="1" applyAlignment="1">
      <alignment vertical="top" wrapText="1"/>
    </xf>
    <xf numFmtId="0" fontId="10" fillId="0" borderId="11"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A58B-D03B-2943-AB7F-2F5F6A2616E0}">
  <sheetPr>
    <pageSetUpPr fitToPage="1"/>
  </sheetPr>
  <dimension ref="A1:I27"/>
  <sheetViews>
    <sheetView tabSelected="1" zoomScale="125" workbookViewId="0">
      <selection activeCell="A4" sqref="A4:B17"/>
    </sheetView>
  </sheetViews>
  <sheetFormatPr baseColWidth="10" defaultRowHeight="16" x14ac:dyDescent="0.2"/>
  <cols>
    <col min="1" max="1" width="40.1640625" customWidth="1"/>
    <col min="2" max="3" width="10.83203125" customWidth="1"/>
    <col min="7" max="7" width="48.83203125" customWidth="1"/>
    <col min="8" max="8" width="42" customWidth="1"/>
  </cols>
  <sheetData>
    <row r="1" spans="1:9" ht="27" customHeight="1" x14ac:dyDescent="0.2">
      <c r="A1" s="28" t="s">
        <v>17</v>
      </c>
      <c r="B1" s="28"/>
      <c r="C1" s="28"/>
      <c r="D1" s="28"/>
      <c r="E1" s="29" t="s">
        <v>24</v>
      </c>
      <c r="F1" s="30"/>
      <c r="G1" s="31" t="s">
        <v>124</v>
      </c>
    </row>
    <row r="2" spans="1:9" ht="25" customHeight="1" thickBot="1" x14ac:dyDescent="0.3">
      <c r="A2" s="28"/>
      <c r="B2" s="28"/>
      <c r="C2" s="28"/>
      <c r="D2" s="28"/>
      <c r="E2" s="34" t="s">
        <v>25</v>
      </c>
      <c r="F2" s="35"/>
      <c r="G2" s="32"/>
    </row>
    <row r="3" spans="1:9" ht="52" thickBot="1" x14ac:dyDescent="0.25">
      <c r="A3" s="1" t="s">
        <v>0</v>
      </c>
      <c r="B3" s="2" t="s">
        <v>1</v>
      </c>
      <c r="C3" s="2" t="s">
        <v>2</v>
      </c>
      <c r="D3" s="3" t="s">
        <v>3</v>
      </c>
      <c r="E3" s="3" t="s">
        <v>4</v>
      </c>
      <c r="F3" s="3" t="s">
        <v>5</v>
      </c>
      <c r="G3" s="33"/>
    </row>
    <row r="4" spans="1:9" ht="17" thickBot="1" x14ac:dyDescent="0.25">
      <c r="A4" s="4" t="s">
        <v>82</v>
      </c>
      <c r="B4" s="22">
        <v>10</v>
      </c>
      <c r="C4" s="17">
        <f t="shared" ref="C4:C20" si="0">B4/B$24*B$26</f>
        <v>14.671428571428573</v>
      </c>
      <c r="D4" s="4" t="s">
        <v>6</v>
      </c>
      <c r="E4" s="5"/>
      <c r="F4" s="6">
        <f t="shared" ref="F4:F20" si="1">C4*E4</f>
        <v>0</v>
      </c>
      <c r="G4" s="36" t="s">
        <v>128</v>
      </c>
    </row>
    <row r="5" spans="1:9" x14ac:dyDescent="0.2">
      <c r="A5" s="4" t="s">
        <v>7</v>
      </c>
      <c r="B5" s="22">
        <v>4</v>
      </c>
      <c r="C5" s="17">
        <f t="shared" si="0"/>
        <v>5.8685714285714283</v>
      </c>
      <c r="D5" s="4" t="s">
        <v>8</v>
      </c>
      <c r="E5" s="5"/>
      <c r="F5" s="6">
        <f t="shared" si="1"/>
        <v>0</v>
      </c>
      <c r="G5" s="37"/>
      <c r="I5" s="7"/>
    </row>
    <row r="6" spans="1:9" x14ac:dyDescent="0.2">
      <c r="A6" s="4" t="s">
        <v>126</v>
      </c>
      <c r="B6" s="22">
        <v>4</v>
      </c>
      <c r="C6" s="17">
        <f t="shared" si="0"/>
        <v>5.8685714285714283</v>
      </c>
      <c r="D6" s="4"/>
      <c r="E6" s="5"/>
      <c r="F6" s="6"/>
      <c r="G6" s="37"/>
      <c r="I6" s="26"/>
    </row>
    <row r="7" spans="1:9" x14ac:dyDescent="0.2">
      <c r="A7" s="4" t="s">
        <v>18</v>
      </c>
      <c r="B7" s="22">
        <v>1</v>
      </c>
      <c r="C7" s="17">
        <f t="shared" si="0"/>
        <v>1.4671428571428571</v>
      </c>
      <c r="D7" s="4" t="s">
        <v>6</v>
      </c>
      <c r="E7" s="5"/>
      <c r="F7" s="6">
        <f t="shared" si="1"/>
        <v>0</v>
      </c>
      <c r="G7" s="37"/>
      <c r="I7" s="8"/>
    </row>
    <row r="8" spans="1:9" x14ac:dyDescent="0.2">
      <c r="A8" s="4" t="s">
        <v>19</v>
      </c>
      <c r="B8" s="22">
        <v>1</v>
      </c>
      <c r="C8" s="17">
        <f t="shared" si="0"/>
        <v>1.4671428571428571</v>
      </c>
      <c r="D8" s="4" t="s">
        <v>6</v>
      </c>
      <c r="E8" s="5"/>
      <c r="F8" s="6">
        <f t="shared" si="1"/>
        <v>0</v>
      </c>
      <c r="G8" s="37"/>
      <c r="I8" s="8"/>
    </row>
    <row r="9" spans="1:9" x14ac:dyDescent="0.2">
      <c r="A9" s="4" t="s">
        <v>9</v>
      </c>
      <c r="B9" s="22">
        <v>0.2</v>
      </c>
      <c r="C9" s="17">
        <f t="shared" si="0"/>
        <v>0.29342857142857143</v>
      </c>
      <c r="D9" s="4" t="s">
        <v>8</v>
      </c>
      <c r="E9" s="5"/>
      <c r="F9" s="6">
        <f t="shared" si="1"/>
        <v>0</v>
      </c>
      <c r="G9" s="37"/>
      <c r="I9" s="8"/>
    </row>
    <row r="10" spans="1:9" x14ac:dyDescent="0.2">
      <c r="A10" s="4" t="s">
        <v>20</v>
      </c>
      <c r="B10" s="22">
        <v>0.55000000000000004</v>
      </c>
      <c r="C10" s="17">
        <f t="shared" si="0"/>
        <v>0.80692857142857155</v>
      </c>
      <c r="D10" s="4" t="s">
        <v>6</v>
      </c>
      <c r="E10" s="5"/>
      <c r="F10" s="6">
        <f t="shared" si="1"/>
        <v>0</v>
      </c>
      <c r="G10" s="37"/>
      <c r="I10" s="8"/>
    </row>
    <row r="11" spans="1:9" x14ac:dyDescent="0.2">
      <c r="A11" s="4" t="s">
        <v>10</v>
      </c>
      <c r="B11" s="22">
        <v>7.0000000000000007E-2</v>
      </c>
      <c r="C11" s="17">
        <f t="shared" si="0"/>
        <v>0.10270000000000001</v>
      </c>
      <c r="D11" s="4" t="s">
        <v>6</v>
      </c>
      <c r="E11" s="5"/>
      <c r="F11" s="6">
        <f t="shared" si="1"/>
        <v>0</v>
      </c>
      <c r="G11" s="37"/>
      <c r="I11" s="8"/>
    </row>
    <row r="12" spans="1:9" x14ac:dyDescent="0.2">
      <c r="A12" s="4" t="s">
        <v>11</v>
      </c>
      <c r="B12" s="22">
        <v>6.0000000000000001E-3</v>
      </c>
      <c r="C12" s="17">
        <f t="shared" si="0"/>
        <v>8.8028571428571435E-3</v>
      </c>
      <c r="D12" s="4" t="s">
        <v>6</v>
      </c>
      <c r="E12" s="5"/>
      <c r="F12" s="6">
        <f t="shared" si="1"/>
        <v>0</v>
      </c>
      <c r="G12" s="37"/>
      <c r="I12" s="8"/>
    </row>
    <row r="13" spans="1:9" x14ac:dyDescent="0.2">
      <c r="A13" s="4" t="s">
        <v>21</v>
      </c>
      <c r="B13" s="22">
        <v>0.1</v>
      </c>
      <c r="C13" s="17">
        <f t="shared" si="0"/>
        <v>0.14671428571428571</v>
      </c>
      <c r="D13" s="4" t="s">
        <v>6</v>
      </c>
      <c r="E13" s="5"/>
      <c r="F13" s="6">
        <f t="shared" si="1"/>
        <v>0</v>
      </c>
      <c r="G13" s="37"/>
      <c r="I13" s="8"/>
    </row>
    <row r="14" spans="1:9" x14ac:dyDescent="0.2">
      <c r="A14" s="4" t="s">
        <v>23</v>
      </c>
      <c r="B14" s="22"/>
      <c r="C14" s="17">
        <f t="shared" si="0"/>
        <v>0</v>
      </c>
      <c r="D14" s="4" t="s">
        <v>6</v>
      </c>
      <c r="E14" s="5"/>
      <c r="F14" s="6">
        <f t="shared" si="1"/>
        <v>0</v>
      </c>
      <c r="G14" s="37"/>
      <c r="I14" s="8"/>
    </row>
    <row r="15" spans="1:9" x14ac:dyDescent="0.2">
      <c r="A15" s="4" t="s">
        <v>22</v>
      </c>
      <c r="B15" s="22">
        <v>0.2</v>
      </c>
      <c r="C15" s="17">
        <f t="shared" si="0"/>
        <v>0.29342857142857143</v>
      </c>
      <c r="D15" s="4" t="s">
        <v>8</v>
      </c>
      <c r="E15" s="5"/>
      <c r="F15" s="6">
        <f t="shared" si="1"/>
        <v>0</v>
      </c>
      <c r="G15" s="37"/>
      <c r="I15" s="8"/>
    </row>
    <row r="16" spans="1:9" x14ac:dyDescent="0.2">
      <c r="A16" s="4" t="s">
        <v>127</v>
      </c>
      <c r="B16" s="4"/>
      <c r="C16" s="17">
        <f t="shared" si="0"/>
        <v>0</v>
      </c>
      <c r="D16" s="4" t="s">
        <v>8</v>
      </c>
      <c r="E16" s="5"/>
      <c r="F16" s="6">
        <f t="shared" si="1"/>
        <v>0</v>
      </c>
      <c r="G16" s="37"/>
      <c r="I16" s="8"/>
    </row>
    <row r="17" spans="1:9" x14ac:dyDescent="0.2">
      <c r="A17" s="4"/>
      <c r="B17" s="4"/>
      <c r="C17" s="17">
        <f t="shared" si="0"/>
        <v>0</v>
      </c>
      <c r="D17" s="4" t="s">
        <v>6</v>
      </c>
      <c r="E17" s="5"/>
      <c r="F17" s="6">
        <f t="shared" si="1"/>
        <v>0</v>
      </c>
      <c r="G17" s="37"/>
      <c r="I17" s="8"/>
    </row>
    <row r="18" spans="1:9" x14ac:dyDescent="0.2">
      <c r="A18" s="4"/>
      <c r="B18" s="4"/>
      <c r="C18" s="17">
        <f t="shared" si="0"/>
        <v>0</v>
      </c>
      <c r="D18" s="4" t="s">
        <v>6</v>
      </c>
      <c r="E18" s="5"/>
      <c r="F18" s="6">
        <f t="shared" si="1"/>
        <v>0</v>
      </c>
      <c r="G18" s="37"/>
      <c r="I18" s="8"/>
    </row>
    <row r="19" spans="1:9" x14ac:dyDescent="0.2">
      <c r="A19" s="4"/>
      <c r="B19" s="4"/>
      <c r="C19" s="17">
        <f t="shared" si="0"/>
        <v>0</v>
      </c>
      <c r="D19" s="4"/>
      <c r="E19" s="5"/>
      <c r="F19" s="6">
        <f t="shared" si="1"/>
        <v>0</v>
      </c>
      <c r="G19" s="37"/>
      <c r="I19" s="8"/>
    </row>
    <row r="20" spans="1:9" x14ac:dyDescent="0.2">
      <c r="A20" s="4"/>
      <c r="B20" s="4"/>
      <c r="C20" s="17">
        <f t="shared" si="0"/>
        <v>0</v>
      </c>
      <c r="D20" s="4"/>
      <c r="E20" s="5"/>
      <c r="F20" s="6">
        <f t="shared" si="1"/>
        <v>0</v>
      </c>
      <c r="G20" s="37"/>
      <c r="I20" s="8"/>
    </row>
    <row r="21" spans="1:9" x14ac:dyDescent="0.2">
      <c r="C21" s="9"/>
      <c r="F21" s="10">
        <f>SUM(F4:F20)</f>
        <v>0</v>
      </c>
      <c r="G21" s="37"/>
      <c r="I21" s="8"/>
    </row>
    <row r="22" spans="1:9" ht="19" x14ac:dyDescent="0.25">
      <c r="A22" s="11" t="s">
        <v>12</v>
      </c>
      <c r="B22" s="12">
        <f>F21/B26</f>
        <v>0</v>
      </c>
      <c r="C22" s="13"/>
      <c r="G22" s="37"/>
      <c r="I22" s="8"/>
    </row>
    <row r="23" spans="1:9" x14ac:dyDescent="0.2">
      <c r="A23" s="14" t="s">
        <v>13</v>
      </c>
      <c r="B23" s="14">
        <v>7</v>
      </c>
      <c r="C23" s="9"/>
      <c r="G23" s="37"/>
      <c r="I23" s="8"/>
    </row>
    <row r="24" spans="1:9" x14ac:dyDescent="0.2">
      <c r="A24" t="s">
        <v>14</v>
      </c>
      <c r="B24" s="15">
        <f>B23/B25</f>
        <v>53.846153846153847</v>
      </c>
      <c r="C24" s="9"/>
      <c r="G24" s="37"/>
      <c r="I24" s="8"/>
    </row>
    <row r="25" spans="1:9" x14ac:dyDescent="0.2">
      <c r="A25" t="s">
        <v>15</v>
      </c>
      <c r="B25">
        <v>0.13</v>
      </c>
      <c r="C25" s="9"/>
      <c r="G25" s="37"/>
      <c r="I25" s="8"/>
    </row>
    <row r="26" spans="1:9" ht="19" x14ac:dyDescent="0.25">
      <c r="A26" s="16" t="s">
        <v>16</v>
      </c>
      <c r="B26" s="16">
        <v>79</v>
      </c>
      <c r="C26" s="9"/>
      <c r="G26" s="37"/>
      <c r="I26" s="8"/>
    </row>
    <row r="27" spans="1:9" x14ac:dyDescent="0.2">
      <c r="I27" s="8"/>
    </row>
  </sheetData>
  <mergeCells count="5">
    <mergeCell ref="G4:G26"/>
    <mergeCell ref="A1:D2"/>
    <mergeCell ref="E1:F1"/>
    <mergeCell ref="E2:F2"/>
    <mergeCell ref="G1:G3"/>
  </mergeCells>
  <pageMargins left="0.7" right="0.7" top="0.75" bottom="0.75" header="0.3" footer="0.3"/>
  <pageSetup paperSize="9" scale="8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E5F1-4A3A-EF4D-8901-A256484DE01A}">
  <dimension ref="A1:I34"/>
  <sheetViews>
    <sheetView zoomScale="119" workbookViewId="0">
      <selection activeCell="B22" sqref="B22"/>
    </sheetView>
  </sheetViews>
  <sheetFormatPr baseColWidth="10" defaultRowHeight="16" x14ac:dyDescent="0.2"/>
  <cols>
    <col min="1" max="1" width="40.1640625" customWidth="1"/>
    <col min="7" max="7" width="48.83203125" customWidth="1"/>
    <col min="8" max="8" width="42" customWidth="1"/>
  </cols>
  <sheetData>
    <row r="1" spans="1:9" ht="27" customHeight="1" x14ac:dyDescent="0.2">
      <c r="A1" s="28" t="s">
        <v>91</v>
      </c>
      <c r="B1" s="28"/>
      <c r="C1" s="28"/>
      <c r="D1" s="28"/>
      <c r="E1" s="29" t="s">
        <v>24</v>
      </c>
      <c r="F1" s="30"/>
      <c r="G1" s="31" t="s">
        <v>92</v>
      </c>
    </row>
    <row r="2" spans="1:9" ht="25" customHeight="1" thickBot="1" x14ac:dyDescent="0.3">
      <c r="A2" s="28"/>
      <c r="B2" s="28"/>
      <c r="C2" s="28"/>
      <c r="D2" s="28"/>
      <c r="E2" s="34" t="s">
        <v>111</v>
      </c>
      <c r="F2" s="35"/>
      <c r="G2" s="32"/>
    </row>
    <row r="3" spans="1:9" ht="52" thickBot="1" x14ac:dyDescent="0.25">
      <c r="A3" s="1" t="s">
        <v>0</v>
      </c>
      <c r="B3" s="2" t="s">
        <v>1</v>
      </c>
      <c r="C3" s="2" t="s">
        <v>2</v>
      </c>
      <c r="D3" s="3" t="s">
        <v>3</v>
      </c>
      <c r="E3" s="3" t="s">
        <v>4</v>
      </c>
      <c r="F3" s="3" t="s">
        <v>5</v>
      </c>
      <c r="G3" s="33"/>
    </row>
    <row r="4" spans="1:9" ht="17" thickBot="1" x14ac:dyDescent="0.25">
      <c r="A4" s="4" t="s">
        <v>93</v>
      </c>
      <c r="B4" s="23">
        <v>12</v>
      </c>
      <c r="C4" s="25">
        <f t="shared" ref="C4:C19" si="0">B4/B$23*B$25</f>
        <v>1.5428571428571429</v>
      </c>
      <c r="D4" s="4" t="s">
        <v>6</v>
      </c>
      <c r="E4" s="5"/>
      <c r="F4" s="6">
        <f t="shared" ref="F4:F19" si="1">C4*E4</f>
        <v>0</v>
      </c>
      <c r="G4" s="36" t="s">
        <v>136</v>
      </c>
    </row>
    <row r="5" spans="1:9" x14ac:dyDescent="0.2">
      <c r="A5" s="4" t="s">
        <v>89</v>
      </c>
      <c r="B5" s="23">
        <v>1.25</v>
      </c>
      <c r="C5" s="25">
        <f t="shared" si="0"/>
        <v>0.1607142857142857</v>
      </c>
      <c r="D5" s="4" t="s">
        <v>8</v>
      </c>
      <c r="E5" s="5"/>
      <c r="F5" s="6">
        <f t="shared" si="1"/>
        <v>0</v>
      </c>
      <c r="G5" s="37"/>
      <c r="I5" s="7"/>
    </row>
    <row r="6" spans="1:9" x14ac:dyDescent="0.2">
      <c r="A6" s="4" t="s">
        <v>90</v>
      </c>
      <c r="B6" s="23">
        <v>2.5</v>
      </c>
      <c r="C6" s="25">
        <f t="shared" si="0"/>
        <v>0.3214285714285714</v>
      </c>
      <c r="D6" s="4" t="s">
        <v>6</v>
      </c>
      <c r="E6" s="5"/>
      <c r="F6" s="6">
        <f t="shared" si="1"/>
        <v>0</v>
      </c>
      <c r="G6" s="37"/>
      <c r="I6" s="8"/>
    </row>
    <row r="7" spans="1:9" x14ac:dyDescent="0.2">
      <c r="A7" s="4" t="s">
        <v>134</v>
      </c>
      <c r="B7" s="23">
        <v>0.8</v>
      </c>
      <c r="C7" s="25">
        <f t="shared" si="0"/>
        <v>0.10285714285714286</v>
      </c>
      <c r="D7" s="4" t="s">
        <v>6</v>
      </c>
      <c r="E7" s="5"/>
      <c r="F7" s="6">
        <f t="shared" si="1"/>
        <v>0</v>
      </c>
      <c r="G7" s="37"/>
      <c r="I7" s="8"/>
    </row>
    <row r="8" spans="1:9" x14ac:dyDescent="0.2">
      <c r="A8" s="4" t="s">
        <v>135</v>
      </c>
      <c r="B8" s="23">
        <v>3</v>
      </c>
      <c r="C8" s="25">
        <f t="shared" si="0"/>
        <v>0.38571428571428573</v>
      </c>
      <c r="D8" s="4" t="s">
        <v>8</v>
      </c>
      <c r="E8" s="5">
        <v>2.4</v>
      </c>
      <c r="F8" s="6">
        <f t="shared" si="1"/>
        <v>0.92571428571428571</v>
      </c>
      <c r="G8" s="37"/>
      <c r="I8" s="8"/>
    </row>
    <row r="9" spans="1:9" x14ac:dyDescent="0.2">
      <c r="A9" s="4" t="s">
        <v>95</v>
      </c>
      <c r="B9" s="23">
        <v>2</v>
      </c>
      <c r="C9" s="25">
        <f t="shared" si="0"/>
        <v>0.25714285714285712</v>
      </c>
      <c r="D9" s="4" t="s">
        <v>6</v>
      </c>
      <c r="E9" s="5"/>
      <c r="F9" s="6">
        <f t="shared" si="1"/>
        <v>0</v>
      </c>
      <c r="G9" s="37"/>
      <c r="I9" s="8"/>
    </row>
    <row r="10" spans="1:9" x14ac:dyDescent="0.2">
      <c r="A10" s="4" t="s">
        <v>10</v>
      </c>
      <c r="B10" s="23">
        <v>8.4000000000000005E-2</v>
      </c>
      <c r="C10" s="25">
        <f t="shared" si="0"/>
        <v>1.0800000000000001E-2</v>
      </c>
      <c r="D10" s="4" t="s">
        <v>6</v>
      </c>
      <c r="E10" s="5"/>
      <c r="F10" s="6">
        <f t="shared" si="1"/>
        <v>0</v>
      </c>
      <c r="G10" s="37"/>
      <c r="I10" s="8"/>
    </row>
    <row r="11" spans="1:9" x14ac:dyDescent="0.2">
      <c r="A11" s="4" t="s">
        <v>94</v>
      </c>
      <c r="B11" s="23">
        <v>0.27</v>
      </c>
      <c r="C11" s="25">
        <f t="shared" si="0"/>
        <v>3.4714285714285718E-2</v>
      </c>
      <c r="D11" s="4" t="s">
        <v>6</v>
      </c>
      <c r="E11" s="5"/>
      <c r="F11" s="6">
        <f t="shared" si="1"/>
        <v>0</v>
      </c>
      <c r="G11" s="37"/>
      <c r="I11" s="8"/>
    </row>
    <row r="12" spans="1:9" x14ac:dyDescent="0.2">
      <c r="A12" s="4" t="s">
        <v>74</v>
      </c>
      <c r="B12" s="23">
        <v>0.05</v>
      </c>
      <c r="C12" s="25">
        <f t="shared" si="0"/>
        <v>6.4285714285714285E-3</v>
      </c>
      <c r="D12" s="4" t="s">
        <v>6</v>
      </c>
      <c r="E12" s="5"/>
      <c r="F12" s="6">
        <f t="shared" si="1"/>
        <v>0</v>
      </c>
      <c r="G12" s="37"/>
      <c r="I12" s="8"/>
    </row>
    <row r="13" spans="1:9" x14ac:dyDescent="0.2">
      <c r="A13" s="4" t="s">
        <v>52</v>
      </c>
      <c r="B13" s="22">
        <v>0.5</v>
      </c>
      <c r="C13" s="25">
        <f t="shared" si="0"/>
        <v>6.4285714285714279E-2</v>
      </c>
      <c r="D13" s="4" t="s">
        <v>6</v>
      </c>
      <c r="E13" s="5"/>
      <c r="F13" s="6">
        <f t="shared" si="1"/>
        <v>0</v>
      </c>
      <c r="G13" s="37"/>
      <c r="I13" s="8"/>
    </row>
    <row r="14" spans="1:9" x14ac:dyDescent="0.2">
      <c r="A14" s="4"/>
      <c r="B14" s="22"/>
      <c r="C14" s="25">
        <f t="shared" si="0"/>
        <v>0</v>
      </c>
      <c r="D14" s="4" t="s">
        <v>8</v>
      </c>
      <c r="E14" s="5"/>
      <c r="F14" s="6">
        <f t="shared" si="1"/>
        <v>0</v>
      </c>
      <c r="G14" s="37"/>
      <c r="I14" s="8"/>
    </row>
    <row r="15" spans="1:9" x14ac:dyDescent="0.2">
      <c r="A15" s="4"/>
      <c r="B15" s="4"/>
      <c r="C15" s="25">
        <f t="shared" si="0"/>
        <v>0</v>
      </c>
      <c r="D15" s="4" t="s">
        <v>8</v>
      </c>
      <c r="E15" s="5"/>
      <c r="F15" s="6">
        <f t="shared" si="1"/>
        <v>0</v>
      </c>
      <c r="G15" s="37"/>
      <c r="I15" s="8"/>
    </row>
    <row r="16" spans="1:9" x14ac:dyDescent="0.2">
      <c r="A16" s="4"/>
      <c r="B16" s="4"/>
      <c r="C16" s="25">
        <f t="shared" si="0"/>
        <v>0</v>
      </c>
      <c r="D16" s="4" t="s">
        <v>6</v>
      </c>
      <c r="E16" s="5"/>
      <c r="F16" s="6">
        <f t="shared" si="1"/>
        <v>0</v>
      </c>
      <c r="G16" s="37"/>
      <c r="I16" s="8"/>
    </row>
    <row r="17" spans="1:9" x14ac:dyDescent="0.2">
      <c r="A17" s="4"/>
      <c r="B17" s="4"/>
      <c r="C17" s="25">
        <f t="shared" si="0"/>
        <v>0</v>
      </c>
      <c r="D17" s="4" t="s">
        <v>6</v>
      </c>
      <c r="E17" s="5"/>
      <c r="F17" s="6">
        <f t="shared" si="1"/>
        <v>0</v>
      </c>
      <c r="G17" s="37"/>
      <c r="I17" s="8"/>
    </row>
    <row r="18" spans="1:9" x14ac:dyDescent="0.2">
      <c r="A18" s="4"/>
      <c r="B18" s="4"/>
      <c r="C18" s="25">
        <f t="shared" si="0"/>
        <v>0</v>
      </c>
      <c r="D18" s="4"/>
      <c r="E18" s="5"/>
      <c r="F18" s="6">
        <f t="shared" si="1"/>
        <v>0</v>
      </c>
      <c r="G18" s="37"/>
      <c r="I18" s="8"/>
    </row>
    <row r="19" spans="1:9" x14ac:dyDescent="0.2">
      <c r="A19" s="4"/>
      <c r="B19" s="4"/>
      <c r="C19" s="25">
        <f t="shared" si="0"/>
        <v>0</v>
      </c>
      <c r="D19" s="4"/>
      <c r="E19" s="5"/>
      <c r="F19" s="6">
        <f t="shared" si="1"/>
        <v>0</v>
      </c>
      <c r="G19" s="37"/>
      <c r="I19" s="8"/>
    </row>
    <row r="20" spans="1:9" x14ac:dyDescent="0.2">
      <c r="C20" s="9"/>
      <c r="F20" s="10">
        <f>SUM(F4:F19)</f>
        <v>0.92571428571428571</v>
      </c>
      <c r="G20" s="37"/>
      <c r="I20" s="8"/>
    </row>
    <row r="21" spans="1:9" ht="19" x14ac:dyDescent="0.25">
      <c r="A21" s="11" t="s">
        <v>12</v>
      </c>
      <c r="B21" s="12">
        <f>F20/B25</f>
        <v>0.10285714285714286</v>
      </c>
      <c r="C21" s="13"/>
      <c r="G21" s="37"/>
      <c r="I21" s="8"/>
    </row>
    <row r="22" spans="1:9" x14ac:dyDescent="0.2">
      <c r="A22" s="14" t="s">
        <v>13</v>
      </c>
      <c r="B22" s="14">
        <v>8.4</v>
      </c>
      <c r="C22" s="9"/>
      <c r="G22" s="37"/>
      <c r="I22" s="8"/>
    </row>
    <row r="23" spans="1:9" x14ac:dyDescent="0.2">
      <c r="A23" t="s">
        <v>14</v>
      </c>
      <c r="B23" s="15">
        <f>B22/B24</f>
        <v>70</v>
      </c>
      <c r="C23" s="9"/>
      <c r="G23" s="37"/>
      <c r="I23" s="8"/>
    </row>
    <row r="24" spans="1:9" x14ac:dyDescent="0.2">
      <c r="A24" t="s">
        <v>15</v>
      </c>
      <c r="B24">
        <v>0.12</v>
      </c>
      <c r="C24" s="9"/>
      <c r="G24" s="37"/>
      <c r="I24" s="8"/>
    </row>
    <row r="25" spans="1:9" ht="19" x14ac:dyDescent="0.25">
      <c r="A25" s="16" t="s">
        <v>16</v>
      </c>
      <c r="B25" s="16">
        <v>9</v>
      </c>
      <c r="C25" s="9"/>
      <c r="G25" s="37"/>
      <c r="I25" s="8"/>
    </row>
    <row r="26" spans="1:9" x14ac:dyDescent="0.2">
      <c r="E26" s="24"/>
      <c r="I26" s="8"/>
    </row>
    <row r="34" spans="6:6" x14ac:dyDescent="0.2">
      <c r="F34" s="24"/>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9ED7-15F6-CB4A-9211-D3E6A04CEFE5}">
  <dimension ref="A1:I26"/>
  <sheetViews>
    <sheetView zoomScale="125" zoomScaleNormal="140" workbookViewId="0">
      <selection activeCell="B8" sqref="B8"/>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38</v>
      </c>
      <c r="B1" s="38"/>
      <c r="C1" s="38"/>
      <c r="D1" s="38"/>
      <c r="E1" s="29" t="s">
        <v>24</v>
      </c>
      <c r="F1" s="30"/>
      <c r="G1" s="31" t="s">
        <v>44</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20" thickBot="1" x14ac:dyDescent="0.3">
      <c r="A4" s="4" t="s">
        <v>36</v>
      </c>
      <c r="B4" s="18">
        <v>10</v>
      </c>
      <c r="C4" s="17">
        <f t="shared" ref="C4:C19" si="0">B4/B$23*B$25</f>
        <v>26.785714285714285</v>
      </c>
      <c r="D4" s="4" t="s">
        <v>6</v>
      </c>
      <c r="E4" s="5"/>
      <c r="F4" s="6">
        <f t="shared" ref="F4:F19" si="1">C4*E4</f>
        <v>0</v>
      </c>
      <c r="G4" s="36" t="s">
        <v>43</v>
      </c>
    </row>
    <row r="5" spans="1:9" ht="19" x14ac:dyDescent="0.25">
      <c r="A5" s="4" t="s">
        <v>37</v>
      </c>
      <c r="B5" s="18">
        <v>0.8</v>
      </c>
      <c r="C5" s="17">
        <f t="shared" si="0"/>
        <v>2.1428571428571428</v>
      </c>
      <c r="D5" s="4" t="s">
        <v>8</v>
      </c>
      <c r="E5" s="5"/>
      <c r="F5" s="6">
        <f t="shared" si="1"/>
        <v>0</v>
      </c>
      <c r="G5" s="37"/>
      <c r="I5" s="7"/>
    </row>
    <row r="6" spans="1:9" ht="19" x14ac:dyDescent="0.25">
      <c r="A6" s="4" t="s">
        <v>21</v>
      </c>
      <c r="B6" s="18">
        <v>0.01</v>
      </c>
      <c r="C6" s="17">
        <f t="shared" si="0"/>
        <v>2.6785714285714284E-2</v>
      </c>
      <c r="D6" s="4" t="s">
        <v>6</v>
      </c>
      <c r="E6" s="5"/>
      <c r="F6" s="6">
        <f t="shared" si="1"/>
        <v>0</v>
      </c>
      <c r="G6" s="37"/>
      <c r="I6" s="8"/>
    </row>
    <row r="7" spans="1:9" ht="19" x14ac:dyDescent="0.25">
      <c r="A7" s="4" t="s">
        <v>22</v>
      </c>
      <c r="B7" s="18">
        <v>0.3</v>
      </c>
      <c r="C7" s="17">
        <f t="shared" si="0"/>
        <v>0.80357142857142849</v>
      </c>
      <c r="D7" s="4" t="s">
        <v>6</v>
      </c>
      <c r="E7" s="5"/>
      <c r="F7" s="6">
        <f t="shared" si="1"/>
        <v>0</v>
      </c>
      <c r="G7" s="37"/>
      <c r="I7" s="8"/>
    </row>
    <row r="8" spans="1:9" ht="19" x14ac:dyDescent="0.25">
      <c r="A8" s="4" t="s">
        <v>39</v>
      </c>
      <c r="B8" s="18">
        <v>0.3</v>
      </c>
      <c r="C8" s="17">
        <f t="shared" si="0"/>
        <v>0.80357142857142849</v>
      </c>
      <c r="D8" s="4" t="s">
        <v>8</v>
      </c>
      <c r="E8" s="5"/>
      <c r="F8" s="6">
        <f t="shared" si="1"/>
        <v>0</v>
      </c>
      <c r="G8" s="37"/>
      <c r="I8" s="8"/>
    </row>
    <row r="9" spans="1:9" ht="19" x14ac:dyDescent="0.25">
      <c r="A9" s="4" t="s">
        <v>26</v>
      </c>
      <c r="B9" s="18">
        <v>2</v>
      </c>
      <c r="C9" s="17">
        <f t="shared" si="0"/>
        <v>5.3571428571428568</v>
      </c>
      <c r="D9" s="4" t="s">
        <v>6</v>
      </c>
      <c r="E9" s="5"/>
      <c r="F9" s="6">
        <f t="shared" si="1"/>
        <v>0</v>
      </c>
      <c r="G9" s="37"/>
      <c r="I9" s="8"/>
    </row>
    <row r="10" spans="1:9" ht="19" x14ac:dyDescent="0.25">
      <c r="A10" s="4" t="s">
        <v>40</v>
      </c>
      <c r="B10" s="18">
        <v>0.8</v>
      </c>
      <c r="C10" s="17">
        <f t="shared" si="0"/>
        <v>2.1428571428571428</v>
      </c>
      <c r="D10" s="4" t="s">
        <v>6</v>
      </c>
      <c r="E10" s="5"/>
      <c r="F10" s="6">
        <f t="shared" si="1"/>
        <v>0</v>
      </c>
      <c r="G10" s="37"/>
      <c r="I10" s="8"/>
    </row>
    <row r="11" spans="1:9" ht="19" x14ac:dyDescent="0.25">
      <c r="A11" s="4" t="s">
        <v>31</v>
      </c>
      <c r="B11" s="18">
        <v>5.0000000000000001E-3</v>
      </c>
      <c r="C11" s="17">
        <f t="shared" si="0"/>
        <v>1.3392857142857142E-2</v>
      </c>
      <c r="D11" s="4" t="s">
        <v>6</v>
      </c>
      <c r="E11" s="5"/>
      <c r="F11" s="6">
        <f t="shared" si="1"/>
        <v>0</v>
      </c>
      <c r="G11" s="37"/>
      <c r="I11" s="8"/>
    </row>
    <row r="12" spans="1:9" ht="19" x14ac:dyDescent="0.25">
      <c r="A12" s="4" t="s">
        <v>41</v>
      </c>
      <c r="B12" s="18">
        <v>0.2</v>
      </c>
      <c r="C12" s="17">
        <f t="shared" si="0"/>
        <v>0.5357142857142857</v>
      </c>
      <c r="D12" s="4" t="s">
        <v>6</v>
      </c>
      <c r="E12" s="5"/>
      <c r="F12" s="6">
        <f t="shared" si="1"/>
        <v>0</v>
      </c>
      <c r="G12" s="37"/>
      <c r="I12" s="8"/>
    </row>
    <row r="13" spans="1:9" ht="19" x14ac:dyDescent="0.25">
      <c r="A13" s="4" t="s">
        <v>9</v>
      </c>
      <c r="B13" s="18">
        <v>0.23</v>
      </c>
      <c r="C13" s="17">
        <f t="shared" si="0"/>
        <v>0.61607142857142849</v>
      </c>
      <c r="D13" s="4" t="s">
        <v>6</v>
      </c>
      <c r="E13" s="5"/>
      <c r="F13" s="6">
        <f t="shared" si="1"/>
        <v>0</v>
      </c>
      <c r="G13" s="37"/>
      <c r="I13" s="8"/>
    </row>
    <row r="14" spans="1:9" ht="19" x14ac:dyDescent="0.25">
      <c r="A14" s="4" t="s">
        <v>42</v>
      </c>
      <c r="B14" s="18">
        <v>1</v>
      </c>
      <c r="C14" s="17">
        <f t="shared" si="0"/>
        <v>2.6785714285714284</v>
      </c>
      <c r="D14" s="4" t="s">
        <v>8</v>
      </c>
      <c r="E14" s="5"/>
      <c r="F14" s="6">
        <f t="shared" si="1"/>
        <v>0</v>
      </c>
      <c r="G14" s="37"/>
      <c r="I14" s="8"/>
    </row>
    <row r="15" spans="1:9" x14ac:dyDescent="0.2">
      <c r="A15" s="4"/>
      <c r="B15" s="4"/>
      <c r="C15" s="17">
        <f t="shared" si="0"/>
        <v>0</v>
      </c>
      <c r="D15" s="4" t="s">
        <v>8</v>
      </c>
      <c r="E15" s="5"/>
      <c r="F15" s="6">
        <f t="shared" si="1"/>
        <v>0</v>
      </c>
      <c r="G15" s="37"/>
      <c r="I15" s="8"/>
    </row>
    <row r="16" spans="1:9" x14ac:dyDescent="0.2">
      <c r="A16" s="4"/>
      <c r="B16" s="4"/>
      <c r="C16" s="17">
        <f t="shared" si="0"/>
        <v>0</v>
      </c>
      <c r="D16" s="4" t="s">
        <v>6</v>
      </c>
      <c r="E16" s="5"/>
      <c r="F16" s="6">
        <f t="shared" si="1"/>
        <v>0</v>
      </c>
      <c r="G16" s="37"/>
      <c r="I16" s="8"/>
    </row>
    <row r="17" spans="1:9" x14ac:dyDescent="0.2">
      <c r="A17" s="4"/>
      <c r="B17" s="4"/>
      <c r="C17" s="17">
        <f t="shared" si="0"/>
        <v>0</v>
      </c>
      <c r="D17" s="4" t="s">
        <v>6</v>
      </c>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v>7</v>
      </c>
      <c r="C22" s="9"/>
      <c r="G22" s="37"/>
      <c r="I22" s="8"/>
    </row>
    <row r="23" spans="1:9" x14ac:dyDescent="0.2">
      <c r="A23" t="s">
        <v>14</v>
      </c>
      <c r="B23" s="15">
        <f>B22/B24</f>
        <v>46.666666666666671</v>
      </c>
      <c r="C23" s="9"/>
      <c r="G23" s="37"/>
      <c r="I23" s="8"/>
    </row>
    <row r="24" spans="1:9" x14ac:dyDescent="0.2">
      <c r="A24" t="s">
        <v>15</v>
      </c>
      <c r="B24">
        <v>0.15</v>
      </c>
      <c r="C24" s="9"/>
      <c r="G24" s="37"/>
      <c r="I24" s="8"/>
    </row>
    <row r="25" spans="1:9" ht="19" x14ac:dyDescent="0.25">
      <c r="A25" s="16" t="s">
        <v>16</v>
      </c>
      <c r="B25" s="16">
        <v>125</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ED66A-03E6-7349-9311-8592F4F34356}">
  <dimension ref="A1:I26"/>
  <sheetViews>
    <sheetView zoomScale="125" workbookViewId="0">
      <selection activeCell="G4" sqref="G4:G25"/>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50</v>
      </c>
      <c r="B1" s="38"/>
      <c r="C1" s="38"/>
      <c r="D1" s="38"/>
      <c r="E1" s="29" t="s">
        <v>24</v>
      </c>
      <c r="F1" s="30"/>
      <c r="G1" s="31" t="s">
        <v>44</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20" thickBot="1" x14ac:dyDescent="0.3">
      <c r="A4" s="4" t="s">
        <v>51</v>
      </c>
      <c r="B4" s="18">
        <v>10</v>
      </c>
      <c r="C4" s="17">
        <f t="shared" ref="C4:C19" si="0">B4/B$23*B$25</f>
        <v>39.285714285714285</v>
      </c>
      <c r="D4" s="4" t="s">
        <v>6</v>
      </c>
      <c r="E4" s="5"/>
      <c r="F4" s="6">
        <f t="shared" ref="F4:F19" si="1">C4*E4</f>
        <v>0</v>
      </c>
      <c r="G4" s="36" t="s">
        <v>57</v>
      </c>
    </row>
    <row r="5" spans="1:9" ht="19" x14ac:dyDescent="0.25">
      <c r="A5" s="4" t="s">
        <v>37</v>
      </c>
      <c r="B5" s="18">
        <v>0.7</v>
      </c>
      <c r="C5" s="17">
        <f t="shared" si="0"/>
        <v>2.75</v>
      </c>
      <c r="D5" s="4" t="s">
        <v>8</v>
      </c>
      <c r="E5" s="5"/>
      <c r="F5" s="6">
        <f t="shared" si="1"/>
        <v>0</v>
      </c>
      <c r="G5" s="37"/>
      <c r="I5" s="7"/>
    </row>
    <row r="6" spans="1:9" ht="19" x14ac:dyDescent="0.25">
      <c r="A6" s="4" t="s">
        <v>52</v>
      </c>
      <c r="B6" s="18">
        <v>0.5</v>
      </c>
      <c r="C6" s="17">
        <f t="shared" si="0"/>
        <v>1.9642857142857144</v>
      </c>
      <c r="D6" s="4" t="s">
        <v>6</v>
      </c>
      <c r="E6" s="5"/>
      <c r="F6" s="6">
        <f t="shared" si="1"/>
        <v>0</v>
      </c>
      <c r="G6" s="37"/>
      <c r="I6" s="8"/>
    </row>
    <row r="7" spans="1:9" ht="19" x14ac:dyDescent="0.25">
      <c r="A7" s="4" t="s">
        <v>56</v>
      </c>
      <c r="B7" s="18">
        <v>2.1</v>
      </c>
      <c r="C7" s="17">
        <f t="shared" si="0"/>
        <v>8.25</v>
      </c>
      <c r="D7" s="4" t="s">
        <v>6</v>
      </c>
      <c r="E7" s="5"/>
      <c r="F7" s="6">
        <f t="shared" si="1"/>
        <v>0</v>
      </c>
      <c r="G7" s="37"/>
      <c r="I7" s="8"/>
    </row>
    <row r="8" spans="1:9" ht="19" x14ac:dyDescent="0.25">
      <c r="A8" s="4" t="s">
        <v>53</v>
      </c>
      <c r="B8" s="18">
        <v>2.2000000000000002</v>
      </c>
      <c r="C8" s="17">
        <f t="shared" si="0"/>
        <v>8.6428571428571441</v>
      </c>
      <c r="D8" s="4" t="s">
        <v>8</v>
      </c>
      <c r="E8" s="5"/>
      <c r="F8" s="6">
        <f t="shared" si="1"/>
        <v>0</v>
      </c>
      <c r="G8" s="37"/>
      <c r="I8" s="8"/>
    </row>
    <row r="9" spans="1:9" ht="19" x14ac:dyDescent="0.25">
      <c r="A9" s="4" t="s">
        <v>54</v>
      </c>
      <c r="B9" s="18">
        <v>2.5</v>
      </c>
      <c r="C9" s="17">
        <f>B9/B$23*B$25</f>
        <v>9.8214285714285712</v>
      </c>
      <c r="D9" s="4" t="s">
        <v>6</v>
      </c>
      <c r="E9" s="5"/>
      <c r="F9" s="6">
        <f t="shared" si="1"/>
        <v>0</v>
      </c>
      <c r="G9" s="37"/>
      <c r="I9" s="8"/>
    </row>
    <row r="10" spans="1:9" ht="19" x14ac:dyDescent="0.25">
      <c r="A10" s="4" t="s">
        <v>55</v>
      </c>
      <c r="B10" s="20">
        <v>2.5</v>
      </c>
      <c r="C10" s="17">
        <f>B10/B$23*B$25</f>
        <v>9.8214285714285712</v>
      </c>
      <c r="D10" s="4" t="s">
        <v>6</v>
      </c>
      <c r="E10" s="5"/>
      <c r="F10" s="6">
        <f t="shared" si="1"/>
        <v>0</v>
      </c>
      <c r="G10" s="37"/>
      <c r="I10" s="8"/>
    </row>
    <row r="11" spans="1:9" ht="19" x14ac:dyDescent="0.25">
      <c r="B11" s="18"/>
      <c r="C11" s="17">
        <f t="shared" si="0"/>
        <v>0</v>
      </c>
      <c r="D11" s="4" t="s">
        <v>6</v>
      </c>
      <c r="E11" s="5"/>
      <c r="F11" s="6">
        <f t="shared" si="1"/>
        <v>0</v>
      </c>
      <c r="G11" s="37"/>
      <c r="I11" s="8"/>
    </row>
    <row r="12" spans="1:9" ht="19" x14ac:dyDescent="0.25">
      <c r="A12" s="4"/>
      <c r="B12" s="18"/>
      <c r="C12" s="17">
        <f t="shared" si="0"/>
        <v>0</v>
      </c>
      <c r="D12" s="4" t="s">
        <v>6</v>
      </c>
      <c r="E12" s="5"/>
      <c r="F12" s="6">
        <f t="shared" si="1"/>
        <v>0</v>
      </c>
      <c r="G12" s="37"/>
      <c r="I12" s="8"/>
    </row>
    <row r="13" spans="1:9" ht="19" x14ac:dyDescent="0.25">
      <c r="A13" s="4"/>
      <c r="B13" s="18"/>
      <c r="C13" s="17">
        <f t="shared" si="0"/>
        <v>0</v>
      </c>
      <c r="D13" s="4" t="s">
        <v>6</v>
      </c>
      <c r="E13" s="5"/>
      <c r="F13" s="6">
        <f t="shared" si="1"/>
        <v>0</v>
      </c>
      <c r="G13" s="37"/>
      <c r="I13" s="8"/>
    </row>
    <row r="14" spans="1:9" ht="19" x14ac:dyDescent="0.25">
      <c r="A14" s="4"/>
      <c r="B14" s="18"/>
      <c r="C14" s="17">
        <f t="shared" si="0"/>
        <v>0</v>
      </c>
      <c r="D14" s="4" t="s">
        <v>8</v>
      </c>
      <c r="E14" s="5"/>
      <c r="F14" s="6">
        <f t="shared" si="1"/>
        <v>0</v>
      </c>
      <c r="G14" s="37"/>
      <c r="I14" s="8"/>
    </row>
    <row r="15" spans="1:9" x14ac:dyDescent="0.2">
      <c r="A15" s="4"/>
      <c r="B15" s="4"/>
      <c r="C15" s="17">
        <f t="shared" si="0"/>
        <v>0</v>
      </c>
      <c r="D15" s="4" t="s">
        <v>8</v>
      </c>
      <c r="E15" s="5"/>
      <c r="F15" s="6">
        <f t="shared" si="1"/>
        <v>0</v>
      </c>
      <c r="G15" s="37"/>
      <c r="I15" s="8"/>
    </row>
    <row r="16" spans="1:9" x14ac:dyDescent="0.2">
      <c r="A16" s="4"/>
      <c r="B16" s="4"/>
      <c r="C16" s="17">
        <f t="shared" si="0"/>
        <v>0</v>
      </c>
      <c r="D16" s="4" t="s">
        <v>6</v>
      </c>
      <c r="E16" s="5"/>
      <c r="F16" s="6">
        <f t="shared" si="1"/>
        <v>0</v>
      </c>
      <c r="G16" s="37"/>
      <c r="I16" s="8"/>
    </row>
    <row r="17" spans="1:9" x14ac:dyDescent="0.2">
      <c r="A17" s="4"/>
      <c r="B17" s="4"/>
      <c r="C17" s="17">
        <f t="shared" si="0"/>
        <v>0</v>
      </c>
      <c r="D17" s="4" t="s">
        <v>6</v>
      </c>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v>7</v>
      </c>
      <c r="C22" s="9"/>
      <c r="G22" s="37"/>
      <c r="I22" s="8"/>
    </row>
    <row r="23" spans="1:9" x14ac:dyDescent="0.2">
      <c r="A23" t="s">
        <v>14</v>
      </c>
      <c r="B23" s="15">
        <f>B22/B24</f>
        <v>63.636363636363633</v>
      </c>
      <c r="C23" s="9"/>
      <c r="G23" s="37"/>
      <c r="I23" s="8"/>
    </row>
    <row r="24" spans="1:9" x14ac:dyDescent="0.2">
      <c r="A24" t="s">
        <v>15</v>
      </c>
      <c r="B24">
        <v>0.11</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FCC6-5AB9-CF43-8030-8C6EC14487DE}">
  <dimension ref="A1:I26"/>
  <sheetViews>
    <sheetView topLeftCell="A2" zoomScale="139" workbookViewId="0">
      <selection activeCell="B22" sqref="B22"/>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66</v>
      </c>
      <c r="B1" s="38"/>
      <c r="C1" s="38"/>
      <c r="D1" s="38"/>
      <c r="E1" s="29" t="s">
        <v>24</v>
      </c>
      <c r="F1" s="30"/>
      <c r="G1" s="31" t="s">
        <v>63</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17" thickBot="1" x14ac:dyDescent="0.25">
      <c r="A4" s="4" t="s">
        <v>58</v>
      </c>
      <c r="B4" s="4">
        <v>1.5</v>
      </c>
      <c r="C4" s="17">
        <f t="shared" ref="C4:C19" si="0">B4/B$23*B$25</f>
        <v>4.9818840579710146</v>
      </c>
      <c r="D4" s="4" t="s">
        <v>6</v>
      </c>
      <c r="E4" s="5"/>
      <c r="F4" s="6">
        <f t="shared" ref="F4:F19" si="1">C4*E4</f>
        <v>0</v>
      </c>
      <c r="G4" s="36" t="s">
        <v>125</v>
      </c>
    </row>
    <row r="5" spans="1:9" x14ac:dyDescent="0.2">
      <c r="A5" s="4" t="s">
        <v>10</v>
      </c>
      <c r="B5" s="4">
        <v>0.05</v>
      </c>
      <c r="C5" s="17">
        <f t="shared" si="0"/>
        <v>0.16606280193236717</v>
      </c>
      <c r="D5" s="4" t="s">
        <v>6</v>
      </c>
      <c r="E5" s="5"/>
      <c r="F5" s="6">
        <f t="shared" si="1"/>
        <v>0</v>
      </c>
      <c r="G5" s="37"/>
      <c r="I5" s="7"/>
    </row>
    <row r="6" spans="1:9" x14ac:dyDescent="0.2">
      <c r="A6" s="4" t="s">
        <v>60</v>
      </c>
      <c r="B6" s="4">
        <v>0.05</v>
      </c>
      <c r="C6" s="17">
        <f t="shared" si="0"/>
        <v>0.16606280193236717</v>
      </c>
      <c r="D6" s="4" t="s">
        <v>6</v>
      </c>
      <c r="E6" s="5"/>
      <c r="F6" s="6">
        <f t="shared" si="1"/>
        <v>0</v>
      </c>
      <c r="G6" s="37"/>
      <c r="I6" s="8"/>
    </row>
    <row r="7" spans="1:9" x14ac:dyDescent="0.2">
      <c r="A7" s="4" t="s">
        <v>59</v>
      </c>
      <c r="B7" s="4">
        <v>4.5</v>
      </c>
      <c r="C7" s="17">
        <f t="shared" si="0"/>
        <v>14.945652173913045</v>
      </c>
      <c r="D7" s="4" t="s">
        <v>6</v>
      </c>
      <c r="E7" s="5"/>
      <c r="F7" s="6">
        <f t="shared" si="1"/>
        <v>0</v>
      </c>
      <c r="G7" s="37"/>
      <c r="I7" s="8"/>
    </row>
    <row r="8" spans="1:9" x14ac:dyDescent="0.2">
      <c r="A8" s="4" t="s">
        <v>61</v>
      </c>
      <c r="B8" s="4">
        <v>1</v>
      </c>
      <c r="C8" s="17">
        <f t="shared" si="0"/>
        <v>3.3212560386473435</v>
      </c>
      <c r="D8" s="4" t="s">
        <v>6</v>
      </c>
      <c r="E8" s="5"/>
      <c r="F8" s="6">
        <f t="shared" si="1"/>
        <v>0</v>
      </c>
      <c r="G8" s="37"/>
      <c r="I8" s="8"/>
    </row>
    <row r="9" spans="1:9" x14ac:dyDescent="0.2">
      <c r="A9" s="4" t="s">
        <v>65</v>
      </c>
      <c r="B9" s="4"/>
      <c r="C9" s="17">
        <f>B9/B$23*B$25</f>
        <v>0</v>
      </c>
      <c r="D9" s="4" t="s">
        <v>6</v>
      </c>
      <c r="E9" s="5"/>
      <c r="F9" s="6">
        <f t="shared" si="1"/>
        <v>0</v>
      </c>
      <c r="G9" s="37"/>
      <c r="I9" s="8"/>
    </row>
    <row r="10" spans="1:9" x14ac:dyDescent="0.2">
      <c r="A10" s="4"/>
      <c r="B10" s="4"/>
      <c r="C10" s="17">
        <f>B10/B$23*B$25</f>
        <v>0</v>
      </c>
      <c r="D10" s="4" t="s">
        <v>6</v>
      </c>
      <c r="E10" s="5"/>
      <c r="F10" s="6">
        <f t="shared" si="1"/>
        <v>0</v>
      </c>
      <c r="G10" s="37"/>
      <c r="I10" s="8"/>
    </row>
    <row r="11" spans="1:9" x14ac:dyDescent="0.2">
      <c r="A11" s="4" t="s">
        <v>62</v>
      </c>
      <c r="B11" s="4">
        <v>1</v>
      </c>
      <c r="C11" s="17">
        <f t="shared" si="0"/>
        <v>3.3212560386473435</v>
      </c>
      <c r="D11" s="4" t="s">
        <v>6</v>
      </c>
      <c r="E11" s="5"/>
      <c r="F11" s="6">
        <f t="shared" si="1"/>
        <v>0</v>
      </c>
      <c r="G11" s="37"/>
      <c r="I11" s="8"/>
    </row>
    <row r="12" spans="1:9" x14ac:dyDescent="0.2">
      <c r="A12" s="4" t="s">
        <v>30</v>
      </c>
      <c r="B12" s="4">
        <v>0.18</v>
      </c>
      <c r="C12" s="17">
        <f t="shared" si="0"/>
        <v>0.59782608695652184</v>
      </c>
      <c r="D12" s="4" t="s">
        <v>6</v>
      </c>
      <c r="E12" s="5"/>
      <c r="F12" s="6">
        <f t="shared" si="1"/>
        <v>0</v>
      </c>
      <c r="G12" s="37"/>
      <c r="I12" s="8"/>
    </row>
    <row r="13" spans="1:9" ht="19" x14ac:dyDescent="0.25">
      <c r="A13" s="4"/>
      <c r="B13" s="18"/>
      <c r="C13" s="17">
        <f t="shared" si="0"/>
        <v>0</v>
      </c>
      <c r="D13" s="4"/>
      <c r="E13" s="5"/>
      <c r="F13" s="6">
        <f t="shared" si="1"/>
        <v>0</v>
      </c>
      <c r="G13" s="37"/>
      <c r="I13" s="8"/>
    </row>
    <row r="14" spans="1:9" ht="19" x14ac:dyDescent="0.25">
      <c r="A14" s="4"/>
      <c r="B14" s="18"/>
      <c r="C14" s="17">
        <f t="shared" si="0"/>
        <v>0</v>
      </c>
      <c r="D14" s="4"/>
      <c r="E14" s="5"/>
      <c r="F14" s="6">
        <f t="shared" si="1"/>
        <v>0</v>
      </c>
      <c r="G14" s="37"/>
      <c r="I14" s="8"/>
    </row>
    <row r="15" spans="1:9" x14ac:dyDescent="0.2">
      <c r="A15" s="4"/>
      <c r="B15" s="4"/>
      <c r="C15" s="17">
        <f t="shared" si="0"/>
        <v>0</v>
      </c>
      <c r="D15" s="4"/>
      <c r="E15" s="5"/>
      <c r="F15" s="6">
        <f t="shared" si="1"/>
        <v>0</v>
      </c>
      <c r="G15" s="37"/>
      <c r="I15" s="8"/>
    </row>
    <row r="16" spans="1:9" x14ac:dyDescent="0.2">
      <c r="A16" s="4"/>
      <c r="B16" s="4"/>
      <c r="C16" s="17">
        <f t="shared" si="0"/>
        <v>0</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8.2799999999999994</v>
      </c>
      <c r="C22" s="9"/>
      <c r="G22" s="37"/>
      <c r="I22" s="8"/>
    </row>
    <row r="23" spans="1:9" x14ac:dyDescent="0.2">
      <c r="A23" t="s">
        <v>14</v>
      </c>
      <c r="B23" s="15">
        <f>B22/B24</f>
        <v>75.272727272727266</v>
      </c>
      <c r="C23" s="9"/>
      <c r="G23" s="37"/>
      <c r="I23" s="8"/>
    </row>
    <row r="24" spans="1:9" x14ac:dyDescent="0.2">
      <c r="A24" t="s">
        <v>15</v>
      </c>
      <c r="B24">
        <v>0.11</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687C-A5CB-F94D-B32D-6D1EC6B13206}">
  <dimension ref="A1:I26"/>
  <sheetViews>
    <sheetView topLeftCell="A4" zoomScale="177" workbookViewId="0">
      <selection activeCell="B22" sqref="B22"/>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107</v>
      </c>
      <c r="B1" s="38"/>
      <c r="C1" s="38"/>
      <c r="D1" s="38"/>
      <c r="E1" s="29" t="s">
        <v>24</v>
      </c>
      <c r="F1" s="30"/>
      <c r="G1" s="31" t="s">
        <v>100</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17" thickBot="1" x14ac:dyDescent="0.25">
      <c r="A4" s="4" t="s">
        <v>101</v>
      </c>
      <c r="B4" s="4">
        <v>0.72</v>
      </c>
      <c r="C4" s="17">
        <f t="shared" ref="C4:C19" si="0">B4/B$23*B$25</f>
        <v>5.2045684545323123</v>
      </c>
      <c r="D4" s="4" t="s">
        <v>6</v>
      </c>
      <c r="E4" s="5"/>
      <c r="F4" s="6">
        <f t="shared" ref="F4:F19" si="1">C4*E4</f>
        <v>0</v>
      </c>
      <c r="G4" s="36" t="s">
        <v>64</v>
      </c>
    </row>
    <row r="5" spans="1:9" x14ac:dyDescent="0.2">
      <c r="A5" s="4" t="s">
        <v>103</v>
      </c>
      <c r="B5" s="4">
        <v>0.35499999999999998</v>
      </c>
      <c r="C5" s="17">
        <f t="shared" si="0"/>
        <v>2.5661413907763486</v>
      </c>
      <c r="D5" s="4" t="s">
        <v>6</v>
      </c>
      <c r="E5" s="5"/>
      <c r="F5" s="6">
        <f t="shared" si="1"/>
        <v>0</v>
      </c>
      <c r="G5" s="37"/>
      <c r="I5" s="7"/>
    </row>
    <row r="6" spans="1:9" x14ac:dyDescent="0.2">
      <c r="A6" s="4" t="s">
        <v>102</v>
      </c>
      <c r="B6" s="4">
        <v>0.45</v>
      </c>
      <c r="C6" s="17">
        <f t="shared" si="0"/>
        <v>3.2528552840826954</v>
      </c>
      <c r="D6" s="4" t="s">
        <v>6</v>
      </c>
      <c r="E6" s="5"/>
      <c r="F6" s="6">
        <f t="shared" si="1"/>
        <v>0</v>
      </c>
      <c r="G6" s="37"/>
      <c r="I6" s="8"/>
    </row>
    <row r="7" spans="1:9" x14ac:dyDescent="0.2">
      <c r="A7" s="4" t="s">
        <v>104</v>
      </c>
      <c r="B7" s="4">
        <v>0.21</v>
      </c>
      <c r="C7" s="17">
        <f t="shared" si="0"/>
        <v>1.5179991325719244</v>
      </c>
      <c r="D7" s="4" t="s">
        <v>6</v>
      </c>
      <c r="E7" s="5"/>
      <c r="F7" s="6">
        <f t="shared" si="1"/>
        <v>0</v>
      </c>
      <c r="G7" s="37"/>
      <c r="I7" s="8"/>
    </row>
    <row r="8" spans="1:9" x14ac:dyDescent="0.2">
      <c r="A8" s="4" t="s">
        <v>86</v>
      </c>
      <c r="B8" s="4">
        <v>3.5000000000000003E-2</v>
      </c>
      <c r="C8" s="17">
        <f t="shared" si="0"/>
        <v>0.25299985542865411</v>
      </c>
      <c r="D8" s="4" t="s">
        <v>6</v>
      </c>
      <c r="E8" s="5"/>
      <c r="F8" s="6">
        <f t="shared" si="1"/>
        <v>0</v>
      </c>
      <c r="G8" s="37"/>
      <c r="I8" s="8"/>
    </row>
    <row r="9" spans="1:9" x14ac:dyDescent="0.2">
      <c r="A9" s="4" t="s">
        <v>105</v>
      </c>
      <c r="B9" s="4">
        <v>1.64</v>
      </c>
      <c r="C9" s="17">
        <f>B9/B$23*B$25</f>
        <v>11.854850368656933</v>
      </c>
      <c r="D9" s="4" t="s">
        <v>6</v>
      </c>
      <c r="E9" s="5"/>
      <c r="F9" s="6">
        <f t="shared" si="1"/>
        <v>0</v>
      </c>
      <c r="G9" s="37"/>
      <c r="I9" s="8"/>
    </row>
    <row r="10" spans="1:9" x14ac:dyDescent="0.2">
      <c r="A10" s="4" t="s">
        <v>9</v>
      </c>
      <c r="B10" s="4">
        <v>0.14499999999999999</v>
      </c>
      <c r="C10" s="17">
        <f>B10/B$23*B$25</f>
        <v>1.048142258204424</v>
      </c>
      <c r="D10" s="4" t="s">
        <v>6</v>
      </c>
      <c r="E10" s="5"/>
      <c r="F10" s="6">
        <f t="shared" si="1"/>
        <v>0</v>
      </c>
      <c r="G10" s="37"/>
      <c r="I10" s="8"/>
    </row>
    <row r="11" spans="1:9" x14ac:dyDescent="0.2">
      <c r="A11" s="4" t="s">
        <v>108</v>
      </c>
      <c r="B11" s="4">
        <v>2</v>
      </c>
      <c r="C11" s="17">
        <f t="shared" si="0"/>
        <v>14.45713459592309</v>
      </c>
      <c r="D11" s="4" t="s">
        <v>6</v>
      </c>
      <c r="E11" s="5"/>
      <c r="F11" s="6">
        <f t="shared" si="1"/>
        <v>0</v>
      </c>
      <c r="G11" s="37"/>
      <c r="I11" s="8"/>
    </row>
    <row r="12" spans="1:9" x14ac:dyDescent="0.2">
      <c r="A12" s="4" t="s">
        <v>10</v>
      </c>
      <c r="B12" s="4">
        <v>0.03</v>
      </c>
      <c r="C12" s="17">
        <f t="shared" si="0"/>
        <v>0.21685701893884635</v>
      </c>
      <c r="D12" s="4" t="s">
        <v>6</v>
      </c>
      <c r="E12" s="5"/>
      <c r="F12" s="6">
        <f t="shared" si="1"/>
        <v>0</v>
      </c>
      <c r="G12" s="37"/>
      <c r="I12" s="8"/>
    </row>
    <row r="13" spans="1:9" ht="19" x14ac:dyDescent="0.25">
      <c r="A13" s="4" t="s">
        <v>106</v>
      </c>
      <c r="B13" s="18">
        <v>1.2E-2</v>
      </c>
      <c r="C13" s="17">
        <f t="shared" si="0"/>
        <v>8.6742807575538552E-2</v>
      </c>
      <c r="D13" s="4"/>
      <c r="E13" s="5"/>
      <c r="F13" s="6">
        <f t="shared" si="1"/>
        <v>0</v>
      </c>
      <c r="G13" s="37"/>
      <c r="I13" s="8"/>
    </row>
    <row r="14" spans="1:9" ht="19" x14ac:dyDescent="0.25">
      <c r="A14" s="4" t="s">
        <v>59</v>
      </c>
      <c r="B14" s="18">
        <v>1.18</v>
      </c>
      <c r="C14" s="17">
        <f t="shared" si="0"/>
        <v>8.5297094115946237</v>
      </c>
      <c r="D14" s="4"/>
      <c r="E14" s="5"/>
      <c r="F14" s="6">
        <f t="shared" si="1"/>
        <v>0</v>
      </c>
      <c r="G14" s="37"/>
      <c r="I14" s="8"/>
    </row>
    <row r="15" spans="1:9" x14ac:dyDescent="0.2">
      <c r="A15" s="4" t="s">
        <v>41</v>
      </c>
      <c r="B15" s="4">
        <v>0.05</v>
      </c>
      <c r="C15" s="17">
        <f t="shared" si="0"/>
        <v>0.36142836489807734</v>
      </c>
      <c r="D15" s="4"/>
      <c r="E15" s="5"/>
      <c r="F15" s="6">
        <f t="shared" si="1"/>
        <v>0</v>
      </c>
      <c r="G15" s="37"/>
      <c r="I15" s="8"/>
    </row>
    <row r="16" spans="1:9" x14ac:dyDescent="0.2">
      <c r="A16" s="4" t="s">
        <v>30</v>
      </c>
      <c r="B16" s="4">
        <v>0.09</v>
      </c>
      <c r="C16" s="17">
        <f t="shared" si="0"/>
        <v>0.65057105681653904</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6.9169999999999989</v>
      </c>
      <c r="C22" s="9"/>
      <c r="G22" s="37"/>
      <c r="I22" s="8"/>
    </row>
    <row r="23" spans="1:9" x14ac:dyDescent="0.2">
      <c r="A23" t="s">
        <v>14</v>
      </c>
      <c r="B23" s="15">
        <f>B22/B24</f>
        <v>34.584999999999994</v>
      </c>
      <c r="C23" s="9"/>
      <c r="G23" s="37"/>
      <c r="I23" s="8"/>
    </row>
    <row r="24" spans="1:9" x14ac:dyDescent="0.2">
      <c r="A24" t="s">
        <v>15</v>
      </c>
      <c r="B24">
        <v>0.2</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09D7-2B5A-D94D-8C89-C3A60A992C55}">
  <dimension ref="A1:I26"/>
  <sheetViews>
    <sheetView workbookViewId="0">
      <selection activeCell="B22" sqref="B22"/>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109</v>
      </c>
      <c r="B1" s="38"/>
      <c r="C1" s="38"/>
      <c r="D1" s="38"/>
      <c r="E1" s="29" t="s">
        <v>24</v>
      </c>
      <c r="F1" s="30"/>
      <c r="G1" s="31" t="s">
        <v>100</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17" thickBot="1" x14ac:dyDescent="0.25">
      <c r="A4" s="4" t="s">
        <v>101</v>
      </c>
      <c r="B4" s="4">
        <v>0.72</v>
      </c>
      <c r="C4" s="17">
        <f t="shared" ref="C4:C19" si="0">B4/B$23*B$25</f>
        <v>4.8537144398004592</v>
      </c>
      <c r="D4" s="4" t="s">
        <v>6</v>
      </c>
      <c r="E4" s="5"/>
      <c r="F4" s="6">
        <f t="shared" ref="F4:F19" si="1">C4*E4</f>
        <v>0</v>
      </c>
      <c r="G4" s="36" t="s">
        <v>64</v>
      </c>
    </row>
    <row r="5" spans="1:9" x14ac:dyDescent="0.2">
      <c r="A5" s="4" t="s">
        <v>103</v>
      </c>
      <c r="B5" s="4">
        <v>0.35499999999999998</v>
      </c>
      <c r="C5" s="17">
        <f t="shared" si="0"/>
        <v>2.3931508696238373</v>
      </c>
      <c r="D5" s="4" t="s">
        <v>6</v>
      </c>
      <c r="E5" s="5"/>
      <c r="F5" s="6">
        <f t="shared" si="1"/>
        <v>0</v>
      </c>
      <c r="G5" s="37"/>
      <c r="I5" s="7"/>
    </row>
    <row r="6" spans="1:9" x14ac:dyDescent="0.2">
      <c r="A6" s="4" t="s">
        <v>102</v>
      </c>
      <c r="B6" s="4">
        <v>0.45</v>
      </c>
      <c r="C6" s="17">
        <f t="shared" si="0"/>
        <v>3.033571524875287</v>
      </c>
      <c r="D6" s="4" t="s">
        <v>6</v>
      </c>
      <c r="E6" s="5"/>
      <c r="F6" s="6">
        <f t="shared" si="1"/>
        <v>0</v>
      </c>
      <c r="G6" s="37"/>
      <c r="I6" s="8"/>
    </row>
    <row r="7" spans="1:9" x14ac:dyDescent="0.2">
      <c r="A7" s="4" t="s">
        <v>104</v>
      </c>
      <c r="B7" s="4">
        <v>0.21</v>
      </c>
      <c r="C7" s="17">
        <f t="shared" si="0"/>
        <v>1.4156667116084671</v>
      </c>
      <c r="D7" s="4" t="s">
        <v>6</v>
      </c>
      <c r="E7" s="5"/>
      <c r="F7" s="6">
        <f t="shared" si="1"/>
        <v>0</v>
      </c>
      <c r="G7" s="37"/>
      <c r="I7" s="8"/>
    </row>
    <row r="8" spans="1:9" x14ac:dyDescent="0.2">
      <c r="A8" s="4" t="s">
        <v>86</v>
      </c>
      <c r="B8" s="4">
        <v>3.5000000000000003E-2</v>
      </c>
      <c r="C8" s="17">
        <f t="shared" si="0"/>
        <v>0.23594445193474456</v>
      </c>
      <c r="D8" s="4" t="s">
        <v>6</v>
      </c>
      <c r="E8" s="5"/>
      <c r="F8" s="6">
        <f t="shared" si="1"/>
        <v>0</v>
      </c>
      <c r="G8" s="37"/>
      <c r="I8" s="8"/>
    </row>
    <row r="9" spans="1:9" x14ac:dyDescent="0.2">
      <c r="A9" s="4" t="s">
        <v>105</v>
      </c>
      <c r="B9" s="4">
        <v>1.64</v>
      </c>
      <c r="C9" s="17">
        <f>B9/B$23*B$25</f>
        <v>11.055682890656602</v>
      </c>
      <c r="D9" s="4" t="s">
        <v>6</v>
      </c>
      <c r="E9" s="5"/>
      <c r="F9" s="6">
        <f t="shared" si="1"/>
        <v>0</v>
      </c>
      <c r="G9" s="37"/>
      <c r="I9" s="8"/>
    </row>
    <row r="10" spans="1:9" x14ac:dyDescent="0.2">
      <c r="A10" s="4" t="s">
        <v>9</v>
      </c>
      <c r="B10" s="4">
        <v>0.14499999999999999</v>
      </c>
      <c r="C10" s="17">
        <f>B10/B$23*B$25</f>
        <v>0.97748415801537014</v>
      </c>
      <c r="D10" s="4" t="s">
        <v>6</v>
      </c>
      <c r="E10" s="5"/>
      <c r="F10" s="6">
        <f t="shared" si="1"/>
        <v>0</v>
      </c>
      <c r="G10" s="37"/>
      <c r="I10" s="8"/>
    </row>
    <row r="11" spans="1:9" x14ac:dyDescent="0.2">
      <c r="A11" s="4" t="s">
        <v>108</v>
      </c>
      <c r="B11" s="4">
        <v>2</v>
      </c>
      <c r="C11" s="17">
        <f t="shared" si="0"/>
        <v>13.48254011055683</v>
      </c>
      <c r="D11" s="4" t="s">
        <v>6</v>
      </c>
      <c r="E11" s="5"/>
      <c r="F11" s="6">
        <f t="shared" si="1"/>
        <v>0</v>
      </c>
      <c r="G11" s="37"/>
      <c r="I11" s="8"/>
    </row>
    <row r="12" spans="1:9" x14ac:dyDescent="0.2">
      <c r="A12" s="4" t="s">
        <v>10</v>
      </c>
      <c r="B12" s="4">
        <v>0.03</v>
      </c>
      <c r="C12" s="17">
        <f t="shared" si="0"/>
        <v>0.20223810165835246</v>
      </c>
      <c r="D12" s="4" t="s">
        <v>6</v>
      </c>
      <c r="E12" s="5"/>
      <c r="F12" s="6">
        <f t="shared" si="1"/>
        <v>0</v>
      </c>
      <c r="G12" s="37"/>
      <c r="I12" s="8"/>
    </row>
    <row r="13" spans="1:9" ht="19" x14ac:dyDescent="0.25">
      <c r="A13" s="4" t="s">
        <v>106</v>
      </c>
      <c r="B13" s="18">
        <v>1.2E-2</v>
      </c>
      <c r="C13" s="17">
        <f t="shared" si="0"/>
        <v>8.0895240663340987E-2</v>
      </c>
      <c r="D13" s="4"/>
      <c r="E13" s="5"/>
      <c r="F13" s="6">
        <f t="shared" si="1"/>
        <v>0</v>
      </c>
      <c r="G13" s="37"/>
      <c r="I13" s="8"/>
    </row>
    <row r="14" spans="1:9" ht="19" x14ac:dyDescent="0.25">
      <c r="A14" s="4" t="s">
        <v>59</v>
      </c>
      <c r="B14" s="18">
        <v>1.68</v>
      </c>
      <c r="C14" s="17">
        <f t="shared" si="0"/>
        <v>11.325333692867737</v>
      </c>
      <c r="D14" s="4"/>
      <c r="E14" s="5"/>
      <c r="F14" s="6">
        <f t="shared" si="1"/>
        <v>0</v>
      </c>
      <c r="G14" s="37"/>
      <c r="I14" s="8"/>
    </row>
    <row r="15" spans="1:9" x14ac:dyDescent="0.2">
      <c r="A15" s="4" t="s">
        <v>41</v>
      </c>
      <c r="B15" s="4">
        <v>0.05</v>
      </c>
      <c r="C15" s="17">
        <f t="shared" si="0"/>
        <v>0.33706350276392077</v>
      </c>
      <c r="D15" s="4"/>
      <c r="E15" s="5"/>
      <c r="F15" s="6">
        <f t="shared" si="1"/>
        <v>0</v>
      </c>
      <c r="G15" s="37"/>
      <c r="I15" s="8"/>
    </row>
    <row r="16" spans="1:9" x14ac:dyDescent="0.2">
      <c r="A16" s="4" t="s">
        <v>30</v>
      </c>
      <c r="B16" s="4">
        <v>0.09</v>
      </c>
      <c r="C16" s="17">
        <f t="shared" si="0"/>
        <v>0.60671430497505741</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7.4169999999999989</v>
      </c>
      <c r="C22" s="9"/>
      <c r="G22" s="37"/>
      <c r="I22" s="8"/>
    </row>
    <row r="23" spans="1:9" x14ac:dyDescent="0.2">
      <c r="A23" t="s">
        <v>14</v>
      </c>
      <c r="B23" s="15">
        <f>B22/B24</f>
        <v>37.084999999999994</v>
      </c>
      <c r="C23" s="9"/>
      <c r="G23" s="37"/>
      <c r="I23" s="8"/>
    </row>
    <row r="24" spans="1:9" x14ac:dyDescent="0.2">
      <c r="A24" t="s">
        <v>15</v>
      </c>
      <c r="B24">
        <v>0.2</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CB2F-6300-B648-9725-FA041C2845B0}">
  <dimension ref="A1:I25"/>
  <sheetViews>
    <sheetView showGridLines="0" zoomScale="109" zoomScaleNormal="109" workbookViewId="0">
      <selection activeCell="B21" sqref="B21"/>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76</v>
      </c>
      <c r="B1" s="38"/>
      <c r="C1" s="38"/>
      <c r="D1" s="38"/>
      <c r="E1" s="29" t="s">
        <v>24</v>
      </c>
      <c r="F1" s="30"/>
      <c r="G1" s="31" t="s">
        <v>133</v>
      </c>
    </row>
    <row r="2" spans="1:9" ht="25" customHeight="1" thickBot="1" x14ac:dyDescent="0.3">
      <c r="A2" s="38"/>
      <c r="B2" s="38"/>
      <c r="C2" s="38"/>
      <c r="D2" s="38"/>
      <c r="E2" s="34" t="s">
        <v>25</v>
      </c>
      <c r="F2" s="35"/>
      <c r="G2" s="32"/>
    </row>
    <row r="3" spans="1:9" ht="51" x14ac:dyDescent="0.2">
      <c r="A3" s="1" t="s">
        <v>0</v>
      </c>
      <c r="B3" s="2" t="s">
        <v>1</v>
      </c>
      <c r="C3" s="2" t="s">
        <v>2</v>
      </c>
      <c r="D3" s="3" t="s">
        <v>3</v>
      </c>
      <c r="E3" s="3" t="s">
        <v>4</v>
      </c>
      <c r="F3" s="3" t="s">
        <v>5</v>
      </c>
      <c r="G3" s="32"/>
    </row>
    <row r="4" spans="1:9" ht="17" thickBot="1" x14ac:dyDescent="0.25">
      <c r="A4" s="4" t="s">
        <v>129</v>
      </c>
      <c r="B4" s="4">
        <v>1.5</v>
      </c>
      <c r="C4" s="17">
        <f t="shared" ref="C4:C18" si="0">B4/B$22*B$24</f>
        <v>6.5943728018757328</v>
      </c>
      <c r="D4" s="4" t="s">
        <v>6</v>
      </c>
      <c r="E4" s="5">
        <v>6</v>
      </c>
      <c r="F4" s="27">
        <f t="shared" ref="F4:F18" si="1">C4*E4</f>
        <v>39.566236811254399</v>
      </c>
      <c r="G4" s="39" t="s">
        <v>132</v>
      </c>
    </row>
    <row r="5" spans="1:9" x14ac:dyDescent="0.2">
      <c r="A5" s="4" t="s">
        <v>10</v>
      </c>
      <c r="B5" s="4">
        <v>0.05</v>
      </c>
      <c r="C5" s="17">
        <f t="shared" si="0"/>
        <v>0.21981242672919113</v>
      </c>
      <c r="D5" s="4" t="s">
        <v>6</v>
      </c>
      <c r="E5" s="5">
        <v>2</v>
      </c>
      <c r="F5" s="27">
        <f t="shared" si="1"/>
        <v>0.43962485345838226</v>
      </c>
      <c r="G5" s="40"/>
      <c r="I5" s="7"/>
    </row>
    <row r="6" spans="1:9" x14ac:dyDescent="0.2">
      <c r="A6" s="4" t="s">
        <v>72</v>
      </c>
      <c r="B6" s="4">
        <v>0.5</v>
      </c>
      <c r="C6" s="17">
        <f t="shared" si="0"/>
        <v>2.1981242672919112</v>
      </c>
      <c r="D6" s="4" t="s">
        <v>6</v>
      </c>
      <c r="E6" s="5">
        <v>9</v>
      </c>
      <c r="F6" s="27">
        <f t="shared" si="1"/>
        <v>19.783118405627199</v>
      </c>
      <c r="G6" s="40"/>
      <c r="I6" s="8"/>
    </row>
    <row r="7" spans="1:9" x14ac:dyDescent="0.2">
      <c r="A7" s="4" t="s">
        <v>59</v>
      </c>
      <c r="B7" s="4">
        <v>4.5</v>
      </c>
      <c r="C7" s="17">
        <f t="shared" si="0"/>
        <v>19.783118405627199</v>
      </c>
      <c r="D7" s="4" t="s">
        <v>6</v>
      </c>
      <c r="E7" s="5">
        <v>0</v>
      </c>
      <c r="F7" s="27">
        <f t="shared" si="1"/>
        <v>0</v>
      </c>
      <c r="G7" s="40"/>
      <c r="I7" s="8"/>
    </row>
    <row r="8" spans="1:9" x14ac:dyDescent="0.2">
      <c r="A8" s="4" t="s">
        <v>73</v>
      </c>
      <c r="B8" s="4">
        <v>0.8</v>
      </c>
      <c r="C8" s="17">
        <f t="shared" si="0"/>
        <v>3.5169988276670581</v>
      </c>
      <c r="D8" s="4" t="s">
        <v>6</v>
      </c>
      <c r="E8" s="5">
        <v>8</v>
      </c>
      <c r="F8" s="27">
        <f t="shared" si="1"/>
        <v>28.135990621336465</v>
      </c>
      <c r="G8" s="40"/>
      <c r="I8" s="8"/>
    </row>
    <row r="9" spans="1:9" x14ac:dyDescent="0.2">
      <c r="A9" s="4" t="s">
        <v>65</v>
      </c>
      <c r="B9" s="4"/>
      <c r="C9" s="17">
        <f t="shared" si="0"/>
        <v>0</v>
      </c>
      <c r="D9" s="4" t="s">
        <v>6</v>
      </c>
      <c r="E9" s="5"/>
      <c r="F9" s="27">
        <f t="shared" si="1"/>
        <v>0</v>
      </c>
      <c r="G9" s="40"/>
      <c r="I9" s="8"/>
    </row>
    <row r="10" spans="1:9" x14ac:dyDescent="0.2">
      <c r="A10" s="4" t="s">
        <v>62</v>
      </c>
      <c r="B10" s="4">
        <v>1</v>
      </c>
      <c r="C10" s="17">
        <f t="shared" si="0"/>
        <v>4.3962485345838225</v>
      </c>
      <c r="D10" s="4" t="s">
        <v>6</v>
      </c>
      <c r="E10" s="5">
        <v>4</v>
      </c>
      <c r="F10" s="27">
        <f t="shared" si="1"/>
        <v>17.58499413833529</v>
      </c>
      <c r="G10" s="40"/>
      <c r="I10" s="8"/>
    </row>
    <row r="11" spans="1:9" x14ac:dyDescent="0.2">
      <c r="A11" s="4" t="s">
        <v>74</v>
      </c>
      <c r="B11" s="4">
        <v>0.18</v>
      </c>
      <c r="C11" s="17">
        <f t="shared" si="0"/>
        <v>0.79132473622508792</v>
      </c>
      <c r="D11" s="4" t="s">
        <v>6</v>
      </c>
      <c r="E11" s="5">
        <v>9</v>
      </c>
      <c r="F11" s="27">
        <f t="shared" si="1"/>
        <v>7.1219226260257908</v>
      </c>
      <c r="G11" s="40"/>
      <c r="I11" s="8"/>
    </row>
    <row r="12" spans="1:9" ht="19" x14ac:dyDescent="0.25">
      <c r="A12" s="4"/>
      <c r="B12" s="18"/>
      <c r="C12" s="17">
        <f t="shared" si="0"/>
        <v>0</v>
      </c>
      <c r="D12" s="4"/>
      <c r="E12" s="5"/>
      <c r="F12" s="27">
        <f t="shared" si="1"/>
        <v>0</v>
      </c>
      <c r="G12" s="40"/>
      <c r="I12" s="8"/>
    </row>
    <row r="13" spans="1:9" ht="19" x14ac:dyDescent="0.25">
      <c r="A13" s="4"/>
      <c r="B13" s="18"/>
      <c r="C13" s="17">
        <f t="shared" si="0"/>
        <v>0</v>
      </c>
      <c r="D13" s="4"/>
      <c r="E13" s="5"/>
      <c r="F13" s="27">
        <f t="shared" si="1"/>
        <v>0</v>
      </c>
      <c r="G13" s="40"/>
      <c r="I13" s="8"/>
    </row>
    <row r="14" spans="1:9" x14ac:dyDescent="0.2">
      <c r="A14" s="4"/>
      <c r="B14" s="4"/>
      <c r="C14" s="17">
        <f t="shared" si="0"/>
        <v>0</v>
      </c>
      <c r="D14" s="4"/>
      <c r="E14" s="5"/>
      <c r="F14" s="27">
        <f t="shared" si="1"/>
        <v>0</v>
      </c>
      <c r="G14" s="40"/>
      <c r="I14" s="8"/>
    </row>
    <row r="15" spans="1:9" x14ac:dyDescent="0.2">
      <c r="A15" s="4"/>
      <c r="B15" s="4"/>
      <c r="C15" s="17">
        <f t="shared" si="0"/>
        <v>0</v>
      </c>
      <c r="D15" s="4"/>
      <c r="E15" s="5"/>
      <c r="F15" s="27">
        <f t="shared" si="1"/>
        <v>0</v>
      </c>
      <c r="G15" s="40"/>
      <c r="I15" s="8"/>
    </row>
    <row r="16" spans="1:9" x14ac:dyDescent="0.2">
      <c r="A16" s="4"/>
      <c r="B16" s="4"/>
      <c r="C16" s="17">
        <f t="shared" si="0"/>
        <v>0</v>
      </c>
      <c r="D16" s="4"/>
      <c r="E16" s="5"/>
      <c r="F16" s="27">
        <f t="shared" si="1"/>
        <v>0</v>
      </c>
      <c r="G16" s="40"/>
      <c r="I16" s="8"/>
    </row>
    <row r="17" spans="1:9" x14ac:dyDescent="0.2">
      <c r="A17" s="4"/>
      <c r="B17" s="4"/>
      <c r="C17" s="17">
        <f t="shared" si="0"/>
        <v>0</v>
      </c>
      <c r="D17" s="4"/>
      <c r="E17" s="5"/>
      <c r="F17" s="27">
        <f t="shared" si="1"/>
        <v>0</v>
      </c>
      <c r="G17" s="40"/>
      <c r="I17" s="8"/>
    </row>
    <row r="18" spans="1:9" x14ac:dyDescent="0.2">
      <c r="A18" s="4"/>
      <c r="B18" s="4"/>
      <c r="C18" s="17">
        <f t="shared" si="0"/>
        <v>0</v>
      </c>
      <c r="D18" s="4"/>
      <c r="E18" s="5"/>
      <c r="F18" s="27">
        <f t="shared" si="1"/>
        <v>0</v>
      </c>
      <c r="G18" s="40"/>
      <c r="I18" s="8"/>
    </row>
    <row r="19" spans="1:9" x14ac:dyDescent="0.2">
      <c r="C19" s="9"/>
      <c r="F19" s="10">
        <f>SUM(F4:F18)</f>
        <v>112.63188745603753</v>
      </c>
      <c r="G19" s="40"/>
      <c r="I19" s="8"/>
    </row>
    <row r="20" spans="1:9" ht="19" x14ac:dyDescent="0.25">
      <c r="A20" s="11" t="s">
        <v>12</v>
      </c>
      <c r="B20" s="12">
        <f>F19/B24</f>
        <v>0.75087924970691688</v>
      </c>
      <c r="C20" s="13"/>
      <c r="G20" s="40"/>
      <c r="I20" s="8"/>
    </row>
    <row r="21" spans="1:9" x14ac:dyDescent="0.2">
      <c r="A21" s="14" t="s">
        <v>13</v>
      </c>
      <c r="B21" s="14">
        <f>SUM(B3:B18)</f>
        <v>8.5299999999999994</v>
      </c>
      <c r="C21" s="9"/>
      <c r="G21" s="40"/>
      <c r="I21" s="8"/>
    </row>
    <row r="22" spans="1:9" x14ac:dyDescent="0.2">
      <c r="A22" t="s">
        <v>14</v>
      </c>
      <c r="B22" s="15">
        <f>B21/B23</f>
        <v>34.119999999999997</v>
      </c>
      <c r="C22" s="9"/>
      <c r="G22" s="40"/>
      <c r="I22" s="8"/>
    </row>
    <row r="23" spans="1:9" x14ac:dyDescent="0.2">
      <c r="A23" t="s">
        <v>15</v>
      </c>
      <c r="B23">
        <v>0.25</v>
      </c>
      <c r="C23" s="42" t="s">
        <v>130</v>
      </c>
      <c r="D23" s="42"/>
      <c r="E23" s="42"/>
      <c r="F23" s="42"/>
      <c r="G23" s="40"/>
      <c r="I23" s="8"/>
    </row>
    <row r="24" spans="1:9" ht="19" x14ac:dyDescent="0.25">
      <c r="A24" s="16" t="s">
        <v>16</v>
      </c>
      <c r="B24" s="16">
        <v>150</v>
      </c>
      <c r="C24" s="42" t="s">
        <v>131</v>
      </c>
      <c r="D24" s="42"/>
      <c r="E24" s="42"/>
      <c r="F24" s="42"/>
      <c r="G24" s="41"/>
      <c r="I24" s="8"/>
    </row>
    <row r="25" spans="1:9" x14ac:dyDescent="0.2">
      <c r="I25" s="8"/>
    </row>
  </sheetData>
  <mergeCells count="7">
    <mergeCell ref="A1:D2"/>
    <mergeCell ref="E1:F1"/>
    <mergeCell ref="G1:G3"/>
    <mergeCell ref="E2:F2"/>
    <mergeCell ref="G4:G24"/>
    <mergeCell ref="C23:F23"/>
    <mergeCell ref="C24:F24"/>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7A44-C6CB-7446-B637-10FCE4EFE26C}">
  <dimension ref="A1:I38"/>
  <sheetViews>
    <sheetView topLeftCell="A3" zoomScale="125" workbookViewId="0">
      <selection activeCell="B22" sqref="B22"/>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83</v>
      </c>
      <c r="B1" s="38"/>
      <c r="C1" s="38"/>
      <c r="D1" s="38"/>
      <c r="E1" s="29" t="s">
        <v>24</v>
      </c>
      <c r="F1" s="30"/>
      <c r="G1" s="31" t="s">
        <v>63</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17" thickBot="1" x14ac:dyDescent="0.25">
      <c r="A4" s="4" t="s">
        <v>75</v>
      </c>
      <c r="B4" s="4">
        <v>2.5</v>
      </c>
      <c r="C4" s="25">
        <f t="shared" ref="C4:C19" si="0">B4/B$23*B$25</f>
        <v>1.0210866261398175</v>
      </c>
      <c r="D4" s="4" t="s">
        <v>6</v>
      </c>
      <c r="E4" s="5"/>
      <c r="F4" s="6">
        <f t="shared" ref="F4:F19" si="1">C4*E4</f>
        <v>0</v>
      </c>
      <c r="G4" s="36" t="s">
        <v>88</v>
      </c>
    </row>
    <row r="5" spans="1:9" x14ac:dyDescent="0.2">
      <c r="A5" s="4" t="s">
        <v>85</v>
      </c>
      <c r="B5" s="4">
        <v>1.5</v>
      </c>
      <c r="C5" s="25">
        <f t="shared" si="0"/>
        <v>0.61265197568389063</v>
      </c>
      <c r="D5" s="4" t="s">
        <v>6</v>
      </c>
      <c r="E5" s="5"/>
      <c r="F5" s="6">
        <f t="shared" si="1"/>
        <v>0</v>
      </c>
      <c r="G5" s="37"/>
      <c r="I5" s="7"/>
    </row>
    <row r="6" spans="1:9" x14ac:dyDescent="0.2">
      <c r="A6" s="4" t="s">
        <v>39</v>
      </c>
      <c r="B6" s="4">
        <v>0.5</v>
      </c>
      <c r="C6" s="25">
        <f t="shared" si="0"/>
        <v>0.20421732522796351</v>
      </c>
      <c r="D6" s="4" t="s">
        <v>6</v>
      </c>
      <c r="E6" s="5"/>
      <c r="F6" s="6">
        <f t="shared" si="1"/>
        <v>0</v>
      </c>
      <c r="G6" s="37"/>
      <c r="I6" s="8"/>
    </row>
    <row r="7" spans="1:9" x14ac:dyDescent="0.2">
      <c r="A7" s="4" t="s">
        <v>61</v>
      </c>
      <c r="B7" s="4">
        <v>1</v>
      </c>
      <c r="C7" s="25">
        <f t="shared" si="0"/>
        <v>0.40843465045592703</v>
      </c>
      <c r="D7" s="4" t="s">
        <v>6</v>
      </c>
      <c r="E7" s="5"/>
      <c r="F7" s="6">
        <f t="shared" si="1"/>
        <v>0</v>
      </c>
      <c r="G7" s="37"/>
      <c r="I7" s="8"/>
    </row>
    <row r="8" spans="1:9" x14ac:dyDescent="0.2">
      <c r="A8" s="4" t="s">
        <v>79</v>
      </c>
      <c r="B8" s="4">
        <v>0.75</v>
      </c>
      <c r="C8" s="25">
        <f t="shared" si="0"/>
        <v>0.30632598784194531</v>
      </c>
      <c r="D8" s="4" t="s">
        <v>6</v>
      </c>
      <c r="E8" s="5"/>
      <c r="F8" s="6">
        <f t="shared" si="1"/>
        <v>0</v>
      </c>
      <c r="G8" s="37"/>
      <c r="I8" s="8"/>
    </row>
    <row r="9" spans="1:9" x14ac:dyDescent="0.2">
      <c r="A9" s="4" t="s">
        <v>9</v>
      </c>
      <c r="B9" s="4">
        <v>0.25</v>
      </c>
      <c r="C9" s="25">
        <f>B9/B$23*B$25</f>
        <v>0.10210866261398176</v>
      </c>
      <c r="D9" s="4" t="s">
        <v>6</v>
      </c>
      <c r="E9" s="5"/>
      <c r="F9" s="6">
        <f t="shared" si="1"/>
        <v>0</v>
      </c>
      <c r="G9" s="37"/>
      <c r="I9" s="8"/>
    </row>
    <row r="10" spans="1:9" x14ac:dyDescent="0.2">
      <c r="A10" s="4" t="s">
        <v>84</v>
      </c>
      <c r="B10" s="4">
        <v>2.5</v>
      </c>
      <c r="C10" s="25">
        <f t="shared" ref="C10:C12" si="2">B10/B$23*B$25</f>
        <v>1.0210866261398175</v>
      </c>
      <c r="D10" s="4" t="s">
        <v>6</v>
      </c>
      <c r="E10" s="5"/>
      <c r="F10" s="6">
        <f t="shared" si="1"/>
        <v>0</v>
      </c>
      <c r="G10" s="37"/>
      <c r="I10" s="8"/>
    </row>
    <row r="11" spans="1:9" x14ac:dyDescent="0.2">
      <c r="A11" s="4" t="s">
        <v>87</v>
      </c>
      <c r="B11" s="4"/>
      <c r="C11" s="25">
        <f t="shared" si="2"/>
        <v>0</v>
      </c>
      <c r="D11" s="4" t="s">
        <v>6</v>
      </c>
      <c r="E11" s="5"/>
      <c r="F11" s="6">
        <f t="shared" si="1"/>
        <v>0</v>
      </c>
      <c r="G11" s="37"/>
      <c r="I11" s="8"/>
    </row>
    <row r="12" spans="1:9" x14ac:dyDescent="0.2">
      <c r="A12" s="4" t="s">
        <v>86</v>
      </c>
      <c r="B12" s="4">
        <v>0.1</v>
      </c>
      <c r="C12" s="25">
        <f t="shared" si="2"/>
        <v>4.0843465045592706E-2</v>
      </c>
      <c r="D12" s="4" t="s">
        <v>6</v>
      </c>
      <c r="E12" s="5"/>
      <c r="F12" s="6">
        <f t="shared" si="1"/>
        <v>0</v>
      </c>
      <c r="G12" s="37"/>
      <c r="I12" s="8"/>
    </row>
    <row r="13" spans="1:9" ht="19" x14ac:dyDescent="0.25">
      <c r="A13" s="4" t="s">
        <v>10</v>
      </c>
      <c r="B13" s="18">
        <v>0.06</v>
      </c>
      <c r="C13" s="25">
        <f t="shared" si="0"/>
        <v>2.4506079027355621E-2</v>
      </c>
      <c r="D13" s="4"/>
      <c r="E13" s="5"/>
      <c r="F13" s="6">
        <f t="shared" si="1"/>
        <v>0</v>
      </c>
      <c r="G13" s="37"/>
      <c r="I13" s="8"/>
    </row>
    <row r="14" spans="1:9" ht="19" x14ac:dyDescent="0.25">
      <c r="A14" s="4" t="s">
        <v>59</v>
      </c>
      <c r="B14" s="18">
        <v>4</v>
      </c>
      <c r="C14" s="25">
        <f t="shared" si="0"/>
        <v>1.6337386018237081</v>
      </c>
      <c r="D14" s="4"/>
      <c r="E14" s="5"/>
      <c r="F14" s="6">
        <f t="shared" si="1"/>
        <v>0</v>
      </c>
      <c r="G14" s="37"/>
      <c r="I14" s="8"/>
    </row>
    <row r="15" spans="1:9" x14ac:dyDescent="0.2">
      <c r="A15" s="4"/>
      <c r="B15" s="4"/>
      <c r="C15" s="25">
        <f t="shared" si="0"/>
        <v>0</v>
      </c>
      <c r="D15" s="4"/>
      <c r="E15" s="5"/>
      <c r="F15" s="6">
        <f t="shared" si="1"/>
        <v>0</v>
      </c>
      <c r="G15" s="37"/>
      <c r="I15" s="8"/>
    </row>
    <row r="16" spans="1:9" x14ac:dyDescent="0.2">
      <c r="A16" s="4"/>
      <c r="B16" s="4"/>
      <c r="C16" s="25">
        <f t="shared" si="0"/>
        <v>0</v>
      </c>
      <c r="D16" s="4"/>
      <c r="E16" s="5"/>
      <c r="F16" s="6">
        <f t="shared" si="1"/>
        <v>0</v>
      </c>
      <c r="G16" s="37"/>
      <c r="I16" s="8"/>
    </row>
    <row r="17" spans="1:9" x14ac:dyDescent="0.2">
      <c r="A17" s="4"/>
      <c r="B17" s="4"/>
      <c r="C17" s="25">
        <f t="shared" si="0"/>
        <v>0</v>
      </c>
      <c r="D17" s="4"/>
      <c r="E17" s="5"/>
      <c r="F17" s="6">
        <f t="shared" si="1"/>
        <v>0</v>
      </c>
      <c r="G17" s="37"/>
      <c r="I17" s="8"/>
    </row>
    <row r="18" spans="1:9" x14ac:dyDescent="0.2">
      <c r="A18" s="4"/>
      <c r="B18" s="4"/>
      <c r="C18" s="25">
        <f t="shared" si="0"/>
        <v>0</v>
      </c>
      <c r="D18" s="4"/>
      <c r="E18" s="5"/>
      <c r="F18" s="6">
        <f t="shared" si="1"/>
        <v>0</v>
      </c>
      <c r="G18" s="37"/>
      <c r="I18" s="8"/>
    </row>
    <row r="19" spans="1:9" x14ac:dyDescent="0.2">
      <c r="A19" s="4"/>
      <c r="B19" s="4"/>
      <c r="C19" s="25">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13.16</v>
      </c>
      <c r="C22" s="9"/>
      <c r="G22" s="37"/>
      <c r="I22" s="8"/>
    </row>
    <row r="23" spans="1:9" x14ac:dyDescent="0.2">
      <c r="A23" t="s">
        <v>14</v>
      </c>
      <c r="B23" s="15">
        <f>B22/B24</f>
        <v>52.64</v>
      </c>
      <c r="C23" s="9"/>
      <c r="G23" s="37"/>
      <c r="I23" s="8"/>
    </row>
    <row r="24" spans="1:9" x14ac:dyDescent="0.2">
      <c r="A24" t="s">
        <v>15</v>
      </c>
      <c r="B24">
        <v>0.25</v>
      </c>
      <c r="C24" s="9"/>
      <c r="G24" s="37"/>
      <c r="I24" s="8"/>
    </row>
    <row r="25" spans="1:9" ht="19" x14ac:dyDescent="0.25">
      <c r="A25" s="16" t="s">
        <v>16</v>
      </c>
      <c r="B25" s="16">
        <v>21.5</v>
      </c>
      <c r="C25" s="9"/>
      <c r="G25" s="37"/>
      <c r="I25" s="8"/>
    </row>
    <row r="26" spans="1:9" x14ac:dyDescent="0.2">
      <c r="I26" s="8"/>
    </row>
    <row r="28" spans="1:9" x14ac:dyDescent="0.2">
      <c r="A28" t="s">
        <v>96</v>
      </c>
      <c r="B28">
        <v>2.1139999999999999</v>
      </c>
    </row>
    <row r="29" spans="1:9" x14ac:dyDescent="0.2">
      <c r="A29" t="s">
        <v>97</v>
      </c>
      <c r="B29">
        <v>2.0920000000000001</v>
      </c>
    </row>
    <row r="30" spans="1:9" x14ac:dyDescent="0.2">
      <c r="A30" t="s">
        <v>98</v>
      </c>
      <c r="B30">
        <v>1.996</v>
      </c>
    </row>
    <row r="31" spans="1:9" x14ac:dyDescent="0.2">
      <c r="B31">
        <f>B28-B30</f>
        <v>0.11799999999999988</v>
      </c>
    </row>
    <row r="32" spans="1:9" x14ac:dyDescent="0.2">
      <c r="B32" s="24">
        <f>B31/B28</f>
        <v>5.5818353831598812E-2</v>
      </c>
    </row>
    <row r="34" spans="1:2" x14ac:dyDescent="0.2">
      <c r="A34" t="s">
        <v>99</v>
      </c>
      <c r="B34">
        <v>1.81</v>
      </c>
    </row>
    <row r="35" spans="1:2" x14ac:dyDescent="0.2">
      <c r="A35" t="s">
        <v>97</v>
      </c>
      <c r="B35">
        <v>2.0920000000000001</v>
      </c>
    </row>
    <row r="36" spans="1:2" x14ac:dyDescent="0.2">
      <c r="A36" t="s">
        <v>98</v>
      </c>
      <c r="B36">
        <v>1.78</v>
      </c>
    </row>
    <row r="37" spans="1:2" x14ac:dyDescent="0.2">
      <c r="B37">
        <f>B34-B36</f>
        <v>3.0000000000000027E-2</v>
      </c>
    </row>
    <row r="38" spans="1:2" x14ac:dyDescent="0.2">
      <c r="B38" s="24">
        <f>B37/B34</f>
        <v>1.6574585635359129E-2</v>
      </c>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1FAF-1951-394F-8A97-F3F906D25865}">
  <dimension ref="A1:I26"/>
  <sheetViews>
    <sheetView topLeftCell="A3" zoomScale="125" workbookViewId="0">
      <selection activeCell="B22" sqref="B22"/>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71</v>
      </c>
      <c r="B1" s="38"/>
      <c r="C1" s="38"/>
      <c r="D1" s="38"/>
      <c r="E1" s="29" t="s">
        <v>24</v>
      </c>
      <c r="F1" s="30"/>
      <c r="G1" s="31" t="s">
        <v>63</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35" thickBot="1" x14ac:dyDescent="0.25">
      <c r="A4" s="21" t="s">
        <v>123</v>
      </c>
      <c r="B4" s="4">
        <v>1.5</v>
      </c>
      <c r="C4" s="17">
        <f t="shared" ref="C4:C19" si="0">B4/B$23*B$25</f>
        <v>17.58499413833529</v>
      </c>
      <c r="D4" s="4" t="s">
        <v>6</v>
      </c>
      <c r="E4" s="5"/>
      <c r="F4" s="6">
        <f t="shared" ref="F4:F19" si="1">C4*E4</f>
        <v>0</v>
      </c>
      <c r="G4" s="36" t="s">
        <v>77</v>
      </c>
    </row>
    <row r="5" spans="1:9" x14ac:dyDescent="0.2">
      <c r="A5" s="4" t="s">
        <v>10</v>
      </c>
      <c r="B5" s="4">
        <v>0.05</v>
      </c>
      <c r="C5" s="17">
        <f t="shared" si="0"/>
        <v>0.58616647127784305</v>
      </c>
      <c r="D5" s="4" t="s">
        <v>6</v>
      </c>
      <c r="E5" s="5"/>
      <c r="F5" s="6">
        <f t="shared" si="1"/>
        <v>0</v>
      </c>
      <c r="G5" s="37"/>
      <c r="I5" s="7"/>
    </row>
    <row r="6" spans="1:9" x14ac:dyDescent="0.2">
      <c r="A6" s="4" t="s">
        <v>72</v>
      </c>
      <c r="B6" s="4">
        <v>0.5</v>
      </c>
      <c r="C6" s="17">
        <f t="shared" si="0"/>
        <v>5.8616647127784294</v>
      </c>
      <c r="D6" s="4" t="s">
        <v>6</v>
      </c>
      <c r="E6" s="5"/>
      <c r="F6" s="6">
        <f t="shared" si="1"/>
        <v>0</v>
      </c>
      <c r="G6" s="37"/>
      <c r="I6" s="8"/>
    </row>
    <row r="7" spans="1:9" x14ac:dyDescent="0.2">
      <c r="A7" s="4" t="s">
        <v>59</v>
      </c>
      <c r="B7" s="4">
        <v>4.5</v>
      </c>
      <c r="C7" s="17">
        <f t="shared" si="0"/>
        <v>52.75498241500587</v>
      </c>
      <c r="D7" s="4" t="s">
        <v>6</v>
      </c>
      <c r="E7" s="5"/>
      <c r="F7" s="6">
        <f t="shared" si="1"/>
        <v>0</v>
      </c>
      <c r="G7" s="37"/>
      <c r="I7" s="8"/>
    </row>
    <row r="8" spans="1:9" x14ac:dyDescent="0.2">
      <c r="A8" s="4" t="s">
        <v>73</v>
      </c>
      <c r="B8" s="4">
        <v>0.8</v>
      </c>
      <c r="C8" s="17">
        <f t="shared" si="0"/>
        <v>9.3786635404454888</v>
      </c>
      <c r="D8" s="4" t="s">
        <v>6</v>
      </c>
      <c r="E8" s="5"/>
      <c r="F8" s="6">
        <f t="shared" si="1"/>
        <v>0</v>
      </c>
      <c r="G8" s="37"/>
      <c r="I8" s="8"/>
    </row>
    <row r="9" spans="1:9" x14ac:dyDescent="0.2">
      <c r="A9" s="4" t="s">
        <v>65</v>
      </c>
      <c r="B9" s="4"/>
      <c r="C9" s="17">
        <f>B9/B$23*B$25</f>
        <v>0</v>
      </c>
      <c r="D9" s="4" t="s">
        <v>6</v>
      </c>
      <c r="E9" s="5"/>
      <c r="F9" s="6">
        <f t="shared" si="1"/>
        <v>0</v>
      </c>
      <c r="G9" s="37"/>
      <c r="I9" s="8"/>
    </row>
    <row r="10" spans="1:9" x14ac:dyDescent="0.2">
      <c r="A10" s="4"/>
      <c r="B10" s="4"/>
      <c r="C10" s="17">
        <f>B10/B$23*B$25</f>
        <v>0</v>
      </c>
      <c r="D10" s="4" t="s">
        <v>6</v>
      </c>
      <c r="E10" s="5"/>
      <c r="F10" s="6">
        <f t="shared" si="1"/>
        <v>0</v>
      </c>
      <c r="G10" s="37"/>
      <c r="I10" s="8"/>
    </row>
    <row r="11" spans="1:9" x14ac:dyDescent="0.2">
      <c r="A11" s="4" t="s">
        <v>62</v>
      </c>
      <c r="B11" s="4">
        <v>1</v>
      </c>
      <c r="C11" s="17">
        <f t="shared" si="0"/>
        <v>11.723329425556859</v>
      </c>
      <c r="D11" s="4" t="s">
        <v>6</v>
      </c>
      <c r="E11" s="5"/>
      <c r="F11" s="6">
        <f t="shared" si="1"/>
        <v>0</v>
      </c>
      <c r="G11" s="37"/>
      <c r="I11" s="8"/>
    </row>
    <row r="12" spans="1:9" x14ac:dyDescent="0.2">
      <c r="A12" s="4" t="s">
        <v>74</v>
      </c>
      <c r="B12" s="4">
        <v>0.18</v>
      </c>
      <c r="C12" s="17">
        <f t="shared" si="0"/>
        <v>2.1101992966002343</v>
      </c>
      <c r="D12" s="4" t="s">
        <v>6</v>
      </c>
      <c r="E12" s="5"/>
      <c r="F12" s="6">
        <f t="shared" si="1"/>
        <v>0</v>
      </c>
      <c r="G12" s="37"/>
      <c r="I12" s="8"/>
    </row>
    <row r="13" spans="1:9" ht="19" x14ac:dyDescent="0.25">
      <c r="A13" s="4"/>
      <c r="B13" s="18"/>
      <c r="C13" s="17">
        <f t="shared" si="0"/>
        <v>0</v>
      </c>
      <c r="D13" s="4"/>
      <c r="E13" s="5"/>
      <c r="F13" s="6">
        <f t="shared" si="1"/>
        <v>0</v>
      </c>
      <c r="G13" s="37"/>
      <c r="I13" s="8"/>
    </row>
    <row r="14" spans="1:9" ht="19" x14ac:dyDescent="0.25">
      <c r="A14" s="4"/>
      <c r="B14" s="18"/>
      <c r="C14" s="17">
        <f t="shared" si="0"/>
        <v>0</v>
      </c>
      <c r="D14" s="4"/>
      <c r="E14" s="5"/>
      <c r="F14" s="6">
        <f t="shared" si="1"/>
        <v>0</v>
      </c>
      <c r="G14" s="37"/>
      <c r="I14" s="8"/>
    </row>
    <row r="15" spans="1:9" x14ac:dyDescent="0.2">
      <c r="A15" s="4"/>
      <c r="B15" s="4"/>
      <c r="C15" s="17">
        <f t="shared" si="0"/>
        <v>0</v>
      </c>
      <c r="D15" s="4"/>
      <c r="E15" s="5"/>
      <c r="F15" s="6">
        <f t="shared" si="1"/>
        <v>0</v>
      </c>
      <c r="G15" s="37"/>
      <c r="I15" s="8"/>
    </row>
    <row r="16" spans="1:9" x14ac:dyDescent="0.2">
      <c r="A16" s="4"/>
      <c r="B16" s="4"/>
      <c r="C16" s="17">
        <f t="shared" si="0"/>
        <v>0</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8.5299999999999994</v>
      </c>
      <c r="C22" s="9"/>
      <c r="G22" s="37"/>
      <c r="I22" s="8"/>
    </row>
    <row r="23" spans="1:9" x14ac:dyDescent="0.2">
      <c r="A23" t="s">
        <v>14</v>
      </c>
      <c r="B23" s="15">
        <f>B22/B24</f>
        <v>34.119999999999997</v>
      </c>
      <c r="C23" s="9"/>
      <c r="G23" s="37"/>
      <c r="I23" s="8"/>
    </row>
    <row r="24" spans="1:9" x14ac:dyDescent="0.2">
      <c r="A24" t="s">
        <v>15</v>
      </c>
      <c r="B24">
        <v>0.25</v>
      </c>
      <c r="C24" s="9"/>
      <c r="G24" s="37"/>
      <c r="I24" s="8"/>
    </row>
    <row r="25" spans="1:9" ht="19" x14ac:dyDescent="0.25">
      <c r="A25" s="16" t="s">
        <v>16</v>
      </c>
      <c r="B25" s="16">
        <v>400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E34D-BC2C-534C-8F8A-8230041917E2}">
  <dimension ref="A1:I26"/>
  <sheetViews>
    <sheetView topLeftCell="B1" zoomScale="235" workbookViewId="0">
      <selection activeCell="G4" sqref="G4:G25"/>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113</v>
      </c>
      <c r="B1" s="38"/>
      <c r="C1" s="38"/>
      <c r="D1" s="38"/>
      <c r="E1" s="29" t="s">
        <v>24</v>
      </c>
      <c r="F1" s="30"/>
      <c r="G1" s="31" t="s">
        <v>137</v>
      </c>
    </row>
    <row r="2" spans="1:9" ht="22"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18" thickBot="1" x14ac:dyDescent="0.25">
      <c r="A4" s="21" t="s">
        <v>114</v>
      </c>
      <c r="B4" s="4">
        <v>1</v>
      </c>
      <c r="C4" s="17">
        <f t="shared" ref="C4:C19" si="0">B4/B$23*B$25</f>
        <v>6.2861453356801613</v>
      </c>
      <c r="D4" s="4" t="s">
        <v>6</v>
      </c>
      <c r="E4" s="5"/>
      <c r="F4" s="6">
        <f t="shared" ref="F4:F19" si="1">C4*E4</f>
        <v>0</v>
      </c>
      <c r="G4" s="36" t="s">
        <v>138</v>
      </c>
    </row>
    <row r="5" spans="1:9" x14ac:dyDescent="0.2">
      <c r="A5" s="4" t="s">
        <v>59</v>
      </c>
      <c r="B5" s="4">
        <v>2</v>
      </c>
      <c r="C5" s="17">
        <f t="shared" si="0"/>
        <v>12.572290671360323</v>
      </c>
      <c r="D5" s="4" t="s">
        <v>6</v>
      </c>
      <c r="E5" s="5"/>
      <c r="F5" s="6">
        <f t="shared" si="1"/>
        <v>0</v>
      </c>
      <c r="G5" s="37"/>
      <c r="I5" s="7"/>
    </row>
    <row r="6" spans="1:9" x14ac:dyDescent="0.2">
      <c r="A6" s="4" t="s">
        <v>79</v>
      </c>
      <c r="B6" s="4">
        <v>0.35</v>
      </c>
      <c r="C6" s="17">
        <f t="shared" si="0"/>
        <v>2.2001508674880563</v>
      </c>
      <c r="D6" s="4" t="s">
        <v>6</v>
      </c>
      <c r="E6" s="5"/>
      <c r="F6" s="6">
        <f t="shared" si="1"/>
        <v>0</v>
      </c>
      <c r="G6" s="37"/>
      <c r="I6" s="8"/>
    </row>
    <row r="7" spans="1:9" x14ac:dyDescent="0.2">
      <c r="A7" s="4" t="s">
        <v>115</v>
      </c>
      <c r="B7" s="4">
        <v>0.45</v>
      </c>
      <c r="C7" s="17">
        <f t="shared" si="0"/>
        <v>2.828765401056073</v>
      </c>
      <c r="D7" s="4" t="s">
        <v>6</v>
      </c>
      <c r="E7" s="5"/>
      <c r="F7" s="6">
        <f t="shared" si="1"/>
        <v>0</v>
      </c>
      <c r="G7" s="37"/>
      <c r="I7" s="8"/>
    </row>
    <row r="8" spans="1:9" x14ac:dyDescent="0.2">
      <c r="A8" s="4" t="s">
        <v>10</v>
      </c>
      <c r="B8" s="4">
        <v>2.5000000000000001E-2</v>
      </c>
      <c r="C8" s="17">
        <f t="shared" si="0"/>
        <v>0.15715363339200403</v>
      </c>
      <c r="D8" s="4" t="s">
        <v>6</v>
      </c>
      <c r="E8" s="5"/>
      <c r="F8" s="6">
        <f t="shared" si="1"/>
        <v>0</v>
      </c>
      <c r="G8" s="37"/>
      <c r="I8" s="8"/>
    </row>
    <row r="9" spans="1:9" x14ac:dyDescent="0.2">
      <c r="A9" s="4" t="s">
        <v>11</v>
      </c>
      <c r="B9" s="4">
        <v>2E-3</v>
      </c>
      <c r="C9" s="17">
        <f>B9/B$23*B$25</f>
        <v>1.2572290671360325E-2</v>
      </c>
      <c r="D9" s="4" t="s">
        <v>6</v>
      </c>
      <c r="E9" s="5"/>
      <c r="F9" s="6">
        <f t="shared" si="1"/>
        <v>0</v>
      </c>
      <c r="G9" s="37"/>
      <c r="I9" s="8"/>
    </row>
    <row r="10" spans="1:9" x14ac:dyDescent="0.2">
      <c r="A10" s="4"/>
      <c r="B10" s="4"/>
      <c r="C10" s="17">
        <f>B10/B$23*B$25</f>
        <v>0</v>
      </c>
      <c r="D10" s="4" t="s">
        <v>6</v>
      </c>
      <c r="E10" s="5"/>
      <c r="F10" s="6">
        <f t="shared" si="1"/>
        <v>0</v>
      </c>
      <c r="G10" s="37"/>
      <c r="I10" s="8"/>
    </row>
    <row r="11" spans="1:9" x14ac:dyDescent="0.2">
      <c r="A11" s="4" t="s">
        <v>116</v>
      </c>
      <c r="B11" s="4"/>
      <c r="C11" s="17">
        <f t="shared" si="0"/>
        <v>0</v>
      </c>
      <c r="D11" s="4" t="s">
        <v>6</v>
      </c>
      <c r="E11" s="5"/>
      <c r="F11" s="6">
        <f t="shared" si="1"/>
        <v>0</v>
      </c>
      <c r="G11" s="37"/>
      <c r="I11" s="8"/>
    </row>
    <row r="12" spans="1:9" x14ac:dyDescent="0.2">
      <c r="A12" s="4" t="s">
        <v>117</v>
      </c>
      <c r="B12" s="4">
        <v>0.15</v>
      </c>
      <c r="C12" s="17">
        <f t="shared" si="0"/>
        <v>0.94292180035202422</v>
      </c>
      <c r="D12" s="4" t="s">
        <v>6</v>
      </c>
      <c r="E12" s="5"/>
      <c r="F12" s="6">
        <f t="shared" si="1"/>
        <v>0</v>
      </c>
      <c r="G12" s="37"/>
      <c r="I12" s="8"/>
    </row>
    <row r="13" spans="1:9" ht="19" x14ac:dyDescent="0.25">
      <c r="A13" s="4"/>
      <c r="B13" s="18"/>
      <c r="C13" s="17">
        <f t="shared" si="0"/>
        <v>0</v>
      </c>
      <c r="D13" s="4"/>
      <c r="E13" s="5"/>
      <c r="F13" s="6">
        <f t="shared" si="1"/>
        <v>0</v>
      </c>
      <c r="G13" s="37"/>
      <c r="I13" s="8"/>
    </row>
    <row r="14" spans="1:9" ht="19" x14ac:dyDescent="0.25">
      <c r="A14" s="4"/>
      <c r="B14" s="18"/>
      <c r="C14" s="17">
        <f t="shared" si="0"/>
        <v>0</v>
      </c>
      <c r="D14" s="4"/>
      <c r="E14" s="5"/>
      <c r="F14" s="6">
        <f t="shared" si="1"/>
        <v>0</v>
      </c>
      <c r="G14" s="37"/>
      <c r="I14" s="8"/>
    </row>
    <row r="15" spans="1:9" x14ac:dyDescent="0.2">
      <c r="A15" s="4"/>
      <c r="B15" s="4"/>
      <c r="C15" s="17">
        <f t="shared" si="0"/>
        <v>0</v>
      </c>
      <c r="D15" s="4"/>
      <c r="E15" s="5"/>
      <c r="F15" s="6">
        <f t="shared" si="1"/>
        <v>0</v>
      </c>
      <c r="G15" s="37"/>
      <c r="I15" s="8"/>
    </row>
    <row r="16" spans="1:9" x14ac:dyDescent="0.2">
      <c r="A16" s="4"/>
      <c r="B16" s="4"/>
      <c r="C16" s="17">
        <f t="shared" si="0"/>
        <v>0</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3.9769999999999999</v>
      </c>
      <c r="C22" s="9"/>
      <c r="G22" s="37"/>
      <c r="I22" s="8"/>
    </row>
    <row r="23" spans="1:9" x14ac:dyDescent="0.2">
      <c r="A23" t="s">
        <v>14</v>
      </c>
      <c r="B23" s="15">
        <f>B22/B24</f>
        <v>39.769999999999996</v>
      </c>
      <c r="C23" s="9"/>
      <c r="G23" s="37"/>
      <c r="I23" s="8"/>
    </row>
    <row r="24" spans="1:9" x14ac:dyDescent="0.2">
      <c r="A24" t="s">
        <v>15</v>
      </c>
      <c r="B24">
        <v>0.1</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236B-C5A5-2743-BD0C-CD70188F7967}">
  <dimension ref="A1:I26"/>
  <sheetViews>
    <sheetView zoomScale="179" workbookViewId="0">
      <selection activeCell="G4" sqref="G4:G25"/>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67</v>
      </c>
      <c r="B1" s="38"/>
      <c r="C1" s="38"/>
      <c r="D1" s="38"/>
      <c r="E1" s="29" t="s">
        <v>24</v>
      </c>
      <c r="F1" s="30"/>
      <c r="G1" s="31" t="s">
        <v>139</v>
      </c>
    </row>
    <row r="2" spans="1:9" ht="25" customHeight="1" thickBot="1" x14ac:dyDescent="0.3">
      <c r="A2" s="38"/>
      <c r="B2" s="38"/>
      <c r="C2" s="38"/>
      <c r="D2" s="38"/>
      <c r="E2" s="34" t="s">
        <v>25</v>
      </c>
      <c r="F2" s="35"/>
      <c r="G2" s="32"/>
    </row>
    <row r="3" spans="1:9" ht="52" thickBot="1" x14ac:dyDescent="0.25">
      <c r="A3" s="1" t="s">
        <v>0</v>
      </c>
      <c r="B3" s="2" t="s">
        <v>1</v>
      </c>
      <c r="C3" s="2" t="s">
        <v>2</v>
      </c>
      <c r="D3" s="3" t="s">
        <v>3</v>
      </c>
      <c r="E3" s="3" t="s">
        <v>4</v>
      </c>
      <c r="F3" s="3" t="s">
        <v>5</v>
      </c>
      <c r="G3" s="33"/>
    </row>
    <row r="4" spans="1:9" ht="18" thickBot="1" x14ac:dyDescent="0.25">
      <c r="A4" s="21" t="s">
        <v>68</v>
      </c>
      <c r="B4" s="4">
        <v>1.5</v>
      </c>
      <c r="C4" s="17">
        <f t="shared" ref="C4:C19" si="0">B4/B$23*B$25</f>
        <v>5.8928571428571432</v>
      </c>
      <c r="D4" s="4" t="s">
        <v>6</v>
      </c>
      <c r="E4" s="5"/>
      <c r="F4" s="6">
        <f t="shared" ref="F4:F19" si="1">C4*E4</f>
        <v>0</v>
      </c>
      <c r="G4" s="36" t="s">
        <v>64</v>
      </c>
    </row>
    <row r="5" spans="1:9" x14ac:dyDescent="0.2">
      <c r="A5" s="4" t="s">
        <v>10</v>
      </c>
      <c r="B5" s="4">
        <v>0.05</v>
      </c>
      <c r="C5" s="17">
        <f t="shared" si="0"/>
        <v>0.19642857142857142</v>
      </c>
      <c r="D5" s="4" t="s">
        <v>6</v>
      </c>
      <c r="E5" s="5"/>
      <c r="F5" s="6">
        <f t="shared" si="1"/>
        <v>0</v>
      </c>
      <c r="G5" s="37"/>
      <c r="I5" s="7"/>
    </row>
    <row r="6" spans="1:9" x14ac:dyDescent="0.2">
      <c r="A6" s="4" t="s">
        <v>69</v>
      </c>
      <c r="B6" s="4">
        <v>0.15</v>
      </c>
      <c r="C6" s="17">
        <f t="shared" si="0"/>
        <v>0.5892857142857143</v>
      </c>
      <c r="D6" s="4" t="s">
        <v>6</v>
      </c>
      <c r="E6" s="5"/>
      <c r="F6" s="6">
        <f t="shared" si="1"/>
        <v>0</v>
      </c>
      <c r="G6" s="37"/>
      <c r="I6" s="8"/>
    </row>
    <row r="7" spans="1:9" x14ac:dyDescent="0.2">
      <c r="A7" s="4" t="s">
        <v>59</v>
      </c>
      <c r="B7" s="4">
        <v>4.5</v>
      </c>
      <c r="C7" s="17">
        <f t="shared" si="0"/>
        <v>17.678571428571431</v>
      </c>
      <c r="D7" s="4" t="s">
        <v>6</v>
      </c>
      <c r="E7" s="5"/>
      <c r="F7" s="6">
        <f t="shared" si="1"/>
        <v>0</v>
      </c>
      <c r="G7" s="37"/>
      <c r="I7" s="8"/>
    </row>
    <row r="8" spans="1:9" x14ac:dyDescent="0.2">
      <c r="A8" s="4"/>
      <c r="B8" s="4"/>
      <c r="C8" s="17">
        <f t="shared" si="0"/>
        <v>0</v>
      </c>
      <c r="D8" s="4" t="s">
        <v>6</v>
      </c>
      <c r="E8" s="5"/>
      <c r="F8" s="6">
        <f t="shared" si="1"/>
        <v>0</v>
      </c>
      <c r="G8" s="37"/>
      <c r="I8" s="8"/>
    </row>
    <row r="9" spans="1:9" x14ac:dyDescent="0.2">
      <c r="A9" s="4" t="s">
        <v>65</v>
      </c>
      <c r="B9" s="4"/>
      <c r="C9" s="17">
        <f>B9/B$23*B$25</f>
        <v>0</v>
      </c>
      <c r="D9" s="4" t="s">
        <v>6</v>
      </c>
      <c r="E9" s="5"/>
      <c r="F9" s="6">
        <f t="shared" si="1"/>
        <v>0</v>
      </c>
      <c r="G9" s="37"/>
      <c r="I9" s="8"/>
    </row>
    <row r="10" spans="1:9" x14ac:dyDescent="0.2">
      <c r="A10" s="4"/>
      <c r="B10" s="4"/>
      <c r="C10" s="17">
        <f>B10/B$23*B$25</f>
        <v>0</v>
      </c>
      <c r="D10" s="4" t="s">
        <v>6</v>
      </c>
      <c r="E10" s="5"/>
      <c r="F10" s="6">
        <f t="shared" si="1"/>
        <v>0</v>
      </c>
      <c r="G10" s="37"/>
      <c r="I10" s="8"/>
    </row>
    <row r="11" spans="1:9" x14ac:dyDescent="0.2">
      <c r="A11" s="4" t="s">
        <v>70</v>
      </c>
      <c r="B11" s="4">
        <v>1</v>
      </c>
      <c r="C11" s="17">
        <f t="shared" si="0"/>
        <v>3.9285714285714288</v>
      </c>
      <c r="D11" s="4" t="s">
        <v>6</v>
      </c>
      <c r="E11" s="5"/>
      <c r="F11" s="6">
        <f t="shared" si="1"/>
        <v>0</v>
      </c>
      <c r="G11" s="37"/>
      <c r="I11" s="8"/>
    </row>
    <row r="12" spans="1:9" x14ac:dyDescent="0.2">
      <c r="A12" s="4" t="s">
        <v>30</v>
      </c>
      <c r="B12" s="4">
        <v>0.18</v>
      </c>
      <c r="C12" s="17">
        <f t="shared" si="0"/>
        <v>0.70714285714285718</v>
      </c>
      <c r="D12" s="4" t="s">
        <v>6</v>
      </c>
      <c r="E12" s="5"/>
      <c r="F12" s="6">
        <f t="shared" si="1"/>
        <v>0</v>
      </c>
      <c r="G12" s="37"/>
      <c r="I12" s="8"/>
    </row>
    <row r="13" spans="1:9" ht="19" x14ac:dyDescent="0.25">
      <c r="A13" s="4"/>
      <c r="B13" s="18"/>
      <c r="C13" s="17">
        <f t="shared" si="0"/>
        <v>0</v>
      </c>
      <c r="D13" s="4"/>
      <c r="E13" s="5"/>
      <c r="F13" s="6">
        <f t="shared" si="1"/>
        <v>0</v>
      </c>
      <c r="G13" s="37"/>
      <c r="I13" s="8"/>
    </row>
    <row r="14" spans="1:9" ht="19" x14ac:dyDescent="0.25">
      <c r="A14" s="4"/>
      <c r="B14" s="18"/>
      <c r="C14" s="17">
        <f t="shared" si="0"/>
        <v>0</v>
      </c>
      <c r="D14" s="4"/>
      <c r="E14" s="5"/>
      <c r="F14" s="6">
        <f t="shared" si="1"/>
        <v>0</v>
      </c>
      <c r="G14" s="37"/>
      <c r="I14" s="8"/>
    </row>
    <row r="15" spans="1:9" x14ac:dyDescent="0.2">
      <c r="A15" s="4"/>
      <c r="B15" s="4"/>
      <c r="C15" s="17">
        <f t="shared" si="0"/>
        <v>0</v>
      </c>
      <c r="D15" s="4"/>
      <c r="E15" s="5"/>
      <c r="F15" s="6">
        <f t="shared" si="1"/>
        <v>0</v>
      </c>
      <c r="G15" s="37"/>
      <c r="I15" s="8"/>
    </row>
    <row r="16" spans="1:9" x14ac:dyDescent="0.2">
      <c r="A16" s="4"/>
      <c r="B16" s="4"/>
      <c r="C16" s="17">
        <f t="shared" si="0"/>
        <v>0</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v>7</v>
      </c>
      <c r="C22" s="9"/>
      <c r="G22" s="37"/>
      <c r="I22" s="8"/>
    </row>
    <row r="23" spans="1:9" x14ac:dyDescent="0.2">
      <c r="A23" t="s">
        <v>14</v>
      </c>
      <c r="B23" s="15">
        <f>B22/B24</f>
        <v>63.636363636363633</v>
      </c>
      <c r="C23" s="9"/>
      <c r="G23" s="37"/>
      <c r="I23" s="8"/>
    </row>
    <row r="24" spans="1:9" x14ac:dyDescent="0.2">
      <c r="A24" t="s">
        <v>15</v>
      </c>
      <c r="B24">
        <v>0.11</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5FAC-FA51-E146-8964-FBB71A45D326}">
  <dimension ref="A1:I26"/>
  <sheetViews>
    <sheetView topLeftCell="A2" zoomScale="150" zoomScaleNormal="287" workbookViewId="0">
      <selection activeCell="B22" sqref="B22"/>
    </sheetView>
  </sheetViews>
  <sheetFormatPr baseColWidth="10" defaultRowHeight="16" x14ac:dyDescent="0.2"/>
  <cols>
    <col min="1" max="1" width="31.5" customWidth="1"/>
    <col min="7" max="7" width="48.83203125" customWidth="1"/>
    <col min="8" max="8" width="42" customWidth="1"/>
  </cols>
  <sheetData>
    <row r="1" spans="1:9" ht="27" customHeight="1" x14ac:dyDescent="0.2">
      <c r="A1" s="28" t="s">
        <v>35</v>
      </c>
      <c r="B1" s="28"/>
      <c r="C1" s="28"/>
      <c r="D1" s="28"/>
      <c r="E1" s="29" t="s">
        <v>24</v>
      </c>
      <c r="F1" s="30"/>
      <c r="G1" s="31" t="s">
        <v>49</v>
      </c>
    </row>
    <row r="2" spans="1:9" ht="25" customHeight="1" thickBot="1" x14ac:dyDescent="0.3">
      <c r="A2" s="28"/>
      <c r="B2" s="28"/>
      <c r="C2" s="28"/>
      <c r="D2" s="28"/>
      <c r="E2" s="34" t="s">
        <v>25</v>
      </c>
      <c r="F2" s="35"/>
      <c r="G2" s="32"/>
    </row>
    <row r="3" spans="1:9" ht="52" thickBot="1" x14ac:dyDescent="0.25">
      <c r="A3" s="1" t="s">
        <v>0</v>
      </c>
      <c r="B3" s="2" t="s">
        <v>1</v>
      </c>
      <c r="C3" s="2" t="s">
        <v>2</v>
      </c>
      <c r="D3" s="3" t="s">
        <v>3</v>
      </c>
      <c r="E3" s="3" t="s">
        <v>4</v>
      </c>
      <c r="F3" s="3" t="s">
        <v>5</v>
      </c>
      <c r="G3" s="33"/>
    </row>
    <row r="4" spans="1:9" ht="17" thickBot="1" x14ac:dyDescent="0.25">
      <c r="A4" s="4" t="s">
        <v>26</v>
      </c>
      <c r="B4" s="19">
        <v>3</v>
      </c>
      <c r="C4" s="17">
        <f t="shared" ref="C4:C19" si="0">B4/B$23*B$25</f>
        <v>36.491228070175431</v>
      </c>
      <c r="D4" s="4" t="s">
        <v>6</v>
      </c>
      <c r="E4" s="5"/>
      <c r="F4" s="6">
        <f t="shared" ref="F4:F19" si="1">C4*E4</f>
        <v>0</v>
      </c>
      <c r="G4" s="36" t="s">
        <v>48</v>
      </c>
    </row>
    <row r="5" spans="1:9" x14ac:dyDescent="0.2">
      <c r="A5" s="4" t="s">
        <v>45</v>
      </c>
      <c r="B5" s="19">
        <v>3</v>
      </c>
      <c r="C5" s="17">
        <f t="shared" si="0"/>
        <v>36.491228070175431</v>
      </c>
      <c r="D5" s="4" t="s">
        <v>8</v>
      </c>
      <c r="E5" s="5"/>
      <c r="F5" s="6">
        <f t="shared" si="1"/>
        <v>0</v>
      </c>
      <c r="G5" s="37"/>
      <c r="I5" s="7"/>
    </row>
    <row r="6" spans="1:9" x14ac:dyDescent="0.2">
      <c r="A6" s="4" t="s">
        <v>27</v>
      </c>
      <c r="B6" s="19">
        <v>1</v>
      </c>
      <c r="C6" s="17">
        <f t="shared" si="0"/>
        <v>12.163742690058477</v>
      </c>
      <c r="D6" s="4" t="s">
        <v>6</v>
      </c>
      <c r="E6" s="5"/>
      <c r="F6" s="6">
        <f t="shared" si="1"/>
        <v>0</v>
      </c>
      <c r="G6" s="37"/>
      <c r="I6" s="8"/>
    </row>
    <row r="7" spans="1:9" x14ac:dyDescent="0.2">
      <c r="A7" s="4" t="s">
        <v>28</v>
      </c>
      <c r="B7" s="19">
        <v>1</v>
      </c>
      <c r="C7" s="17">
        <f t="shared" si="0"/>
        <v>12.163742690058477</v>
      </c>
      <c r="D7" s="4" t="s">
        <v>6</v>
      </c>
      <c r="E7" s="5"/>
      <c r="F7" s="6">
        <f t="shared" si="1"/>
        <v>0</v>
      </c>
      <c r="G7" s="37"/>
      <c r="I7" s="8"/>
    </row>
    <row r="8" spans="1:9" x14ac:dyDescent="0.2">
      <c r="A8" s="4" t="s">
        <v>29</v>
      </c>
      <c r="B8" s="19">
        <v>0.8</v>
      </c>
      <c r="C8" s="17">
        <f t="shared" si="0"/>
        <v>9.7309941520467813</v>
      </c>
      <c r="D8" s="4" t="s">
        <v>8</v>
      </c>
      <c r="E8" s="5"/>
      <c r="F8" s="6">
        <f t="shared" si="1"/>
        <v>0</v>
      </c>
      <c r="G8" s="37"/>
      <c r="I8" s="8"/>
    </row>
    <row r="9" spans="1:9" x14ac:dyDescent="0.2">
      <c r="A9" s="4" t="s">
        <v>21</v>
      </c>
      <c r="B9" s="19">
        <v>0.05</v>
      </c>
      <c r="C9" s="17">
        <f t="shared" si="0"/>
        <v>0.60818713450292383</v>
      </c>
      <c r="D9" s="4" t="s">
        <v>6</v>
      </c>
      <c r="E9" s="5"/>
      <c r="F9" s="6">
        <f t="shared" si="1"/>
        <v>0</v>
      </c>
      <c r="G9" s="37"/>
      <c r="I9" s="8"/>
    </row>
    <row r="10" spans="1:9" x14ac:dyDescent="0.2">
      <c r="A10" s="4" t="s">
        <v>30</v>
      </c>
      <c r="B10" s="19">
        <v>0.3</v>
      </c>
      <c r="C10" s="17">
        <f t="shared" si="0"/>
        <v>3.6491228070175432</v>
      </c>
      <c r="D10" s="4" t="s">
        <v>6</v>
      </c>
      <c r="E10" s="5"/>
      <c r="F10" s="6">
        <f t="shared" si="1"/>
        <v>0</v>
      </c>
      <c r="G10" s="37"/>
      <c r="I10" s="8"/>
    </row>
    <row r="11" spans="1:9" x14ac:dyDescent="0.2">
      <c r="A11" s="4" t="s">
        <v>10</v>
      </c>
      <c r="B11" s="19">
        <v>5.5E-2</v>
      </c>
      <c r="C11" s="17">
        <f t="shared" si="0"/>
        <v>0.66900584795321627</v>
      </c>
      <c r="D11" s="4" t="s">
        <v>6</v>
      </c>
      <c r="E11" s="5"/>
      <c r="F11" s="6">
        <f t="shared" si="1"/>
        <v>0</v>
      </c>
      <c r="G11" s="37"/>
      <c r="I11" s="8"/>
    </row>
    <row r="12" spans="1:9" x14ac:dyDescent="0.2">
      <c r="A12" s="4" t="s">
        <v>46</v>
      </c>
      <c r="B12" s="19">
        <v>0.06</v>
      </c>
      <c r="C12" s="17">
        <f t="shared" si="0"/>
        <v>0.7298245614035086</v>
      </c>
      <c r="D12" s="4" t="s">
        <v>6</v>
      </c>
      <c r="E12" s="5"/>
      <c r="F12" s="6">
        <f t="shared" si="1"/>
        <v>0</v>
      </c>
      <c r="G12" s="37"/>
      <c r="I12" s="8"/>
    </row>
    <row r="13" spans="1:9" x14ac:dyDescent="0.2">
      <c r="A13" s="4" t="s">
        <v>33</v>
      </c>
      <c r="B13" s="19">
        <v>0.02</v>
      </c>
      <c r="C13" s="17">
        <f t="shared" si="0"/>
        <v>0.24327485380116953</v>
      </c>
      <c r="D13" s="4" t="s">
        <v>6</v>
      </c>
      <c r="E13" s="5"/>
      <c r="F13" s="6">
        <f t="shared" si="1"/>
        <v>0</v>
      </c>
      <c r="G13" s="37"/>
      <c r="I13" s="8"/>
    </row>
    <row r="14" spans="1:9" x14ac:dyDescent="0.2">
      <c r="A14" s="4" t="s">
        <v>32</v>
      </c>
      <c r="B14" s="19"/>
      <c r="C14" s="17">
        <f t="shared" si="0"/>
        <v>0</v>
      </c>
      <c r="D14" s="4" t="s">
        <v>8</v>
      </c>
      <c r="E14" s="5"/>
      <c r="F14" s="6">
        <f t="shared" si="1"/>
        <v>0</v>
      </c>
      <c r="G14" s="37"/>
      <c r="I14" s="8"/>
    </row>
    <row r="15" spans="1:9" x14ac:dyDescent="0.2">
      <c r="A15" s="4" t="s">
        <v>47</v>
      </c>
      <c r="B15" s="19">
        <v>0.12</v>
      </c>
      <c r="C15" s="17">
        <f t="shared" si="0"/>
        <v>1.4596491228070172</v>
      </c>
      <c r="D15" s="4" t="s">
        <v>8</v>
      </c>
      <c r="E15" s="5"/>
      <c r="F15" s="6">
        <f t="shared" si="1"/>
        <v>0</v>
      </c>
      <c r="G15" s="37"/>
      <c r="I15" s="8"/>
    </row>
    <row r="16" spans="1:9" x14ac:dyDescent="0.2">
      <c r="A16" s="4"/>
      <c r="B16" s="4"/>
      <c r="C16" s="17">
        <f t="shared" si="0"/>
        <v>0</v>
      </c>
      <c r="D16" s="4" t="s">
        <v>6</v>
      </c>
      <c r="E16" s="5"/>
      <c r="F16" s="6">
        <f t="shared" si="1"/>
        <v>0</v>
      </c>
      <c r="G16" s="37"/>
      <c r="I16" s="8"/>
    </row>
    <row r="17" spans="1:9" x14ac:dyDescent="0.2">
      <c r="A17" s="4"/>
      <c r="B17" s="4"/>
      <c r="C17" s="17">
        <f t="shared" si="0"/>
        <v>0</v>
      </c>
      <c r="D17" s="4" t="s">
        <v>6</v>
      </c>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f>SUM(B4:B19)</f>
        <v>9.4050000000000011</v>
      </c>
      <c r="C22" s="9"/>
      <c r="G22" s="37"/>
      <c r="I22" s="8"/>
    </row>
    <row r="23" spans="1:9" x14ac:dyDescent="0.2">
      <c r="A23" t="s">
        <v>14</v>
      </c>
      <c r="B23" s="15">
        <f>B22/B24</f>
        <v>42.750000000000007</v>
      </c>
      <c r="C23" s="9"/>
      <c r="E23" t="s">
        <v>34</v>
      </c>
      <c r="G23" s="37"/>
      <c r="I23" s="8"/>
    </row>
    <row r="24" spans="1:9" x14ac:dyDescent="0.2">
      <c r="A24" t="s">
        <v>15</v>
      </c>
      <c r="B24">
        <v>0.22</v>
      </c>
      <c r="C24" s="9"/>
      <c r="G24" s="37"/>
      <c r="I24" s="8"/>
    </row>
    <row r="25" spans="1:9" ht="19" x14ac:dyDescent="0.25">
      <c r="A25" s="16" t="s">
        <v>16</v>
      </c>
      <c r="B25" s="16">
        <v>520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ED2A-8F74-184A-8415-BEBA6E1619C7}">
  <dimension ref="A1:I26"/>
  <sheetViews>
    <sheetView topLeftCell="A8" zoomScale="170" workbookViewId="0">
      <selection activeCell="G4" sqref="G4:G25"/>
    </sheetView>
  </sheetViews>
  <sheetFormatPr baseColWidth="10" defaultRowHeight="16" x14ac:dyDescent="0.2"/>
  <cols>
    <col min="1" max="1" width="37.33203125" customWidth="1"/>
    <col min="7" max="7" width="48.83203125" customWidth="1"/>
    <col min="8" max="8" width="42" customWidth="1"/>
  </cols>
  <sheetData>
    <row r="1" spans="1:9" ht="27" customHeight="1" x14ac:dyDescent="0.2">
      <c r="A1" s="38" t="s">
        <v>78</v>
      </c>
      <c r="B1" s="38"/>
      <c r="C1" s="38"/>
      <c r="D1" s="38"/>
      <c r="E1" s="29" t="s">
        <v>24</v>
      </c>
      <c r="F1" s="30"/>
      <c r="G1" s="31" t="s">
        <v>92</v>
      </c>
    </row>
    <row r="2" spans="1:9" ht="25" customHeight="1" thickBot="1" x14ac:dyDescent="0.3">
      <c r="A2" s="38"/>
      <c r="B2" s="38"/>
      <c r="C2" s="38"/>
      <c r="D2" s="38"/>
      <c r="E2" s="34" t="s">
        <v>112</v>
      </c>
      <c r="F2" s="35"/>
      <c r="G2" s="32"/>
    </row>
    <row r="3" spans="1:9" ht="52" thickBot="1" x14ac:dyDescent="0.25">
      <c r="A3" s="1" t="s">
        <v>0</v>
      </c>
      <c r="B3" s="2" t="s">
        <v>1</v>
      </c>
      <c r="C3" s="2" t="s">
        <v>2</v>
      </c>
      <c r="D3" s="3" t="s">
        <v>3</v>
      </c>
      <c r="E3" s="3" t="s">
        <v>4</v>
      </c>
      <c r="F3" s="3" t="s">
        <v>5</v>
      </c>
      <c r="G3" s="33"/>
    </row>
    <row r="4" spans="1:9" ht="20" thickBot="1" x14ac:dyDescent="0.3">
      <c r="A4" s="4" t="s">
        <v>110</v>
      </c>
      <c r="B4" s="18">
        <v>10</v>
      </c>
      <c r="C4" s="17">
        <f t="shared" ref="C4:C19" si="0">B4/B$23*B$25</f>
        <v>20.057142857142857</v>
      </c>
      <c r="D4" s="4" t="s">
        <v>6</v>
      </c>
      <c r="E4" s="5"/>
      <c r="F4" s="6">
        <f t="shared" ref="F4:F19" si="1">C4*E4</f>
        <v>0</v>
      </c>
      <c r="G4" s="36" t="s">
        <v>81</v>
      </c>
    </row>
    <row r="5" spans="1:9" ht="19" x14ac:dyDescent="0.25">
      <c r="A5" s="4" t="s">
        <v>79</v>
      </c>
      <c r="B5" s="18">
        <v>1</v>
      </c>
      <c r="C5" s="17">
        <f t="shared" si="0"/>
        <v>2.0057142857142858</v>
      </c>
      <c r="D5" s="4" t="s">
        <v>8</v>
      </c>
      <c r="E5" s="5"/>
      <c r="F5" s="6">
        <f t="shared" si="1"/>
        <v>0</v>
      </c>
      <c r="G5" s="37"/>
      <c r="I5" s="7"/>
    </row>
    <row r="6" spans="1:9" ht="19" x14ac:dyDescent="0.25">
      <c r="A6" s="4" t="s">
        <v>21</v>
      </c>
      <c r="B6" s="18">
        <v>0.01</v>
      </c>
      <c r="C6" s="17">
        <f t="shared" si="0"/>
        <v>2.0057142857142857E-2</v>
      </c>
      <c r="D6" s="4" t="s">
        <v>6</v>
      </c>
      <c r="E6" s="5"/>
      <c r="F6" s="6">
        <f t="shared" si="1"/>
        <v>0</v>
      </c>
      <c r="G6" s="37"/>
      <c r="I6" s="8"/>
    </row>
    <row r="7" spans="1:9" ht="19" x14ac:dyDescent="0.25">
      <c r="A7" s="4" t="s">
        <v>22</v>
      </c>
      <c r="B7" s="18">
        <v>0.3</v>
      </c>
      <c r="C7" s="17">
        <f t="shared" si="0"/>
        <v>0.60171428571428565</v>
      </c>
      <c r="D7" s="4" t="s">
        <v>6</v>
      </c>
      <c r="E7" s="5"/>
      <c r="F7" s="6">
        <f t="shared" si="1"/>
        <v>0</v>
      </c>
      <c r="G7" s="37"/>
      <c r="I7" s="8"/>
    </row>
    <row r="8" spans="1:9" ht="19" x14ac:dyDescent="0.25">
      <c r="A8" s="4" t="s">
        <v>9</v>
      </c>
      <c r="B8" s="18">
        <v>0.5</v>
      </c>
      <c r="C8" s="17">
        <f t="shared" si="0"/>
        <v>1.0028571428571429</v>
      </c>
      <c r="D8" s="4" t="s">
        <v>8</v>
      </c>
      <c r="E8" s="5"/>
      <c r="F8" s="6">
        <f t="shared" si="1"/>
        <v>0</v>
      </c>
      <c r="G8" s="37"/>
      <c r="I8" s="8"/>
    </row>
    <row r="9" spans="1:9" ht="19" x14ac:dyDescent="0.25">
      <c r="A9" s="4" t="s">
        <v>42</v>
      </c>
      <c r="B9" s="18">
        <v>1.5</v>
      </c>
      <c r="C9" s="17">
        <f t="shared" si="0"/>
        <v>3.0085714285714285</v>
      </c>
      <c r="D9" s="4" t="s">
        <v>6</v>
      </c>
      <c r="E9" s="5"/>
      <c r="F9" s="6">
        <f t="shared" si="1"/>
        <v>0</v>
      </c>
      <c r="G9" s="37"/>
      <c r="I9" s="8"/>
    </row>
    <row r="10" spans="1:9" ht="19" x14ac:dyDescent="0.25">
      <c r="A10" s="4" t="s">
        <v>80</v>
      </c>
      <c r="B10" s="18">
        <v>0.05</v>
      </c>
      <c r="C10" s="17">
        <f t="shared" si="0"/>
        <v>0.1002857142857143</v>
      </c>
      <c r="D10" s="4" t="s">
        <v>6</v>
      </c>
      <c r="E10" s="5"/>
      <c r="F10" s="6">
        <f t="shared" si="1"/>
        <v>0</v>
      </c>
      <c r="G10" s="37"/>
      <c r="I10" s="8"/>
    </row>
    <row r="11" spans="1:9" ht="19" x14ac:dyDescent="0.25">
      <c r="A11" s="4" t="s">
        <v>31</v>
      </c>
      <c r="B11" s="18">
        <v>5.0000000000000001E-3</v>
      </c>
      <c r="C11" s="17">
        <f t="shared" si="0"/>
        <v>1.0028571428571428E-2</v>
      </c>
      <c r="D11" s="4" t="s">
        <v>6</v>
      </c>
      <c r="E11" s="5"/>
      <c r="F11" s="6">
        <f t="shared" si="1"/>
        <v>0</v>
      </c>
      <c r="G11" s="37"/>
      <c r="I11" s="8"/>
    </row>
    <row r="12" spans="1:9" ht="19" x14ac:dyDescent="0.25">
      <c r="A12" s="4" t="s">
        <v>41</v>
      </c>
      <c r="B12" s="18">
        <v>0.2</v>
      </c>
      <c r="C12" s="17">
        <f t="shared" si="0"/>
        <v>0.40114285714285719</v>
      </c>
      <c r="D12" s="4" t="s">
        <v>6</v>
      </c>
      <c r="E12" s="5"/>
      <c r="F12" s="6">
        <f t="shared" si="1"/>
        <v>0</v>
      </c>
      <c r="G12" s="37"/>
      <c r="I12" s="8"/>
    </row>
    <row r="13" spans="1:9" ht="19" x14ac:dyDescent="0.25">
      <c r="A13" s="4"/>
      <c r="B13" s="18"/>
      <c r="C13" s="17">
        <f t="shared" si="0"/>
        <v>0</v>
      </c>
      <c r="D13" s="4" t="s">
        <v>6</v>
      </c>
      <c r="E13" s="5"/>
      <c r="F13" s="6">
        <f t="shared" si="1"/>
        <v>0</v>
      </c>
      <c r="G13" s="37"/>
      <c r="I13" s="8"/>
    </row>
    <row r="14" spans="1:9" ht="19" x14ac:dyDescent="0.25">
      <c r="A14" s="4"/>
      <c r="B14" s="18"/>
      <c r="C14" s="17">
        <f t="shared" si="0"/>
        <v>0</v>
      </c>
      <c r="D14" s="4" t="s">
        <v>8</v>
      </c>
      <c r="E14" s="5"/>
      <c r="F14" s="6">
        <f t="shared" si="1"/>
        <v>0</v>
      </c>
      <c r="G14" s="37"/>
      <c r="I14" s="8"/>
    </row>
    <row r="15" spans="1:9" x14ac:dyDescent="0.2">
      <c r="A15" s="4"/>
      <c r="B15" s="4"/>
      <c r="C15" s="17">
        <f t="shared" si="0"/>
        <v>0</v>
      </c>
      <c r="D15" s="4" t="s">
        <v>8</v>
      </c>
      <c r="E15" s="5"/>
      <c r="F15" s="6">
        <f t="shared" si="1"/>
        <v>0</v>
      </c>
      <c r="G15" s="37"/>
      <c r="I15" s="8"/>
    </row>
    <row r="16" spans="1:9" x14ac:dyDescent="0.2">
      <c r="A16" s="4"/>
      <c r="B16" s="4"/>
      <c r="C16" s="17">
        <f t="shared" si="0"/>
        <v>0</v>
      </c>
      <c r="D16" s="4" t="s">
        <v>6</v>
      </c>
      <c r="E16" s="5"/>
      <c r="F16" s="6">
        <f t="shared" si="1"/>
        <v>0</v>
      </c>
      <c r="G16" s="37"/>
      <c r="I16" s="8"/>
    </row>
    <row r="17" spans="1:9" x14ac:dyDescent="0.2">
      <c r="A17" s="4"/>
      <c r="B17" s="4"/>
      <c r="C17" s="17">
        <f t="shared" si="0"/>
        <v>0</v>
      </c>
      <c r="D17" s="4" t="s">
        <v>6</v>
      </c>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v>7</v>
      </c>
      <c r="C22" s="9"/>
      <c r="G22" s="37"/>
      <c r="I22" s="8"/>
    </row>
    <row r="23" spans="1:9" x14ac:dyDescent="0.2">
      <c r="A23" t="s">
        <v>14</v>
      </c>
      <c r="B23" s="15">
        <f>B22/B24</f>
        <v>58.333333333333336</v>
      </c>
      <c r="C23" s="9"/>
      <c r="G23" s="37"/>
      <c r="I23" s="8"/>
    </row>
    <row r="24" spans="1:9" x14ac:dyDescent="0.2">
      <c r="A24" t="s">
        <v>15</v>
      </c>
      <c r="B24">
        <v>0.12</v>
      </c>
      <c r="C24" s="9"/>
      <c r="G24" s="37"/>
      <c r="I24" s="8"/>
    </row>
    <row r="25" spans="1:9" ht="19" x14ac:dyDescent="0.25">
      <c r="A25" s="16" t="s">
        <v>16</v>
      </c>
      <c r="B25" s="16">
        <v>117</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9D9B-5092-7F46-8EBE-AD4CEE11C3A2}">
  <dimension ref="A1:I26"/>
  <sheetViews>
    <sheetView zoomScale="143" workbookViewId="0">
      <selection activeCell="F5" sqref="F5"/>
    </sheetView>
  </sheetViews>
  <sheetFormatPr baseColWidth="10" defaultRowHeight="16" x14ac:dyDescent="0.2"/>
  <cols>
    <col min="1" max="1" width="31.5" customWidth="1"/>
    <col min="7" max="7" width="48.83203125" customWidth="1"/>
    <col min="8" max="8" width="42" customWidth="1"/>
  </cols>
  <sheetData>
    <row r="1" spans="1:9" ht="27" customHeight="1" x14ac:dyDescent="0.2">
      <c r="A1" s="38" t="s">
        <v>120</v>
      </c>
      <c r="B1" s="38"/>
      <c r="C1" s="38"/>
      <c r="D1" s="38"/>
      <c r="E1" s="29" t="s">
        <v>24</v>
      </c>
      <c r="F1" s="30"/>
      <c r="G1" s="31" t="s">
        <v>118</v>
      </c>
    </row>
    <row r="2" spans="1:9" ht="22" thickBot="1" x14ac:dyDescent="0.3">
      <c r="A2" s="38"/>
      <c r="B2" s="38"/>
      <c r="C2" s="38"/>
      <c r="D2" s="38"/>
      <c r="E2" s="34" t="s">
        <v>122</v>
      </c>
      <c r="F2" s="35"/>
      <c r="G2" s="32"/>
    </row>
    <row r="3" spans="1:9" ht="52" thickBot="1" x14ac:dyDescent="0.25">
      <c r="A3" s="1" t="s">
        <v>0</v>
      </c>
      <c r="B3" s="2" t="s">
        <v>1</v>
      </c>
      <c r="C3" s="2" t="s">
        <v>2</v>
      </c>
      <c r="D3" s="3" t="s">
        <v>3</v>
      </c>
      <c r="E3" s="3" t="s">
        <v>4</v>
      </c>
      <c r="F3" s="3" t="s">
        <v>5</v>
      </c>
      <c r="G3" s="33"/>
    </row>
    <row r="4" spans="1:9" ht="18" thickBot="1" x14ac:dyDescent="0.25">
      <c r="A4" s="21" t="s">
        <v>119</v>
      </c>
      <c r="B4" s="4">
        <v>10</v>
      </c>
      <c r="C4" s="17">
        <f t="shared" ref="C4:C19" si="0">B4/B$23*B$25</f>
        <v>33.333333333333336</v>
      </c>
      <c r="D4" s="4" t="s">
        <v>6</v>
      </c>
      <c r="E4" s="5"/>
      <c r="F4" s="6">
        <f t="shared" ref="F4:F19" si="1">C4*E4</f>
        <v>0</v>
      </c>
      <c r="G4" s="36" t="s">
        <v>121</v>
      </c>
    </row>
    <row r="5" spans="1:9" x14ac:dyDescent="0.2">
      <c r="A5" s="4"/>
      <c r="B5" s="4"/>
      <c r="C5" s="17">
        <f t="shared" si="0"/>
        <v>0</v>
      </c>
      <c r="D5" s="4" t="s">
        <v>6</v>
      </c>
      <c r="E5" s="5"/>
      <c r="F5" s="6">
        <f t="shared" si="1"/>
        <v>0</v>
      </c>
      <c r="G5" s="37"/>
      <c r="I5" s="7"/>
    </row>
    <row r="6" spans="1:9" x14ac:dyDescent="0.2">
      <c r="A6" s="4"/>
      <c r="B6" s="4"/>
      <c r="C6" s="17">
        <f t="shared" si="0"/>
        <v>0</v>
      </c>
      <c r="D6" s="4" t="s">
        <v>6</v>
      </c>
      <c r="E6" s="5"/>
      <c r="F6" s="6">
        <f t="shared" si="1"/>
        <v>0</v>
      </c>
      <c r="G6" s="37"/>
      <c r="I6" s="8"/>
    </row>
    <row r="7" spans="1:9" x14ac:dyDescent="0.2">
      <c r="A7" s="4"/>
      <c r="B7" s="4"/>
      <c r="C7" s="17">
        <f t="shared" si="0"/>
        <v>0</v>
      </c>
      <c r="D7" s="4" t="s">
        <v>6</v>
      </c>
      <c r="E7" s="5"/>
      <c r="F7" s="6">
        <f t="shared" si="1"/>
        <v>0</v>
      </c>
      <c r="G7" s="37"/>
      <c r="I7" s="8"/>
    </row>
    <row r="8" spans="1:9" x14ac:dyDescent="0.2">
      <c r="A8" s="4"/>
      <c r="B8" s="4"/>
      <c r="C8" s="17">
        <f t="shared" si="0"/>
        <v>0</v>
      </c>
      <c r="D8" s="4" t="s">
        <v>6</v>
      </c>
      <c r="E8" s="5"/>
      <c r="F8" s="6">
        <f t="shared" si="1"/>
        <v>0</v>
      </c>
      <c r="G8" s="37"/>
      <c r="I8" s="8"/>
    </row>
    <row r="9" spans="1:9" x14ac:dyDescent="0.2">
      <c r="A9" s="4"/>
      <c r="B9" s="4"/>
      <c r="C9" s="17">
        <f>B9/B$23*B$25</f>
        <v>0</v>
      </c>
      <c r="D9" s="4" t="s">
        <v>6</v>
      </c>
      <c r="E9" s="5"/>
      <c r="F9" s="6">
        <f t="shared" si="1"/>
        <v>0</v>
      </c>
      <c r="G9" s="37"/>
      <c r="I9" s="8"/>
    </row>
    <row r="10" spans="1:9" x14ac:dyDescent="0.2">
      <c r="A10" s="4"/>
      <c r="B10" s="4"/>
      <c r="C10" s="17">
        <f>B10/B$23*B$25</f>
        <v>0</v>
      </c>
      <c r="D10" s="4" t="s">
        <v>6</v>
      </c>
      <c r="E10" s="5"/>
      <c r="F10" s="6">
        <f t="shared" si="1"/>
        <v>0</v>
      </c>
      <c r="G10" s="37"/>
      <c r="I10" s="8"/>
    </row>
    <row r="11" spans="1:9" x14ac:dyDescent="0.2">
      <c r="A11" s="4"/>
      <c r="B11" s="4"/>
      <c r="C11" s="17">
        <f t="shared" si="0"/>
        <v>0</v>
      </c>
      <c r="D11" s="4" t="s">
        <v>6</v>
      </c>
      <c r="E11" s="5"/>
      <c r="F11" s="6">
        <f t="shared" si="1"/>
        <v>0</v>
      </c>
      <c r="G11" s="37"/>
      <c r="I11" s="8"/>
    </row>
    <row r="12" spans="1:9" x14ac:dyDescent="0.2">
      <c r="A12" s="4"/>
      <c r="B12" s="4"/>
      <c r="C12" s="17">
        <f t="shared" si="0"/>
        <v>0</v>
      </c>
      <c r="D12" s="4" t="s">
        <v>6</v>
      </c>
      <c r="E12" s="5"/>
      <c r="F12" s="6">
        <f t="shared" si="1"/>
        <v>0</v>
      </c>
      <c r="G12" s="37"/>
      <c r="I12" s="8"/>
    </row>
    <row r="13" spans="1:9" ht="19" x14ac:dyDescent="0.25">
      <c r="A13" s="4"/>
      <c r="B13" s="18"/>
      <c r="C13" s="17">
        <f t="shared" si="0"/>
        <v>0</v>
      </c>
      <c r="D13" s="4"/>
      <c r="E13" s="5"/>
      <c r="F13" s="6">
        <f t="shared" si="1"/>
        <v>0</v>
      </c>
      <c r="G13" s="37"/>
      <c r="I13" s="8"/>
    </row>
    <row r="14" spans="1:9" ht="19" x14ac:dyDescent="0.25">
      <c r="A14" s="4"/>
      <c r="B14" s="18"/>
      <c r="C14" s="17">
        <f t="shared" si="0"/>
        <v>0</v>
      </c>
      <c r="D14" s="4"/>
      <c r="E14" s="5"/>
      <c r="F14" s="6">
        <f t="shared" si="1"/>
        <v>0</v>
      </c>
      <c r="G14" s="37"/>
      <c r="I14" s="8"/>
    </row>
    <row r="15" spans="1:9" x14ac:dyDescent="0.2">
      <c r="A15" s="4"/>
      <c r="B15" s="4"/>
      <c r="C15" s="17">
        <f t="shared" si="0"/>
        <v>0</v>
      </c>
      <c r="D15" s="4"/>
      <c r="E15" s="5"/>
      <c r="F15" s="6">
        <f t="shared" si="1"/>
        <v>0</v>
      </c>
      <c r="G15" s="37"/>
      <c r="I15" s="8"/>
    </row>
    <row r="16" spans="1:9" x14ac:dyDescent="0.2">
      <c r="A16" s="4"/>
      <c r="B16" s="4"/>
      <c r="C16" s="17">
        <f t="shared" si="0"/>
        <v>0</v>
      </c>
      <c r="D16" s="4"/>
      <c r="E16" s="5"/>
      <c r="F16" s="6">
        <f t="shared" si="1"/>
        <v>0</v>
      </c>
      <c r="G16" s="37"/>
      <c r="I16" s="8"/>
    </row>
    <row r="17" spans="1:9" x14ac:dyDescent="0.2">
      <c r="A17" s="4"/>
      <c r="B17" s="4"/>
      <c r="C17" s="17">
        <f t="shared" si="0"/>
        <v>0</v>
      </c>
      <c r="D17" s="4"/>
      <c r="E17" s="5"/>
      <c r="F17" s="6">
        <f t="shared" si="1"/>
        <v>0</v>
      </c>
      <c r="G17" s="37"/>
      <c r="I17" s="8"/>
    </row>
    <row r="18" spans="1:9" x14ac:dyDescent="0.2">
      <c r="A18" s="4"/>
      <c r="B18" s="4"/>
      <c r="C18" s="17">
        <f t="shared" si="0"/>
        <v>0</v>
      </c>
      <c r="D18" s="4"/>
      <c r="E18" s="5"/>
      <c r="F18" s="6">
        <f t="shared" si="1"/>
        <v>0</v>
      </c>
      <c r="G18" s="37"/>
      <c r="I18" s="8"/>
    </row>
    <row r="19" spans="1:9" x14ac:dyDescent="0.2">
      <c r="A19" s="4"/>
      <c r="B19" s="4"/>
      <c r="C19" s="17">
        <f t="shared" si="0"/>
        <v>0</v>
      </c>
      <c r="D19" s="4"/>
      <c r="E19" s="5"/>
      <c r="F19" s="6">
        <f t="shared" si="1"/>
        <v>0</v>
      </c>
      <c r="G19" s="37"/>
      <c r="I19" s="8"/>
    </row>
    <row r="20" spans="1:9" x14ac:dyDescent="0.2">
      <c r="C20" s="9"/>
      <c r="F20" s="10">
        <f>SUM(F4:F19)</f>
        <v>0</v>
      </c>
      <c r="G20" s="37"/>
      <c r="I20" s="8"/>
    </row>
    <row r="21" spans="1:9" ht="19" x14ac:dyDescent="0.25">
      <c r="A21" s="11" t="s">
        <v>12</v>
      </c>
      <c r="B21" s="12">
        <f>F20/B25</f>
        <v>0</v>
      </c>
      <c r="C21" s="13"/>
      <c r="G21" s="37"/>
      <c r="I21" s="8"/>
    </row>
    <row r="22" spans="1:9" x14ac:dyDescent="0.2">
      <c r="A22" s="14" t="s">
        <v>13</v>
      </c>
      <c r="B22" s="14">
        <v>7.5</v>
      </c>
      <c r="C22" s="9"/>
      <c r="G22" s="37"/>
      <c r="I22" s="8"/>
    </row>
    <row r="23" spans="1:9" x14ac:dyDescent="0.2">
      <c r="A23" t="s">
        <v>14</v>
      </c>
      <c r="B23" s="15">
        <f>B22/B24</f>
        <v>75</v>
      </c>
      <c r="C23" s="9"/>
      <c r="G23" s="37"/>
      <c r="I23" s="8"/>
    </row>
    <row r="24" spans="1:9" x14ac:dyDescent="0.2">
      <c r="A24" t="s">
        <v>15</v>
      </c>
      <c r="B24">
        <v>0.1</v>
      </c>
      <c r="C24" s="9"/>
      <c r="G24" s="37"/>
      <c r="I24" s="8"/>
    </row>
    <row r="25" spans="1:9" ht="19" x14ac:dyDescent="0.25">
      <c r="A25" s="16" t="s">
        <v>16</v>
      </c>
      <c r="B25" s="16">
        <v>250</v>
      </c>
      <c r="C25" s="9"/>
      <c r="G25" s="37"/>
      <c r="I25" s="8"/>
    </row>
    <row r="26" spans="1:9" x14ac:dyDescent="0.2">
      <c r="I26" s="8"/>
    </row>
  </sheetData>
  <mergeCells count="5">
    <mergeCell ref="A1:D2"/>
    <mergeCell ref="E1:F1"/>
    <mergeCell ref="G1:G3"/>
    <mergeCell ref="E2:F2"/>
    <mergeCell ref="G4:G25"/>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15</vt:i4>
      </vt:variant>
      <vt:variant>
        <vt:lpstr>Plages nommées</vt:lpstr>
      </vt:variant>
      <vt:variant>
        <vt:i4>1</vt:i4>
      </vt:variant>
    </vt:vector>
  </HeadingPairs>
  <TitlesOfParts>
    <vt:vector size="16" baseType="lpstr">
      <vt:lpstr>Bourguignon</vt:lpstr>
      <vt:lpstr>Blanquette-Veau</vt:lpstr>
      <vt:lpstr>Joue de boeuf</vt:lpstr>
      <vt:lpstr>Pot au feu</vt:lpstr>
      <vt:lpstr>Haricots rouges</vt:lpstr>
      <vt:lpstr>Chili-CHR-Viande</vt:lpstr>
      <vt:lpstr>Chili-viande à part</vt:lpstr>
      <vt:lpstr>Haricots blancs</vt:lpstr>
      <vt:lpstr>COCO-Catalans</vt:lpstr>
      <vt:lpstr>Lentilles</vt:lpstr>
      <vt:lpstr>Lentilles vinaig nuit</vt:lpstr>
      <vt:lpstr>Pois Chiches</vt:lpstr>
      <vt:lpstr>Ratatouille</vt:lpstr>
      <vt:lpstr>Sauté Veau</vt:lpstr>
      <vt:lpstr>Echine de porc</vt:lpstr>
      <vt:lpstr>Bourguignon!Zone_d_impression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Franck BERGE</cp:lastModifiedBy>
  <cp:lastPrinted>2024-12-10T12:25:24Z</cp:lastPrinted>
  <dcterms:created xsi:type="dcterms:W3CDTF">2022-02-01T08:33:00Z</dcterms:created>
  <dcterms:modified xsi:type="dcterms:W3CDTF">2026-10-09T12:27:15Z</dcterms:modified>
</cp:coreProperties>
</file>